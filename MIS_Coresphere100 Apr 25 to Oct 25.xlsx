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R-AR" sheetId="1" state="visible" r:id="rId3"/>
    <sheet name="MR Accrual" sheetId="2" state="visible" r:id="rId4"/>
    <sheet name="Customer churnout" sheetId="3" state="visible" r:id="rId5"/>
    <sheet name="Pivot" sheetId="4" state="visible" r:id="rId6"/>
    <sheet name="FY 25-26-Accrual" sheetId="5" state="visible" r:id="rId7"/>
    <sheet name="Invoices" sheetId="6" state="visible" r:id="rId8"/>
    <sheet name="Active Subscriber" sheetId="7" state="visible" r:id="rId9"/>
    <sheet name="Deletions" sheetId="8" state="visible" r:id="rId10"/>
    <sheet name="Addition" sheetId="9" state="visible" r:id="rId11"/>
    <sheet name="Invoice" sheetId="10" state="hidden" r:id="rId12"/>
    <sheet name="Bill Pivot" sheetId="11" state="hidden" r:id="rId13"/>
    <sheet name="Apr Bill" sheetId="12" state="hidden" r:id="rId14"/>
    <sheet name="May Sales invoice" sheetId="13" state="hidden" r:id="rId15"/>
    <sheet name="DPCache_Bill (1)" sheetId="14" state="hidden" r:id="rId16"/>
  </sheets>
  <externalReferences>
    <externalReference r:id="rId17"/>
  </externalReferences>
  <definedNames>
    <definedName function="false" hidden="true" localSheetId="6" name="_xlnm._FilterDatabase" vbProcedure="false">'Active Subscriber'!$A$1:$AE$290</definedName>
    <definedName function="false" hidden="true" localSheetId="11" name="_xlnm._FilterDatabase" vbProcedure="false">'Apr Bill'!$A$1:$CN$83</definedName>
    <definedName function="false" hidden="true" localSheetId="10" name="_xlnm._FilterDatabase" vbProcedure="false">'Bill Pivot'!$G$2:$G$77</definedName>
    <definedName function="false" hidden="true" localSheetId="4" name="_xlnm._FilterDatabase" vbProcedure="false">'FY 25-26-Accrual'!$A$3:$AE$471</definedName>
    <definedName function="false" hidden="true" localSheetId="9" name="_xlnm._FilterDatabase" vbProcedure="false">Invoice!$A$1:$ET$94</definedName>
    <definedName function="false" hidden="true" localSheetId="5" name="_xlnm._FilterDatabase" vbProcedure="false">Invoices!$A$3:$I$745</definedName>
    <definedName function="false" hidden="true" localSheetId="12" name="_xlnm._FilterDatabase" vbProcedure="false">'May Sales invoice'!$A$1:$M$68</definedName>
    <definedName function="false" hidden="false" name="a" vbProcedure="false">#REF!</definedName>
    <definedName function="false" hidden="false" name="A.AP.010" vbProcedure="false">#REF!</definedName>
    <definedName function="false" hidden="false" name="A.AP.020" vbProcedure="false">#REF!</definedName>
    <definedName function="false" hidden="false" name="A.AP.030" vbProcedure="false">#REF!</definedName>
    <definedName function="false" hidden="false" name="A.AP.040" vbProcedure="false">#REF!</definedName>
    <definedName function="false" hidden="false" name="A.AP.050" vbProcedure="false">#REF!</definedName>
    <definedName function="false" hidden="false" name="A.AP.060" vbProcedure="false">#REF!</definedName>
    <definedName function="false" hidden="false" name="A.AP.070" vbProcedure="false">#REF!</definedName>
    <definedName function="false" hidden="false" name="A.AP.070.core.hrs" vbProcedure="false">#REF!</definedName>
    <definedName function="false" hidden="false" name="A.AP.070.opt.hrs" vbProcedure="false">#REF!</definedName>
    <definedName function="false" hidden="false" name="A.AP.080" vbProcedure="false">#REF!</definedName>
    <definedName function="false" hidden="false" name="A.BP.010" vbProcedure="false">#REF!</definedName>
    <definedName function="false" hidden="false" name="A.BP.020" vbProcedure="false">#REF!</definedName>
    <definedName function="false" hidden="false" name="A.BP.030" vbProcedure="false">#REF!</definedName>
    <definedName function="false" hidden="false" name="A.BP.040" vbProcedure="false">#REF!</definedName>
    <definedName function="false" hidden="false" name="A.BP.050" vbProcedure="false">#REF!</definedName>
    <definedName function="false" hidden="false" name="A.BP.060" vbProcedure="false">#REF!</definedName>
    <definedName function="false" hidden="false" name="A.BP.070" vbProcedure="false">#REF!</definedName>
    <definedName function="false" hidden="false" name="A.CV.010" vbProcedure="false">#REF!</definedName>
    <definedName function="false" hidden="false" name="A.DO.010" vbProcedure="false">#REF!</definedName>
    <definedName function="false" hidden="false" name="A.DO.020" vbProcedure="false">#REF!</definedName>
    <definedName function="false" hidden="false" name="A.DO.030" vbProcedure="false">#REF!</definedName>
    <definedName function="false" hidden="false" name="A.MD.010" vbProcedure="false">#REF!</definedName>
    <definedName function="false" hidden="false" name="A.PT.010" vbProcedure="false">#REF!</definedName>
    <definedName function="false" hidden="false" name="A.RD.010" vbProcedure="false">#REF!</definedName>
    <definedName function="false" hidden="false" name="A.RD.020" vbProcedure="false">#REF!</definedName>
    <definedName function="false" hidden="false" name="A.RD.020.hrs" vbProcedure="false">#REF!</definedName>
    <definedName function="false" hidden="false" name="A.TA.010" vbProcedure="false">#REF!</definedName>
    <definedName function="false" hidden="false" name="A.TA.020" vbProcedure="false">#REF!</definedName>
    <definedName function="false" hidden="false" name="A.TA.030" vbProcedure="false">#REF!</definedName>
    <definedName function="false" hidden="false" name="A.TE.010" vbProcedure="false">#REF!</definedName>
    <definedName function="false" hidden="false" name="A65536_4" vbProcedure="false">#REF!</definedName>
    <definedName function="false" hidden="false" name="A65537_4" vbProcedure="false">#REF!</definedName>
    <definedName function="false" hidden="false" name="a665536_4" vbProcedure="false">#REF!</definedName>
    <definedName function="false" hidden="false" name="aaa" vbProcedure="false">#REF!</definedName>
    <definedName function="false" hidden="false" name="aaasd" vbProcedure="false">#REF!</definedName>
    <definedName function="false" hidden="false" name="aartot" vbProcedure="false">#REF!</definedName>
    <definedName function="false" hidden="false" name="abc" vbProcedure="false">#REF!</definedName>
    <definedName function="false" hidden="false" name="abcd" vbProcedure="false">#REF!</definedName>
    <definedName function="false" hidden="false" name="acc" vbProcedure="false">#REF!</definedName>
    <definedName function="false" hidden="false" name="ACCOUNT" vbProcedure="false">#REF!</definedName>
    <definedName function="false" hidden="false" name="Accumulated_Dep___Building_improvement" vbProcedure="false">#REF!</definedName>
    <definedName function="false" hidden="false" name="acc_bal" vbProcedure="false">#REF!</definedName>
    <definedName function="false" hidden="false" name="ACK" vbProcedure="false">#REF!</definedName>
    <definedName function="false" hidden="false" name="ActiveBldgIDNumbers" vbProcedure="false">#REF!</definedName>
    <definedName function="false" hidden="false" name="Actual_Rate" vbProcedure="false">#REF!</definedName>
    <definedName function="false" hidden="false" name="adc" vbProcedure="false">#REF!</definedName>
    <definedName function="false" hidden="false" name="additions_companies_act" vbProcedure="false">#REF!</definedName>
    <definedName function="false" hidden="false" name="adf" vbProcedure="false">#REF!</definedName>
    <definedName function="false" hidden="false" name="admn_off" vbProcedure="false">#REF!</definedName>
    <definedName function="false" hidden="false" name="admn_site" vbProcedure="false">#REF!</definedName>
    <definedName function="false" hidden="false" name="adssdfad" vbProcedure="false">#REF!</definedName>
    <definedName function="false" hidden="false" name="adv" vbProcedure="false">#REF!</definedName>
    <definedName function="false" hidden="false" name="advancetax" vbProcedure="false">#REF!</definedName>
    <definedName function="false" hidden="false" name="aefdays" vbProcedure="false">#REF!</definedName>
    <definedName function="false" hidden="false" name="agskjdjpa" vbProcedure="false">#REF!</definedName>
    <definedName function="false" hidden="false" name="AHC" vbProcedure="false">#REF!</definedName>
    <definedName function="false" hidden="false" name="ahdfl" vbProcedure="false">#REF!</definedName>
    <definedName function="false" hidden="false" name="aja" vbProcedure="false">#REF!</definedName>
    <definedName function="false" hidden="false" name="ajaa" vbProcedure="false">#REF!</definedName>
    <definedName function="false" hidden="false" name="ajj" vbProcedure="false">#REF!</definedName>
    <definedName function="false" hidden="false" name="ajj_13" vbProcedure="false">#REF!</definedName>
    <definedName function="false" hidden="false" name="ALL" vbProcedure="false">#REF!</definedName>
    <definedName function="false" hidden="false" name="Alpha_Holdings___Infrastructures_Pvt_Ltd" vbProcedure="false">#REF!</definedName>
    <definedName function="false" hidden="false" name="alsrtot" vbProcedure="false">#REF!</definedName>
    <definedName function="false" hidden="false" name="amgperc" vbProcedure="false">#REF!</definedName>
    <definedName function="false" hidden="false" name="Amount__USD" vbProcedure="false">#REF!</definedName>
    <definedName function="false" hidden="false" name="Amtek" vbProcedure="false">#REF!</definedName>
    <definedName function="false" hidden="false" name="AMWC" vbProcedure="false">#REF!</definedName>
    <definedName function="false" hidden="false" name="anabp" vbProcedure="false">#REF!</definedName>
    <definedName function="false" hidden="false" name="anabr" vbProcedure="false">#REF!</definedName>
    <definedName function="false" hidden="false" name="anacv" vbProcedure="false">#REF!</definedName>
    <definedName function="false" hidden="false" name="anado" vbProcedure="false">#REF!</definedName>
    <definedName function="false" hidden="false" name="anamd" vbProcedure="false">#REF!</definedName>
    <definedName function="false" hidden="false" name="anapm" vbProcedure="false">#REF!</definedName>
    <definedName function="false" hidden="false" name="anapt" vbProcedure="false">#REF!</definedName>
    <definedName function="false" hidden="false" name="anard" vbProcedure="false">#REF!</definedName>
    <definedName function="false" hidden="false" name="anata" vbProcedure="false">#REF!</definedName>
    <definedName function="false" hidden="false" name="anate" vbProcedure="false">#REF!</definedName>
    <definedName function="false" hidden="false" name="anatr" vbProcedure="false">#REF!</definedName>
    <definedName function="false" hidden="false" name="ANJU_SHENOY" vbProcedure="false">#REF!</definedName>
    <definedName function="false" hidden="false" name="anna" vbProcedure="false">#REF!</definedName>
    <definedName function="false" hidden="false" name="AnnAvail" vbProcedure="false">#REF!</definedName>
    <definedName function="false" hidden="false" name="AnnCapacity" vbProcedure="false">#REF!</definedName>
    <definedName function="false" hidden="false" name="ANNEX" vbProcedure="false">#REF!</definedName>
    <definedName function="false" hidden="false" name="ANNEXA" vbProcedure="false">#REF!</definedName>
    <definedName function="false" hidden="false" name="Annexure" vbProcedure="false">#REF!</definedName>
    <definedName function="false" hidden="false" name="ANNEXURE1" vbProcedure="false">#REF!</definedName>
    <definedName function="false" hidden="false" name="Annexure2" vbProcedure="false">#REF!</definedName>
    <definedName function="false" hidden="false" name="AnnexurePART1" vbProcedure="false">#REF!</definedName>
    <definedName function="false" hidden="false" name="annexure_1" vbProcedure="false">#REF!</definedName>
    <definedName function="false" hidden="false" name="AnnII" vbProcedure="false">#REF!</definedName>
    <definedName function="false" hidden="false" name="AnnIIIa" vbProcedure="false">#REF!</definedName>
    <definedName function="false" hidden="false" name="AnnIIIb" vbProcedure="false">#REF!</definedName>
    <definedName function="false" hidden="false" name="AnnIIIc" vbProcedure="false">#REF!</definedName>
    <definedName function="false" hidden="false" name="AnnVIIa" vbProcedure="false">#REF!</definedName>
    <definedName function="false" hidden="false" name="AnnVIII" vbProcedure="false">#REF!</definedName>
    <definedName function="false" hidden="false" name="AnnX" vbProcedure="false">#REF!</definedName>
    <definedName function="false" hidden="false" name="AnnXI" vbProcedure="false">#REF!</definedName>
    <definedName function="false" hidden="false" name="AnnXIc" vbProcedure="false">#REF!</definedName>
    <definedName function="false" hidden="false" name="AnnXIIb" vbProcedure="false">#REF!</definedName>
    <definedName function="false" hidden="false" name="AnnXIIc" vbProcedure="false">#REF!</definedName>
    <definedName function="false" hidden="false" name="AnnXIV" vbProcedure="false">#REF!</definedName>
    <definedName function="false" hidden="false" name="AnnXV" vbProcedure="false">#REF!</definedName>
    <definedName function="false" hidden="true" name="anscount" vbProcedure="false">6</definedName>
    <definedName function="false" hidden="false" name="Appendix" vbProcedure="false">#REF!</definedName>
    <definedName function="false" hidden="false" name="apperc" vbProcedure="false">#REF!</definedName>
    <definedName function="false" hidden="false" name="APRDATA?" vbProcedure="false">#REF!</definedName>
    <definedName function="false" hidden="false" name="APRIL" vbProcedure="false">#REF!</definedName>
    <definedName function="false" hidden="false" name="apsperc" vbProcedure="false">#REF!</definedName>
    <definedName function="false" hidden="false" name="APSUMMARY" vbProcedure="false">#REF!</definedName>
    <definedName function="false" hidden="false" name="ARA_Threshold" vbProcedure="false">#REF!</definedName>
    <definedName function="false" hidden="false" name="Area" vbProcedure="false">#REF!</definedName>
    <definedName function="false" hidden="false" name="ARP" vbProcedure="false">#REF!</definedName>
    <definedName function="false" hidden="false" name="arperc" vbProcedure="false">#REF!</definedName>
    <definedName function="false" hidden="false" name="ARP_Threshold" vbProcedure="false">#REF!</definedName>
    <definedName function="false" hidden="false" name="array" vbProcedure="false">#REF!</definedName>
    <definedName function="false" hidden="false" name="arvindmills" vbProcedure="false">#REF!</definedName>
    <definedName function="false" hidden="false" name="ar_thre" vbProcedure="false">#REF!</definedName>
    <definedName function="false" hidden="false" name="as" vbProcedure="false">#REF!</definedName>
    <definedName function="false" hidden="false" name="AS2StaticLS" vbProcedure="false">#REF!</definedName>
    <definedName function="false" hidden="false" name="AS2TickmarkLS" vbProcedure="false">#REF!</definedName>
    <definedName function="false" hidden="false" name="asaaaa" vbProcedure="false">#REF!</definedName>
    <definedName function="false" hidden="false" name="asaaaaaa" vbProcedure="false">#REF!</definedName>
    <definedName function="false" hidden="false" name="asas" vbProcedure="false">#REF!</definedName>
    <definedName function="false" hidden="false" name="ASD" vbProcedure="false">#REF!</definedName>
    <definedName function="false" hidden="true" name="ASDAS" vbProcedure="false">#REF!</definedName>
    <definedName function="false" hidden="false" name="asdfds" vbProcedure="false">#REF!</definedName>
    <definedName function="false" hidden="false" name="asdfdssa" vbProcedure="false">#REF!</definedName>
    <definedName function="false" hidden="false" name="ASIA_PLASTIC_in_KUSD" vbProcedure="false">#REF!</definedName>
    <definedName function="false" hidden="false" name="ASIA_PLASTIC_in_KUSD_4" vbProcedure="false">#REF!</definedName>
    <definedName function="false" hidden="false" name="ASKRJCOSTS" vbProcedure="false">#REF!</definedName>
    <definedName function="false" hidden="false" name="asrtot" vbProcedure="false">#REF!</definedName>
    <definedName function="false" hidden="false" name="assd" vbProcedure="false">#REF!</definedName>
    <definedName function="false" hidden="false" name="assprtot" vbProcedure="false">#REF!</definedName>
    <definedName function="false" hidden="false" name="asssdsd" vbProcedure="false">#REF!</definedName>
    <definedName function="false" hidden="false" name="AsstYr_13" vbProcedure="false">#REF!</definedName>
    <definedName function="false" hidden="false" name="AsstYr_4" vbProcedure="false">#REF!</definedName>
    <definedName function="false" hidden="false" name="AUGDATA?" vbProcedure="false">#REF!</definedName>
    <definedName function="false" hidden="false" name="Augopex" vbProcedure="false">#REF!</definedName>
    <definedName function="false" hidden="false" name="AUGUST" vbProcedure="false">#REF!</definedName>
    <definedName function="false" hidden="false" name="AUST" vbProcedure="false">#REF!</definedName>
    <definedName function="false" hidden="false" name="AUSTRALIA" vbProcedure="false">#REF!</definedName>
    <definedName function="false" hidden="false" name="AUSTRIA" vbProcedure="false">#REF!</definedName>
    <definedName function="false" hidden="false" name="AUTOPRINT_1" vbProcedure="false">#REF!</definedName>
    <definedName function="false" hidden="false" name="AUTOPRINT_2" vbProcedure="false">#REF!</definedName>
    <definedName function="false" hidden="false" name="AVGRATE1" vbProcedure="false">#REF!</definedName>
    <definedName function="false" hidden="false" name="axedoc" vbProcedure="false">#REF!</definedName>
    <definedName function="false" hidden="false" name="axedoc_4" vbProcedure="false">#REF!</definedName>
    <definedName function="false" hidden="false" name="A_Rodricks" vbProcedure="false">#REF!</definedName>
    <definedName function="false" hidden="false" name="B" vbProcedure="false">#REF!</definedName>
    <definedName function="false" hidden="false" name="B.AP.090" vbProcedure="false">#REF!</definedName>
    <definedName function="false" hidden="false" name="B.AP.090.hrs" vbProcedure="false">#REF!</definedName>
    <definedName function="false" hidden="false" name="B.BP.080" vbProcedure="false">#REF!</definedName>
    <definedName function="false" hidden="false" name="B.BP.080.hrs" vbProcedure="false">#REF!</definedName>
    <definedName function="false" hidden="false" name="B.BR.010" vbProcedure="false">#REF!</definedName>
    <definedName function="false" hidden="false" name="B.BR.020" vbProcedure="false">#REF!</definedName>
    <definedName function="false" hidden="false" name="B.BR.030" vbProcedure="false">#REF!</definedName>
    <definedName function="false" hidden="false" name="B.BR.030.hrs" vbProcedure="false">#REF!</definedName>
    <definedName function="false" hidden="false" name="B.BR.040" vbProcedure="false">#REF!</definedName>
    <definedName function="false" hidden="false" name="B.BR.050" vbProcedure="false">#REF!</definedName>
    <definedName function="false" hidden="false" name="B.BR.060" vbProcedure="false">#REF!</definedName>
    <definedName function="false" hidden="false" name="B.BR.070" vbProcedure="false">#REF!</definedName>
    <definedName function="false" hidden="false" name="B.BR.080" vbProcedure="false">#REF!</definedName>
    <definedName function="false" hidden="false" name="B.BR.090" vbProcedure="false">#REF!</definedName>
    <definedName function="false" hidden="false" name="B.DO.040" vbProcedure="false">#REF!</definedName>
    <definedName function="false" hidden="false" name="B.DO.050" vbProcedure="false">#REF!</definedName>
    <definedName function="false" hidden="false" name="B.MD.020" vbProcedure="false">#REF!</definedName>
    <definedName function="false" hidden="false" name="B.PM.010" vbProcedure="false">#REF!</definedName>
    <definedName function="false" hidden="false" name="B.PT.020" vbProcedure="false">#REF!</definedName>
    <definedName function="false" hidden="false" name="B.PT.030" vbProcedure="false">#REF!</definedName>
    <definedName function="false" hidden="false" name="B.RD.030" vbProcedure="false">#REF!</definedName>
    <definedName function="false" hidden="false" name="B.RD.040" vbProcedure="false">#REF!</definedName>
    <definedName function="false" hidden="false" name="B.RD.050" vbProcedure="false">#REF!</definedName>
    <definedName function="false" hidden="false" name="B.RD.050.hrs" vbProcedure="false">#REF!</definedName>
    <definedName function="false" hidden="false" name="B.RD.060" vbProcedure="false">#REF!</definedName>
    <definedName function="false" hidden="false" name="B.RD.070" vbProcedure="false">#REF!</definedName>
    <definedName function="false" hidden="false" name="B.RD.080" vbProcedure="false">#REF!</definedName>
    <definedName function="false" hidden="false" name="B.TA.040" vbProcedure="false">#REF!</definedName>
    <definedName function="false" hidden="false" name="B.TA.050" vbProcedure="false">#REF!</definedName>
    <definedName function="false" hidden="false" name="B.TA.060" vbProcedure="false">#REF!</definedName>
    <definedName function="false" hidden="false" name="B.TA.070" vbProcedure="false">#REF!</definedName>
    <definedName function="false" hidden="false" name="BABL" vbProcedure="false">#REF!</definedName>
    <definedName function="false" hidden="false" name="BALANCEP" vbProcedure="false">#REF!</definedName>
    <definedName function="false" hidden="false" name="balancesheet" vbProcedure="false">#REF!</definedName>
    <definedName function="false" hidden="false" name="ballapurindus" vbProcedure="false">#REF!</definedName>
    <definedName function="false" hidden="false" name="bal_sheet" vbProcedure="false">#REF!</definedName>
    <definedName function="false" hidden="false" name="bankofbaroda" vbProcedure="false">#REF!</definedName>
    <definedName function="false" hidden="false" name="bankofindia" vbProcedure="false">#REF!</definedName>
    <definedName function="false" hidden="false" name="bankofrajas" vbProcedure="false">#REF!</definedName>
    <definedName function="false" hidden="false" name="Banks" vbProcedure="false">#REF!</definedName>
    <definedName function="false" hidden="false" name="bartot" vbProcedure="false">#REF!</definedName>
    <definedName function="false" hidden="false" name="BASE_YEAR" vbProcedure="false">#REF!</definedName>
    <definedName function="false" hidden="false" name="BASIC" vbProcedure="false">#REF!</definedName>
    <definedName function="false" hidden="false" name="BASIS_YEAR" vbProcedure="false">#REF!</definedName>
    <definedName function="false" hidden="false" name="bayerabs" vbProcedure="false">#REF!</definedName>
    <definedName function="false" hidden="false" name="bb" vbProcedure="false">#REF!</definedName>
    <definedName function="false" hidden="false" name="BCCODE" vbProcedure="false">#REF!</definedName>
    <definedName function="false" hidden="false" name="BCCODE1" vbProcedure="false">#REF!</definedName>
    <definedName function="false" hidden="false" name="BCCODE2005" vbProcedure="false">#REF!</definedName>
    <definedName function="false" hidden="false" name="BCCODE2006" vbProcedure="false">#REF!</definedName>
    <definedName function="false" hidden="false" name="BCCODE2010" vbProcedure="false">#REF!</definedName>
    <definedName function="false" hidden="false" name="BCCREDIT" vbProcedure="false">#REF!</definedName>
    <definedName function="false" hidden="false" name="BCCREDIT1" vbProcedure="false">#REF!</definedName>
    <definedName function="false" hidden="false" name="BCCREDIT2005" vbProcedure="false">#REF!</definedName>
    <definedName function="false" hidden="false" name="BCCREDIT2006" vbProcedure="false">#REF!</definedName>
    <definedName function="false" hidden="false" name="BCDEBIT" vbProcedure="false">#REF!</definedName>
    <definedName function="false" hidden="false" name="BCDEBIT1" vbProcedure="false">#REF!</definedName>
    <definedName function="false" hidden="false" name="BCDEBIT2005" vbProcedure="false">#REF!</definedName>
    <definedName function="false" hidden="false" name="BCDEBIT2006" vbProcedure="false">#REF!</definedName>
    <definedName function="false" hidden="false" name="bdays" vbProcedure="false">#REF!</definedName>
    <definedName function="false" hidden="false" name="befdays" vbProcedure="false">#REF!</definedName>
    <definedName function="false" hidden="false" name="BEGIN" vbProcedure="false">#REF!</definedName>
    <definedName function="false" hidden="false" name="Beurteilung" vbProcedure="false">#REF!</definedName>
    <definedName function="false" hidden="false" name="BGXCBCVBCVB" vbProcedure="false">#REF!</definedName>
    <definedName function="false" hidden="false" name="bhartiship" vbProcedure="false">#REF!</definedName>
    <definedName function="false" hidden="false" name="bhel" vbProcedure="false">#REF!</definedName>
    <definedName function="false" hidden="false" name="bill" vbProcedure="false">#REF!</definedName>
    <definedName function="false" hidden="false" name="BILLING_RATE" vbProcedure="false">#REF!</definedName>
    <definedName function="false" hidden="false" name="BillMkt1" vbProcedure="false">#REF!</definedName>
    <definedName function="false" hidden="false" name="BillMkt10" vbProcedure="false">#REF!</definedName>
    <definedName function="false" hidden="false" name="BillMkt10_13" vbProcedure="false">#REF!</definedName>
    <definedName function="false" hidden="false" name="BillMkt10_4" vbProcedure="false">#REF!</definedName>
    <definedName function="false" hidden="false" name="BillMkt10_7" vbProcedure="false">#REF!</definedName>
    <definedName function="false" hidden="false" name="BillMkt11" vbProcedure="false">#REF!</definedName>
    <definedName function="false" hidden="false" name="BillMkt11_13" vbProcedure="false">#REF!</definedName>
    <definedName function="false" hidden="false" name="BillMkt11_4" vbProcedure="false">#REF!</definedName>
    <definedName function="false" hidden="false" name="BillMkt11_7" vbProcedure="false">#REF!</definedName>
    <definedName function="false" hidden="false" name="BillMkt1_13" vbProcedure="false">#REF!</definedName>
    <definedName function="false" hidden="false" name="BillMkt1_4" vbProcedure="false">#REF!</definedName>
    <definedName function="false" hidden="false" name="BillMkt1_7" vbProcedure="false">#REF!</definedName>
    <definedName function="false" hidden="false" name="BillMkt2" vbProcedure="false">#REF!</definedName>
    <definedName function="false" hidden="false" name="BillMkt2_13" vbProcedure="false">#REF!</definedName>
    <definedName function="false" hidden="false" name="BillMkt2_4" vbProcedure="false">#REF!</definedName>
    <definedName function="false" hidden="false" name="BillMkt2_7" vbProcedure="false">#REF!</definedName>
    <definedName function="false" hidden="false" name="BillMkt3" vbProcedure="false">#REF!</definedName>
    <definedName function="false" hidden="false" name="BillMkt3_13" vbProcedure="false">#REF!</definedName>
    <definedName function="false" hidden="false" name="BillMkt3_4" vbProcedure="false">#REF!</definedName>
    <definedName function="false" hidden="false" name="BillMkt3_7" vbProcedure="false">#REF!</definedName>
    <definedName function="false" hidden="false" name="BillMkt4" vbProcedure="false">#REF!</definedName>
    <definedName function="false" hidden="false" name="BillMkt4_13" vbProcedure="false">#REF!</definedName>
    <definedName function="false" hidden="false" name="BillMkt4_4" vbProcedure="false">#REF!</definedName>
    <definedName function="false" hidden="false" name="BillMkt4_7" vbProcedure="false">#REF!</definedName>
    <definedName function="false" hidden="false" name="BillMkt5" vbProcedure="false">#REF!</definedName>
    <definedName function="false" hidden="false" name="BillMkt5_13" vbProcedure="false">#REF!</definedName>
    <definedName function="false" hidden="false" name="BillMkt5_4" vbProcedure="false">#REF!</definedName>
    <definedName function="false" hidden="false" name="BillMkt5_7" vbProcedure="false">#REF!</definedName>
    <definedName function="false" hidden="false" name="BillMkt6" vbProcedure="false">#REF!</definedName>
    <definedName function="false" hidden="false" name="BillMkt6_13" vbProcedure="false">#REF!</definedName>
    <definedName function="false" hidden="false" name="BillMkt6_4" vbProcedure="false">#REF!</definedName>
    <definedName function="false" hidden="false" name="BillMkt6_7" vbProcedure="false">#REF!</definedName>
    <definedName function="false" hidden="false" name="BillMkt7" vbProcedure="false">#REF!</definedName>
    <definedName function="false" hidden="false" name="BillMkt7_13" vbProcedure="false">#REF!</definedName>
    <definedName function="false" hidden="false" name="BillMkt7_4" vbProcedure="false">#REF!</definedName>
    <definedName function="false" hidden="false" name="BillMkt7_7" vbProcedure="false">#REF!</definedName>
    <definedName function="false" hidden="false" name="BillMkt8" vbProcedure="false">#REF!</definedName>
    <definedName function="false" hidden="false" name="BillMkt8_13" vbProcedure="false">#REF!</definedName>
    <definedName function="false" hidden="false" name="BillMkt8_4" vbProcedure="false">#REF!</definedName>
    <definedName function="false" hidden="false" name="BillMkt8_7" vbProcedure="false">#REF!</definedName>
    <definedName function="false" hidden="false" name="BillMkt9" vbProcedure="false">#REF!</definedName>
    <definedName function="false" hidden="false" name="BillMkt9_13" vbProcedure="false">#REF!</definedName>
    <definedName function="false" hidden="false" name="BillMkt9_4" vbProcedure="false">#REF!</definedName>
    <definedName function="false" hidden="false" name="BillMkt9_7" vbProcedure="false">#REF!</definedName>
    <definedName function="false" hidden="false" name="BillTtl" vbProcedure="false">#REF!</definedName>
    <definedName function="false" hidden="false" name="BillTtl_13" vbProcedure="false">#REF!</definedName>
    <definedName function="false" hidden="false" name="BillTtl_4" vbProcedure="false">#REF!</definedName>
    <definedName function="false" hidden="false" name="BillTtl_7" vbProcedure="false">#REF!</definedName>
    <definedName function="false" hidden="false" name="bldbp" vbProcedure="false">#REF!</definedName>
    <definedName function="false" hidden="false" name="bldbr" vbProcedure="false">#REF!</definedName>
    <definedName function="false" hidden="false" name="bldcv" vbProcedure="false">#REF!</definedName>
    <definedName function="false" hidden="false" name="blddo" vbProcedure="false">#REF!</definedName>
    <definedName function="false" hidden="false" name="bldmd" vbProcedure="false">#REF!</definedName>
    <definedName function="false" hidden="false" name="bldpm" vbProcedure="false">#REF!</definedName>
    <definedName function="false" hidden="false" name="bldpt" vbProcedure="false">#REF!</definedName>
    <definedName function="false" hidden="false" name="bldrd" vbProcedure="false">#REF!</definedName>
    <definedName function="false" hidden="false" name="bldta" vbProcedure="false">#REF!</definedName>
    <definedName function="false" hidden="false" name="bldte" vbProcedure="false">#REF!</definedName>
    <definedName function="false" hidden="false" name="bldtr" vbProcedure="false">#REF!</definedName>
    <definedName function="false" hidden="false" name="blmrtot" vbProcedure="false">#REF!</definedName>
    <definedName function="false" hidden="false" name="blog" vbProcedure="false">#REF!</definedName>
    <definedName function="false" hidden="false" name="BLR80IA" vbProcedure="false">#REF!</definedName>
    <definedName function="false" hidden="false" name="BlrChemCost" vbProcedure="false">#REF!</definedName>
    <definedName function="false" hidden="false" name="bmprtot" vbProcedure="false">#REF!</definedName>
    <definedName function="false" hidden="false" name="bmrtot" vbProcedure="false">#REF!</definedName>
    <definedName function="false" hidden="false" name="bn" vbProcedure="false">#REF!</definedName>
    <definedName function="false" hidden="false" name="BOBAY_CONVEYAN" vbProcedure="false">#REF!</definedName>
    <definedName function="false" hidden="false" name="BOB_P_M" vbProcedure="false">#REF!</definedName>
    <definedName function="false" hidden="false" name="BOD_CEIP" vbProcedure="false">#REF!</definedName>
    <definedName function="false" hidden="false" name="BOD_OEQP" vbProcedure="false">#REF!</definedName>
    <definedName function="false" hidden="false" name="boi" vbProcedure="false">#REF!</definedName>
    <definedName function="false" hidden="false" name="bomperc" vbProcedure="false">#REF!</definedName>
    <definedName function="false" hidden="false" name="BonusFee" vbProcedure="false">#REF!</definedName>
    <definedName function="false" hidden="false" name="Bonus_13" vbProcedure="false">#REF!</definedName>
    <definedName function="false" hidden="false" name="Bonus_4" vbProcedure="false">#REF!</definedName>
    <definedName function="false" hidden="false" name="boxes" vbProcedure="false">#REF!</definedName>
    <definedName function="false" hidden="false" name="bpptot" vbProcedure="false">#REF!</definedName>
    <definedName function="false" hidden="false" name="bpr" vbProcedure="false">#REF!</definedName>
    <definedName function="false" hidden="false" name="BRanch__Sales___Aug" vbProcedure="false">#REF!</definedName>
    <definedName function="false" hidden="false" name="brptot" vbProcedure="false">#REF!</definedName>
    <definedName function="false" hidden="false" name="BRS_ADJ_31399" vbProcedure="false">#REF!</definedName>
    <definedName function="false" hidden="false" name="BS" vbProcedure="false">#REF!</definedName>
    <definedName function="false" hidden="false" name="BSDateSF_13" vbProcedure="false">#REF!</definedName>
    <definedName function="false" hidden="false" name="BSDateSF_4" vbProcedure="false">#REF!</definedName>
    <definedName function="false" hidden="false" name="BSGROUP" vbProcedure="false">#REF!</definedName>
    <definedName function="false" hidden="false" name="BSK" vbProcedure="false">#REF!</definedName>
    <definedName function="false" hidden="false" name="BSM" vbProcedure="false">#REF!</definedName>
    <definedName function="false" hidden="false" name="BS_CHK_THB" vbProcedure="false">#REF!</definedName>
    <definedName function="false" hidden="false" name="BS_CHK_USD" vbProcedure="false">#REF!</definedName>
    <definedName function="false" hidden="false" name="BUD2_DETAILS" vbProcedure="false">#REF!</definedName>
    <definedName function="false" hidden="false" name="BUD2_GL" vbProcedure="false">#REF!</definedName>
    <definedName function="false" hidden="false" name="BUDGET_YEAR" vbProcedure="false">#REF!</definedName>
    <definedName function="false" hidden="false" name="BUIL" vbProcedure="false">#REF!</definedName>
    <definedName function="false" hidden="false" name="BuiltIn_Print_Area" vbProcedure="false">#REF!</definedName>
    <definedName function="false" hidden="false" name="BuiltIn_Print_Area_13" vbProcedure="false">#REF!</definedName>
    <definedName function="false" hidden="false" name="BuiltIn_Print_Area_4" vbProcedure="false">#REF!</definedName>
    <definedName function="false" hidden="false" name="BuiltIn_Print_Area___0" vbProcedure="false">#REF!</definedName>
    <definedName function="false" hidden="false" name="BuiltIn_Print_Area___0_13" vbProcedure="false">#REF!</definedName>
    <definedName function="false" hidden="false" name="BuiltIn_Print_Area___0_4" vbProcedure="false">#REF!</definedName>
    <definedName function="false" hidden="false" name="BuiltIn_Print_Area___0___0" vbProcedure="false">#REF!</definedName>
    <definedName function="false" hidden="false" name="BuiltIn_Print_Area___0___0_13" vbProcedure="false">#REF!</definedName>
    <definedName function="false" hidden="false" name="BuiltIn_Print_Area___0___0_4" vbProcedure="false">#REF!</definedName>
    <definedName function="false" hidden="false" name="BuiltIn_Print_Area___0___0___0" vbProcedure="false">#REF!</definedName>
    <definedName function="false" hidden="false" name="BuiltIn_Print_Area___0___0___0_13" vbProcedure="false">#REF!</definedName>
    <definedName function="false" hidden="false" name="BuiltIn_Print_Area___0___0___0_4" vbProcedure="false">#REF!</definedName>
    <definedName function="false" hidden="false" name="BuiltIn_Print_Area___0___0___0___0" vbProcedure="false">#REF!</definedName>
    <definedName function="false" hidden="false" name="BuiltIn_Print_Area___0___0___0___0_13" vbProcedure="false">#REF!</definedName>
    <definedName function="false" hidden="false" name="BuiltIn_Print_Area___0___0___0___0_4" vbProcedure="false">#REF!</definedName>
    <definedName function="false" hidden="false" name="BuiltIn_Print_Area___0___0___0___0___0" vbProcedure="false">#REF!</definedName>
    <definedName function="false" hidden="false" name="BuiltIn_Print_Area___0___0___0___0___0___0" vbProcedure="false">#REF!</definedName>
    <definedName function="false" hidden="false" name="BuiltIn_Print_Area___0___0___0___0___0___0_13" vbProcedure="false">#REF!</definedName>
    <definedName function="false" hidden="false" name="BuiltIn_Print_Area___0___0___0___0___0___0_4" vbProcedure="false">#REF!</definedName>
    <definedName function="false" hidden="false" name="BuiltIn_Print_Area___0___0___0___0___0___0___0" vbProcedure="false">#REF!</definedName>
    <definedName function="false" hidden="false" name="BuiltIn_Print_Area___0___0___0___0___0___0___0_13" vbProcedure="false">#REF!</definedName>
    <definedName function="false" hidden="false" name="BuiltIn_Print_Area___0___0___0___0___0___0___0_4" vbProcedure="false">#REF!</definedName>
    <definedName function="false" hidden="false" name="BuiltIn_Print_Area___0___0___0___0___0___0___0___0" vbProcedure="false">#REF!</definedName>
    <definedName function="false" hidden="false" name="BuiltIn_Print_Area___0___0___0___0___0___0___0___0_13" vbProcedure="false">#REF!</definedName>
    <definedName function="false" hidden="false" name="BuiltIn_Print_Area___0___0___0___0___0___0___0___0_4" vbProcedure="false">#REF!</definedName>
    <definedName function="false" hidden="false" name="BuiltIn_Print_Titles" vbProcedure="false">#REF!</definedName>
    <definedName function="false" hidden="false" name="BuiltIn_Print_Titles___0" vbProcedure="false">#REF!</definedName>
    <definedName function="false" hidden="false" name="BuiltIn_Print_Titles___0_13" vbProcedure="false">#REF!</definedName>
    <definedName function="false" hidden="false" name="BuiltIn_Print_Titles___0_4" vbProcedure="false">#REF!</definedName>
    <definedName function="false" hidden="false" name="by" vbProcedure="false">#REF!</definedName>
    <definedName function="false" hidden="false" name="B_BALKRISHANAN" vbProcedure="false">#REF!</definedName>
    <definedName function="false" hidden="false" name="C.AP.100" vbProcedure="false">#REF!</definedName>
    <definedName function="false" hidden="false" name="C.AP.110" vbProcedure="false">#REF!</definedName>
    <definedName function="false" hidden="false" name="C.AP.120" vbProcedure="false">#REF!</definedName>
    <definedName function="false" hidden="false" name="C.AP.130" vbProcedure="false">#REF!</definedName>
    <definedName function="false" hidden="false" name="C.AP.140" vbProcedure="false">#REF!</definedName>
    <definedName function="false" hidden="false" name="C.AP.140.core.hrs" vbProcedure="false">#REF!</definedName>
    <definedName function="false" hidden="false" name="C.AP.140.opt.hrs" vbProcedure="false">#REF!</definedName>
    <definedName function="false" hidden="false" name="C.BP.090" vbProcedure="false">#REF!</definedName>
    <definedName function="false" hidden="false" name="C.BR.100" vbProcedure="false">#REF!</definedName>
    <definedName function="false" hidden="false" name="C.BR.110" vbProcedure="false">#REF!</definedName>
    <definedName function="false" hidden="false" name="C.CV.020" vbProcedure="false">#REF!</definedName>
    <definedName function="false" hidden="false" name="C.CV.030" vbProcedure="false">#REF!</definedName>
    <definedName function="false" hidden="false" name="C.CV.040" vbProcedure="false">#REF!</definedName>
    <definedName function="false" hidden="false" name="C.CV.050" vbProcedure="false">#REF!</definedName>
    <definedName function="false" hidden="false" name="C.CV.060" vbProcedure="false">#REF!</definedName>
    <definedName function="false" hidden="false" name="C.CV.070" vbProcedure="false">#REF!</definedName>
    <definedName function="false" hidden="false" name="C.MD.040" vbProcedure="false">#REF!</definedName>
    <definedName function="false" hidden="false" name="C.MD.050" vbProcedure="false">#REF!</definedName>
    <definedName function="false" hidden="false" name="C.MD.050.hrs" vbProcedure="false">#REF!</definedName>
    <definedName function="false" hidden="false" name="C.MD.060" vbProcedure="false">#REF!</definedName>
    <definedName function="false" hidden="false" name="C.MD.060.hrs" vbProcedure="false">#REF!</definedName>
    <definedName function="false" hidden="false" name="C.MD.070" vbProcedure="false">#REF!</definedName>
    <definedName function="false" hidden="false" name="C.MD.070.hrs" vbProcedure="false">#REF!</definedName>
    <definedName function="false" hidden="false" name="C.MD.080" vbProcedure="false">#REF!</definedName>
    <definedName function="false" hidden="false" name="C.PT.040" vbProcedure="false">#REF!</definedName>
    <definedName function="false" hidden="false" name="C.PT.050" vbProcedure="false">#REF!</definedName>
    <definedName function="false" hidden="false" name="C.PT.060" vbProcedure="false">#REF!</definedName>
    <definedName function="false" hidden="false" name="C.PT.070" vbProcedure="false">#REF!</definedName>
    <definedName function="false" hidden="false" name="C.TA.080" vbProcedure="false">#REF!</definedName>
    <definedName function="false" hidden="false" name="C.TE.020" vbProcedure="false">#REF!</definedName>
    <definedName function="false" hidden="false" name="C.TE.030" vbProcedure="false">#REF!</definedName>
    <definedName function="false" hidden="false" name="C.TE.040" vbProcedure="false">#REF!</definedName>
    <definedName function="false" hidden="false" name="C.TE.050" vbProcedure="false">#REF!</definedName>
    <definedName function="false" hidden="false" name="canarabank" vbProcedure="false">#REF!</definedName>
    <definedName function="false" hidden="false" name="caperc" vbProcedure="false">#REF!</definedName>
    <definedName function="false" hidden="false" name="capgains" vbProcedure="false">#REF!</definedName>
    <definedName function="false" hidden="false" name="capital" vbProcedure="false">#REF!</definedName>
    <definedName function="false" hidden="false" name="CapitalGains_exempt_PrintArea" vbProcedure="false">#REF!</definedName>
    <definedName function="false" hidden="false" name="CapitalGains_taxable_PrintArea" vbProcedure="false">#REF!</definedName>
    <definedName function="false" hidden="false" name="cars_comp" vbProcedure="false">#REF!</definedName>
    <definedName function="false" hidden="false" name="Case" vbProcedure="false">#REF!</definedName>
    <definedName function="false" hidden="false" name="CaseNo." vbProcedure="false">#REF!</definedName>
    <definedName function="false" hidden="false" name="Case_Result" vbProcedure="false">#REF!</definedName>
    <definedName function="false" hidden="false" name="CashflowMonth1Actuals" vbProcedure="false">#REF!</definedName>
    <definedName function="false" hidden="false" name="CashflowMonth1Budget" vbProcedure="false">#REF!</definedName>
    <definedName function="false" hidden="false" name="CashflowMonth2Actuals" vbProcedure="false">#REF!</definedName>
    <definedName function="false" hidden="false" name="CashflowMonth2Budget" vbProcedure="false">#REF!</definedName>
    <definedName function="false" hidden="false" name="CashflowMonth3Actuals" vbProcedure="false">#REF!</definedName>
    <definedName function="false" hidden="false" name="CashflowMonth3Budget" vbProcedure="false">#REF!</definedName>
    <definedName function="false" hidden="false" name="CashflowMonth4Actuals" vbProcedure="false">#REF!</definedName>
    <definedName function="false" hidden="false" name="CashflowMonth4Budget" vbProcedure="false">#REF!</definedName>
    <definedName function="false" hidden="false" name="CashflowYTDActuals" vbProcedure="false">#REF!</definedName>
    <definedName function="false" hidden="false" name="CashflowYTDBudget" vbProcedure="false">#REF!</definedName>
    <definedName function="false" hidden="false" name="CashProfitActuals" vbProcedure="false">#REF!</definedName>
    <definedName function="false" hidden="false" name="CashProfitBudget" vbProcedure="false">#REF!</definedName>
    <definedName function="false" hidden="false" name="CashProfitMonth1Actuals" vbProcedure="false">#REF!</definedName>
    <definedName function="false" hidden="false" name="CashProfitMonth1Budget" vbProcedure="false">#REF!</definedName>
    <definedName function="false" hidden="false" name="CashProfitMonth2Actuals" vbProcedure="false">#REF!</definedName>
    <definedName function="false" hidden="false" name="CashProfitMonth2Budget" vbProcedure="false">#REF!</definedName>
    <definedName function="false" hidden="false" name="CashProfitMonth3Actuals" vbProcedure="false">#REF!</definedName>
    <definedName function="false" hidden="false" name="CashProfitMonth3Budget" vbProcedure="false">#REF!</definedName>
    <definedName function="false" hidden="false" name="CashProfitMonth4Actuals" vbProcedure="false">#REF!</definedName>
    <definedName function="false" hidden="false" name="CashProfitMonth4Budget" vbProcedure="false">#REF!</definedName>
    <definedName function="false" hidden="false" name="CashProfitYTDActuals" vbProcedure="false">#REF!</definedName>
    <definedName function="false" hidden="false" name="CashProfitYTDBudget" vbProcedure="false">#REF!</definedName>
    <definedName function="false" hidden="false" name="cash_bank" vbProcedure="false">#REF!</definedName>
    <definedName function="false" hidden="false" name="CASH_CHK_THB" vbProcedure="false">#REF!</definedName>
    <definedName function="false" hidden="false" name="CASH_CHK_USD" vbProcedure="false">#REF!</definedName>
    <definedName function="false" hidden="false" name="CATEGORY_HEADER" vbProcedure="false">#REF!</definedName>
    <definedName function="false" hidden="false" name="cboBusiness" vbProcedure="false">#REF!</definedName>
    <definedName function="false" hidden="false" name="cbpio" vbProcedure="false">#REF!</definedName>
    <definedName function="false" hidden="false" name="ccac" vbProcedure="false">#REF!</definedName>
    <definedName function="false" hidden="false" name="ccpp" vbProcedure="false">#REF!</definedName>
    <definedName function="false" hidden="false" name="ccr" vbProcedure="false">#REF!</definedName>
    <definedName function="false" hidden="false" name="CCT" vbProcedure="false">#REF!</definedName>
    <definedName function="false" hidden="false" name="CCT_4" vbProcedure="false">#REF!</definedName>
    <definedName function="false" hidden="false" name="ccu" vbProcedure="false">#REF!</definedName>
    <definedName function="false" hidden="false" name="CDFinal" vbProcedure="false">#REF!</definedName>
    <definedName function="false" hidden="false" name="cdmhrs" vbProcedure="false">#REF!</definedName>
    <definedName function="false" hidden="false" name="CDPG1" vbProcedure="false">#REF!</definedName>
    <definedName function="false" hidden="false" name="CDPG5" vbProcedure="false">#REF!</definedName>
    <definedName function="false" hidden="false" name="cefdays" vbProcedure="false">#REF!</definedName>
    <definedName function="false" hidden="false" name="celltips_area" vbProcedure="false">#REF!</definedName>
    <definedName function="false" hidden="false" name="celltips_area_4" vbProcedure="false">#REF!</definedName>
    <definedName function="false" hidden="false" name="Centre" vbProcedure="false">#REF!</definedName>
    <definedName function="false" hidden="false" name="certot" vbProcedure="false">#REF!</definedName>
    <definedName function="false" hidden="false" name="cesc" vbProcedure="false">#REF!</definedName>
    <definedName function="false" hidden="false" name="CF" vbProcedure="false">#REF!</definedName>
    <definedName function="false" hidden="false" name="CFlowSum" vbProcedure="false">#REF!</definedName>
    <definedName function="false" hidden="false" name="CFSC" vbProcedure="false">#REF!</definedName>
    <definedName function="false" hidden="false" name="CGTScale" vbProcedure="false">#REF!</definedName>
    <definedName function="false" hidden="false" name="CHA" vbProcedure="false">#REF!</definedName>
    <definedName function="false" hidden="false" name="chambalfert" vbProcedure="false">#REF!</definedName>
    <definedName function="false" hidden="false" name="CHANGE" vbProcedure="false">#REF!</definedName>
    <definedName function="false" hidden="false" name="Chans_per_Disbn_sys" vbProcedure="false">#REF!</definedName>
    <definedName function="false" hidden="false" name="check" vbProcedure="false">#REF!</definedName>
    <definedName function="false" hidden="false" name="CHINA_PLASTIC_in_KUSD" vbProcedure="false">#REF!</definedName>
    <definedName function="false" hidden="false" name="CHINA_PLASTIC_in_KUSD_4" vbProcedure="false">#REF!</definedName>
    <definedName function="false" hidden="false" name="cint" vbProcedure="false">#REF!</definedName>
    <definedName function="false" hidden="false" name="cipla" vbProcedure="false">#REF!</definedName>
    <definedName function="false" hidden="false" name="clause10" vbProcedure="false">#REF!</definedName>
    <definedName function="false" hidden="false" name="clause10_4" vbProcedure="false">#REF!</definedName>
    <definedName function="false" hidden="false" name="CLAUSE13" vbProcedure="false">#REF!</definedName>
    <definedName function="false" hidden="false" name="CLAUSE13b" vbProcedure="false">#REF!</definedName>
    <definedName function="false" hidden="false" name="CLAUSE13b_4" vbProcedure="false">#REF!</definedName>
    <definedName function="false" hidden="false" name="CLAUSE13_4" vbProcedure="false">#REF!</definedName>
    <definedName function="false" hidden="false" name="clause14" vbProcedure="false">#REF!</definedName>
    <definedName function="false" hidden="false" name="clause14d" vbProcedure="false">#REF!</definedName>
    <definedName function="false" hidden="false" name="clause14d_4" vbProcedure="false">#REF!</definedName>
    <definedName function="false" hidden="false" name="clause14_4" vbProcedure="false">#REF!</definedName>
    <definedName function="false" hidden="false" name="clause15" vbProcedure="false">#REF!</definedName>
    <definedName function="false" hidden="false" name="clause15_4" vbProcedure="false">#REF!</definedName>
    <definedName function="false" hidden="false" name="clause16b" vbProcedure="false">#REF!</definedName>
    <definedName function="false" hidden="false" name="clause16b_4" vbProcedure="false">#REF!</definedName>
    <definedName function="false" hidden="false" name="clause17a" vbProcedure="false">#REF!</definedName>
    <definedName function="false" hidden="false" name="clause17a_4" vbProcedure="false">#REF!</definedName>
    <definedName function="false" hidden="false" name="clause17B" vbProcedure="false">#REF!</definedName>
    <definedName function="false" hidden="false" name="clause17B_4" vbProcedure="false">#REF!</definedName>
    <definedName function="false" hidden="false" name="clause17C" vbProcedure="false">#REF!</definedName>
    <definedName function="false" hidden="false" name="clause17C_4" vbProcedure="false">#REF!</definedName>
    <definedName function="false" hidden="false" name="CLAUSE17D" vbProcedure="false">#REF!</definedName>
    <definedName function="false" hidden="false" name="CLAUSE17D_4" vbProcedure="false">#REF!</definedName>
    <definedName function="false" hidden="false" name="clause17E" vbProcedure="false">#REF!</definedName>
    <definedName function="false" hidden="false" name="clause17E_4" vbProcedure="false">#REF!</definedName>
    <definedName function="false" hidden="false" name="clause17F" vbProcedure="false">#REF!</definedName>
    <definedName function="false" hidden="false" name="clause17F_4" vbProcedure="false">#REF!</definedName>
    <definedName function="false" hidden="false" name="clause17h" vbProcedure="false">#REF!</definedName>
    <definedName function="false" hidden="false" name="clause17h_4" vbProcedure="false">#REF!</definedName>
    <definedName function="false" hidden="false" name="clause17K" vbProcedure="false">#REF!</definedName>
    <definedName function="false" hidden="false" name="clause17K_4" vbProcedure="false">#REF!</definedName>
    <definedName function="false" hidden="false" name="clause18" vbProcedure="false">#REF!</definedName>
    <definedName function="false" hidden="false" name="clause18_4" vbProcedure="false">#REF!</definedName>
    <definedName function="false" hidden="false" name="CLAUSE20" vbProcedure="false">#REF!</definedName>
    <definedName function="false" hidden="false" name="CLAUSE20_4" vbProcedure="false">#REF!</definedName>
    <definedName function="false" hidden="false" name="clause21" vbProcedure="false">#REF!</definedName>
    <definedName function="false" hidden="false" name="clause21_4" vbProcedure="false">#REF!</definedName>
    <definedName function="false" hidden="false" name="CLAUSE22A" vbProcedure="false">#REF!</definedName>
    <definedName function="false" hidden="false" name="CLAUSE22A_4" vbProcedure="false">#REF!</definedName>
    <definedName function="false" hidden="false" name="CLAUSE22B" vbProcedure="false">#REF!</definedName>
    <definedName function="false" hidden="false" name="CLAUSE22B_4" vbProcedure="false">#REF!</definedName>
    <definedName function="false" hidden="false" name="clause23" vbProcedure="false">#REF!</definedName>
    <definedName function="false" hidden="false" name="clause23_4" vbProcedure="false">#REF!</definedName>
    <definedName function="false" hidden="false" name="clause24" vbProcedure="false">#REF!</definedName>
    <definedName function="false" hidden="false" name="clause24b" vbProcedure="false">#REF!</definedName>
    <definedName function="false" hidden="false" name="clause24b_4" vbProcedure="false">#REF!</definedName>
    <definedName function="false" hidden="false" name="clause24_4" vbProcedure="false">#REF!</definedName>
    <definedName function="false" hidden="false" name="clause25" vbProcedure="false">#REF!</definedName>
    <definedName function="false" hidden="false" name="clause25_4" vbProcedure="false">#REF!</definedName>
    <definedName function="false" hidden="false" name="clause26" vbProcedure="false">#REF!</definedName>
    <definedName function="false" hidden="false" name="clause26_4" vbProcedure="false">#REF!</definedName>
    <definedName function="false" hidden="false" name="clause27" vbProcedure="false">#REF!</definedName>
    <definedName function="false" hidden="false" name="clause27_4" vbProcedure="false">#REF!</definedName>
    <definedName function="false" hidden="false" name="clause28" vbProcedure="false">#REF!</definedName>
    <definedName function="false" hidden="false" name="clause28b" vbProcedure="false">#REF!</definedName>
    <definedName function="false" hidden="false" name="clause28b_4" vbProcedure="false">#REF!</definedName>
    <definedName function="false" hidden="false" name="clause28_4" vbProcedure="false">#REF!</definedName>
    <definedName function="false" hidden="false" name="CLRATE1" vbProcedure="false">#REF!</definedName>
    <definedName function="false" hidden="false" name="clsdo" vbProcedure="false">#REF!</definedName>
    <definedName function="false" hidden="false" name="clup" vbProcedure="false">#REF!</definedName>
    <definedName function="false" hidden="false" name="cmdc" vbProcedure="false">#REF!</definedName>
    <definedName function="false" hidden="false" name="cmhc" vbProcedure="false">#REF!</definedName>
    <definedName function="false" hidden="false" name="cmpcomp" vbProcedure="false">#REF!</definedName>
    <definedName function="false" hidden="false" name="cmpctl" vbProcedure="false">#REF!</definedName>
    <definedName function="false" hidden="false" name="cmperc" vbProcedure="false">#REF!</definedName>
    <definedName function="false" hidden="false" name="cmpphs" vbProcedure="false">#REF!</definedName>
    <definedName function="false" hidden="false" name="cmpphscomp" vbProcedure="false">#REF!</definedName>
    <definedName function="false" hidden="false" name="cmpplan" vbProcedure="false">#REF!</definedName>
    <definedName function="false" hidden="false" name="cmptot" vbProcedure="false">#REF!</definedName>
    <definedName function="false" hidden="false" name="cmsrtot" vbProcedure="false">#REF!</definedName>
    <definedName function="false" hidden="false" name="CoAdd_13" vbProcedure="false">#REF!</definedName>
    <definedName function="false" hidden="false" name="CoAdd_4" vbProcedure="false">#REF!</definedName>
    <definedName function="false" hidden="false" name="cocm" vbProcedure="false">#REF!</definedName>
    <definedName function="false" hidden="false" name="coimbatore" vbProcedure="false">#REF!</definedName>
    <definedName function="false" hidden="false" name="col10_4" vbProcedure="false">#REF!</definedName>
    <definedName function="false" hidden="false" name="col11_4" vbProcedure="false">#REF!</definedName>
    <definedName function="false" hidden="false" name="col12_4" vbProcedure="false">#REF!</definedName>
    <definedName function="false" hidden="false" name="col13_4" vbProcedure="false">#REF!</definedName>
    <definedName function="false" hidden="false" name="col1_4" vbProcedure="false">#REF!</definedName>
    <definedName function="false" hidden="false" name="col2_4" vbProcedure="false">#REF!</definedName>
    <definedName function="false" hidden="false" name="col3_4" vbProcedure="false">#REF!</definedName>
    <definedName function="false" hidden="false" name="col4_4" vbProcedure="false">#REF!</definedName>
    <definedName function="false" hidden="false" name="col5_4" vbProcedure="false">#REF!</definedName>
    <definedName function="false" hidden="false" name="col6_4" vbProcedure="false">#REF!</definedName>
    <definedName function="false" hidden="false" name="col7_4" vbProcedure="false">#REF!</definedName>
    <definedName function="false" hidden="false" name="col8_4" vbProcedure="false">#REF!</definedName>
    <definedName function="false" hidden="false" name="col9_4" vbProcedure="false">#REF!</definedName>
    <definedName function="false" hidden="false" name="COM" vbProcedure="false">#REF!</definedName>
    <definedName function="false" hidden="false" name="COMGENLIAB" vbProcedure="false">#REF!</definedName>
    <definedName function="false" hidden="false" name="COMM" vbProcedure="false">#REF!</definedName>
    <definedName function="false" hidden="false" name="Commercial_IRD_per_Disbn_sys" vbProcedure="false">#REF!</definedName>
    <definedName function="false" hidden="false" name="COMM_L_MONTHS" vbProcedure="false">#REF!</definedName>
    <definedName function="false" hidden="false" name="COMP" vbProcedure="false">#REF!</definedName>
    <definedName function="false" hidden="false" name="comp1" vbProcedure="false">#REF!</definedName>
    <definedName function="false" hidden="false" name="Company" vbProcedure="false">#REF!</definedName>
    <definedName function="false" hidden="false" name="compu1" vbProcedure="false">#REF!</definedName>
    <definedName function="false" hidden="false" name="Computation" vbProcedure="false">#REF!</definedName>
    <definedName function="false" hidden="false" name="COMPUTATION_OF_INTEREST_UNDER_SECTION_234_C" vbProcedure="false">#REF!</definedName>
    <definedName function="false" hidden="false" name="Computers" vbProcedure="false">#REF!</definedName>
    <definedName function="false" hidden="false" name="COMS2Q2" vbProcedure="false">#REF!</definedName>
    <definedName function="false" hidden="false" name="COMS3Q2" vbProcedure="false">#REF!</definedName>
    <definedName function="false" hidden="false" name="CoName_13" vbProcedure="false">#REF!</definedName>
    <definedName function="false" hidden="false" name="CoName_4" vbProcedure="false">#REF!</definedName>
    <definedName function="false" hidden="false" name="CondensateRtrn" vbProcedure="false">#REF!</definedName>
    <definedName function="false" hidden="false" name="conflict" vbProcedure="false">#REF!</definedName>
    <definedName function="false" hidden="false" name="conperc" vbProcedure="false">#REF!</definedName>
    <definedName function="false" hidden="false" name="Consolidations" vbProcedure="false">#REF!</definedName>
    <definedName function="false" hidden="false" name="Consol_BL1_CashCheck" vbProcedure="false">#REF!</definedName>
    <definedName function="false" hidden="false" name="constrn" vbProcedure="false">#REF!</definedName>
    <definedName function="false" hidden="false" name="cont" vbProcedure="false">#REF!</definedName>
    <definedName function="false" hidden="false" name="Continuation" vbProcedure="false">#REF!</definedName>
    <definedName function="false" hidden="false" name="CONTINUE" vbProcedure="false">#REF!</definedName>
    <definedName function="false" hidden="false" name="CONTRACTOR" vbProcedure="false">#REF!</definedName>
    <definedName function="false" hidden="false" name="CONVEYANCE_DEL" vbProcedure="false">#REF!</definedName>
    <definedName function="false" hidden="false" name="COPM" vbProcedure="false">#REF!</definedName>
    <definedName function="false" hidden="false" name="COST" vbProcedure="false">#REF!</definedName>
    <definedName function="false" hidden="false" name="CoStatus_13" vbProcedure="false">#REF!</definedName>
    <definedName function="false" hidden="false" name="CoStatus_4" vbProcedure="false">#REF!</definedName>
    <definedName function="false" hidden="false" name="COST_4" vbProcedure="false">#REF!</definedName>
    <definedName function="false" hidden="false" name="cost_calcn" vbProcedure="false">#REF!</definedName>
    <definedName function="false" hidden="false" name="cost_calcn_4" vbProcedure="false">#REF!</definedName>
    <definedName function="false" hidden="false" name="Cost_Center" vbProcedure="false">#REF!</definedName>
    <definedName function="false" hidden="false" name="COVER" vbProcedure="false">#REF!</definedName>
    <definedName function="false" hidden="false" name="cpc" vbProcedure="false">#REF!</definedName>
    <definedName function="false" hidden="false" name="cpdc" vbProcedure="false">#REF!</definedName>
    <definedName function="false" hidden="false" name="cpmprtot" vbProcedure="false">#REF!</definedName>
    <definedName function="false" hidden="false" name="cpmrtot" vbProcedure="false">#REF!</definedName>
    <definedName function="false" hidden="false" name="cpsd" vbProcedure="false">#REF!</definedName>
    <definedName function="false" hidden="false" name="cpt" vbProcedure="false">#REF!</definedName>
    <definedName function="false" hidden="false" name="CQA" vbProcedure="false">#REF!</definedName>
    <definedName function="false" hidden="false" name="CR" vbProcedure="false">#REF!</definedName>
    <definedName function="false" hidden="false" name="crpcomp" vbProcedure="false">#REF!</definedName>
    <definedName function="false" hidden="false" name="crpctl" vbProcedure="false">#REF!</definedName>
    <definedName function="false" hidden="false" name="crpperc" vbProcedure="false">#REF!</definedName>
    <definedName function="false" hidden="false" name="crpphs" vbProcedure="false">#REF!</definedName>
    <definedName function="false" hidden="false" name="crpphscomp" vbProcedure="false">#REF!</definedName>
    <definedName function="false" hidden="false" name="crpplan" vbProcedure="false">#REF!</definedName>
    <definedName function="false" hidden="false" name="crptot" vbProcedure="false">#REF!</definedName>
    <definedName function="false" hidden="false" name="cr_knnl_mrbc_ron" vbProcedure="false">#REF!</definedName>
    <definedName function="false" hidden="false" name="csaeo" vbProcedure="false">#REF!</definedName>
    <definedName function="false" hidden="false" name="cscore" vbProcedure="false">#REF!</definedName>
    <definedName function="false" hidden="false" name="cseo" vbProcedure="false">#REF!</definedName>
    <definedName function="false" hidden="false" name="csmrtot" vbProcedure="false">#REF!</definedName>
    <definedName function="false" hidden="false" name="csrtot" vbProcedure="false">#REF!</definedName>
    <definedName function="false" hidden="false" name="cstperc" vbProcedure="false">#REF!</definedName>
    <definedName function="false" hidden="false" name="CTGMW" vbProcedure="false">#REF!</definedName>
    <definedName function="false" hidden="false" name="ctlrtot" vbProcedure="false">#REF!</definedName>
    <definedName function="false" hidden="false" name="ctmro" vbProcedure="false">#REF!</definedName>
    <definedName function="false" hidden="false" name="CURADIA" vbProcedure="false">#REF!</definedName>
    <definedName function="false" hidden="false" name="CURRENCY" vbProcedure="false">#REF!</definedName>
    <definedName function="false" hidden="false" name="CurrentMonth" vbProcedure="false">#REF!</definedName>
    <definedName function="false" hidden="false" name="CurrentYTD" vbProcedure="false">#REF!</definedName>
    <definedName function="false" hidden="false" name="curr_liab_prov" vbProcedure="false">#REF!</definedName>
    <definedName function="false" hidden="false" name="custom" vbProcedure="false">#REF!</definedName>
    <definedName function="false" hidden="false" name="cvptot" vbProcedure="false">#REF!</definedName>
    <definedName function="false" hidden="false" name="CWIP" vbProcedure="false">#REF!</definedName>
    <definedName function="false" hidden="false" name="cwip2" vbProcedure="false">#REF!</definedName>
    <definedName function="false" hidden="false" name="cy_retained_earnings" vbProcedure="false">#REF!</definedName>
    <definedName function="false" hidden="false" name="cy_ret_earn_beg" vbProcedure="false">#REF!</definedName>
    <definedName function="false" hidden="false" name="cy_share_equity" vbProcedure="false">#REF!</definedName>
    <definedName function="false" hidden="false" name="C_" vbProcedure="false">#REF!</definedName>
    <definedName function="false" hidden="false" name="d" vbProcedure="false">#REF!</definedName>
    <definedName function="false" hidden="false" name="D.AP.150" vbProcedure="false">#REF!</definedName>
    <definedName function="false" hidden="false" name="D.AP.160" vbProcedure="false">#REF!</definedName>
    <definedName function="false" hidden="false" name="D.CV.080" vbProcedure="false">#REF!</definedName>
    <definedName function="false" hidden="false" name="D.CV.090" vbProcedure="false">#REF!</definedName>
    <definedName function="false" hidden="false" name="D.CV.100" vbProcedure="false">#REF!</definedName>
    <definedName function="false" hidden="false" name="D.CV.110" vbProcedure="false">#REF!</definedName>
    <definedName function="false" hidden="false" name="D.DO.060" vbProcedure="false">#REF!</definedName>
    <definedName function="false" hidden="false" name="D.DO.070" vbProcedure="false">#REF!</definedName>
    <definedName function="false" hidden="false" name="D.DO.080" vbProcedure="false">#REF!</definedName>
    <definedName function="false" hidden="false" name="D.DO.090" vbProcedure="false">#REF!</definedName>
    <definedName function="false" hidden="false" name="D.MD.090" vbProcedure="false">#REF!</definedName>
    <definedName function="false" hidden="false" name="D.MD.100" vbProcedure="false">#REF!</definedName>
    <definedName function="false" hidden="false" name="D.MD.110" vbProcedure="false">#REF!</definedName>
    <definedName function="false" hidden="false" name="D.MD.120" vbProcedure="false">#REF!</definedName>
    <definedName function="false" hidden="false" name="D.PM.020" vbProcedure="false">#REF!</definedName>
    <definedName function="false" hidden="false" name="D.PM.030" vbProcedure="false">#REF!</definedName>
    <definedName function="false" hidden="false" name="D.PT.080" vbProcedure="false">#REF!</definedName>
    <definedName function="false" hidden="false" name="D.PT.090" vbProcedure="false">#REF!</definedName>
    <definedName function="false" hidden="false" name="D.PT.100" vbProcedure="false">#REF!</definedName>
    <definedName function="false" hidden="false" name="D.PT.110" vbProcedure="false">#REF!</definedName>
    <definedName function="false" hidden="false" name="D.PT.120" vbProcedure="false">#REF!</definedName>
    <definedName function="false" hidden="false" name="D.PT.130" vbProcedure="false">#REF!</definedName>
    <definedName function="false" hidden="false" name="D.TA.100" vbProcedure="false">#REF!</definedName>
    <definedName function="false" hidden="false" name="D.TA.110" vbProcedure="false">#REF!</definedName>
    <definedName function="false" hidden="false" name="D.TA.120" vbProcedure="false">#REF!</definedName>
    <definedName function="false" hidden="false" name="d.ta.120.hrs" vbProcedure="false">#REF!</definedName>
    <definedName function="false" hidden="false" name="D.TA.130" vbProcedure="false">#REF!</definedName>
    <definedName function="false" hidden="false" name="D.TA.140" vbProcedure="false">#REF!</definedName>
    <definedName function="false" hidden="false" name="D.TA.150" vbProcedure="false">#REF!</definedName>
    <definedName function="false" hidden="false" name="D.TA.150.hrs" vbProcedure="false">#REF!</definedName>
    <definedName function="false" hidden="false" name="D.TE.060" vbProcedure="false">#REF!</definedName>
    <definedName function="false" hidden="false" name="D.TE.070" vbProcedure="false">#REF!</definedName>
    <definedName function="false" hidden="false" name="D.TE.080" vbProcedure="false">#REF!</definedName>
    <definedName function="false" hidden="false" name="D.TE.080.hrs" vbProcedure="false">#REF!</definedName>
    <definedName function="false" hidden="false" name="D.TE.090" vbProcedure="false">#REF!</definedName>
    <definedName function="false" hidden="false" name="D.TE.100" vbProcedure="false">#REF!</definedName>
    <definedName function="false" hidden="false" name="D.TE.110" vbProcedure="false">#REF!</definedName>
    <definedName function="false" hidden="false" name="D.TE.110.hrs" vbProcedure="false">#REF!</definedName>
    <definedName function="false" hidden="false" name="D.TE.120" vbProcedure="false">#REF!</definedName>
    <definedName function="false" hidden="false" name="da" vbProcedure="false">#REF!</definedName>
    <definedName function="false" hidden="false" name="dafdsf" vbProcedure="false">#REF!</definedName>
    <definedName function="false" hidden="false" name="daperc" vbProcedure="false">#REF!</definedName>
    <definedName function="false" hidden="false" name="das" vbProcedure="false">#REF!</definedName>
    <definedName function="false" hidden="false" name="data1" vbProcedure="false">#REF!</definedName>
    <definedName function="false" hidden="false" name="data10" vbProcedure="false">#REF!</definedName>
    <definedName function="false" hidden="false" name="data100" vbProcedure="false">#REF!</definedName>
    <definedName function="false" hidden="false" name="data100_4" vbProcedure="false">#REF!</definedName>
    <definedName function="false" hidden="false" name="data101" vbProcedure="false">#REF!</definedName>
    <definedName function="false" hidden="false" name="data101_4" vbProcedure="false">#REF!</definedName>
    <definedName function="false" hidden="false" name="data10_4" vbProcedure="false">#REF!</definedName>
    <definedName function="false" hidden="false" name="data11" vbProcedure="false">#REF!</definedName>
    <definedName function="false" hidden="false" name="data11_4" vbProcedure="false">#REF!</definedName>
    <definedName function="false" hidden="false" name="data12" vbProcedure="false">#REF!</definedName>
    <definedName function="false" hidden="false" name="data12_4" vbProcedure="false">#REF!</definedName>
    <definedName function="false" hidden="false" name="data13" vbProcedure="false">#REF!</definedName>
    <definedName function="false" hidden="false" name="data13_4" vbProcedure="false">#REF!</definedName>
    <definedName function="false" hidden="false" name="data14" vbProcedure="false">#REF!</definedName>
    <definedName function="false" hidden="false" name="data14_4" vbProcedure="false">#REF!</definedName>
    <definedName function="false" hidden="false" name="data15" vbProcedure="false">#REF!</definedName>
    <definedName function="false" hidden="false" name="data15_4" vbProcedure="false">#REF!</definedName>
    <definedName function="false" hidden="false" name="data16" vbProcedure="false">#REF!</definedName>
    <definedName function="false" hidden="false" name="data16_4" vbProcedure="false">#REF!</definedName>
    <definedName function="false" hidden="false" name="data17" vbProcedure="false">#REF!</definedName>
    <definedName function="false" hidden="false" name="data17_4" vbProcedure="false">#REF!</definedName>
    <definedName function="false" hidden="false" name="data18" vbProcedure="false">#REF!</definedName>
    <definedName function="false" hidden="false" name="data18_4" vbProcedure="false">#REF!</definedName>
    <definedName function="false" hidden="false" name="data19" vbProcedure="false">#REF!</definedName>
    <definedName function="false" hidden="false" name="data19_4" vbProcedure="false">#REF!</definedName>
    <definedName function="false" hidden="false" name="data1_4" vbProcedure="false">#REF!</definedName>
    <definedName function="false" hidden="false" name="data2" vbProcedure="false">#REF!</definedName>
    <definedName function="false" hidden="false" name="data20" vbProcedure="false">#REF!</definedName>
    <definedName function="false" hidden="false" name="data20_4" vbProcedure="false">#REF!</definedName>
    <definedName function="false" hidden="false" name="data21" vbProcedure="false">#REF!</definedName>
    <definedName function="false" hidden="false" name="data21_4" vbProcedure="false">#REF!</definedName>
    <definedName function="false" hidden="false" name="data22" vbProcedure="false">#REF!</definedName>
    <definedName function="false" hidden="false" name="data22_4" vbProcedure="false">#REF!</definedName>
    <definedName function="false" hidden="false" name="data23" vbProcedure="false">#REF!</definedName>
    <definedName function="false" hidden="false" name="data23_4" vbProcedure="false">#REF!</definedName>
    <definedName function="false" hidden="false" name="data24" vbProcedure="false">#REF!</definedName>
    <definedName function="false" hidden="false" name="data24_4" vbProcedure="false">#REF!</definedName>
    <definedName function="false" hidden="false" name="data25" vbProcedure="false">#REF!</definedName>
    <definedName function="false" hidden="false" name="data25_4" vbProcedure="false">#REF!</definedName>
    <definedName function="false" hidden="false" name="data26" vbProcedure="false">#REF!</definedName>
    <definedName function="false" hidden="false" name="data26_4" vbProcedure="false">#REF!</definedName>
    <definedName function="false" hidden="false" name="data27" vbProcedure="false">#REF!</definedName>
    <definedName function="false" hidden="false" name="data27_4" vbProcedure="false">#REF!</definedName>
    <definedName function="false" hidden="false" name="data28" vbProcedure="false">#REF!</definedName>
    <definedName function="false" hidden="false" name="data28_4" vbProcedure="false">#REF!</definedName>
    <definedName function="false" hidden="false" name="data29" vbProcedure="false">#REF!</definedName>
    <definedName function="false" hidden="false" name="data29_4" vbProcedure="false">#REF!</definedName>
    <definedName function="false" hidden="false" name="data2_4" vbProcedure="false">#REF!</definedName>
    <definedName function="false" hidden="false" name="data3" vbProcedure="false">#REF!</definedName>
    <definedName function="false" hidden="false" name="data30" vbProcedure="false">#REF!</definedName>
    <definedName function="false" hidden="false" name="data30_4" vbProcedure="false">#REF!</definedName>
    <definedName function="false" hidden="false" name="data31" vbProcedure="false">#REF!</definedName>
    <definedName function="false" hidden="false" name="data31_4" vbProcedure="false">#REF!</definedName>
    <definedName function="false" hidden="false" name="data32" vbProcedure="false">#REF!</definedName>
    <definedName function="false" hidden="false" name="data32_4" vbProcedure="false">#REF!</definedName>
    <definedName function="false" hidden="false" name="data33" vbProcedure="false">#REF!</definedName>
    <definedName function="false" hidden="false" name="data33_4" vbProcedure="false">#REF!</definedName>
    <definedName function="false" hidden="false" name="data34" vbProcedure="false">#REF!</definedName>
    <definedName function="false" hidden="false" name="data34_4" vbProcedure="false">#REF!</definedName>
    <definedName function="false" hidden="false" name="data35" vbProcedure="false">#REF!</definedName>
    <definedName function="false" hidden="false" name="data35_4" vbProcedure="false">#REF!</definedName>
    <definedName function="false" hidden="false" name="data36" vbProcedure="false">#REF!</definedName>
    <definedName function="false" hidden="false" name="data36_4" vbProcedure="false">#REF!</definedName>
    <definedName function="false" hidden="false" name="data37" vbProcedure="false">#REF!</definedName>
    <definedName function="false" hidden="false" name="data37_4" vbProcedure="false">#REF!</definedName>
    <definedName function="false" hidden="false" name="data38" vbProcedure="false">#REF!</definedName>
    <definedName function="false" hidden="false" name="data38_4" vbProcedure="false">#REF!</definedName>
    <definedName function="false" hidden="false" name="data39" vbProcedure="false">#REF!</definedName>
    <definedName function="false" hidden="false" name="data39_4" vbProcedure="false">#REF!</definedName>
    <definedName function="false" hidden="false" name="data3_4" vbProcedure="false">#REF!</definedName>
    <definedName function="false" hidden="false" name="data4" vbProcedure="false">#REF!</definedName>
    <definedName function="false" hidden="false" name="data40" vbProcedure="false">#REF!</definedName>
    <definedName function="false" hidden="false" name="data40_4" vbProcedure="false">#REF!</definedName>
    <definedName function="false" hidden="false" name="data41" vbProcedure="false">#REF!</definedName>
    <definedName function="false" hidden="false" name="data41_4" vbProcedure="false">#REF!</definedName>
    <definedName function="false" hidden="false" name="data42" vbProcedure="false">#REF!</definedName>
    <definedName function="false" hidden="false" name="data42_4" vbProcedure="false">#REF!</definedName>
    <definedName function="false" hidden="false" name="data43" vbProcedure="false">#REF!</definedName>
    <definedName function="false" hidden="false" name="data43_4" vbProcedure="false">#REF!</definedName>
    <definedName function="false" hidden="false" name="data44" vbProcedure="false">#REF!</definedName>
    <definedName function="false" hidden="false" name="data44_4" vbProcedure="false">#REF!</definedName>
    <definedName function="false" hidden="false" name="data45" vbProcedure="false">#REF!</definedName>
    <definedName function="false" hidden="false" name="data45_4" vbProcedure="false">#REF!</definedName>
    <definedName function="false" hidden="false" name="data46" vbProcedure="false">#REF!</definedName>
    <definedName function="false" hidden="false" name="data46_4" vbProcedure="false">#REF!</definedName>
    <definedName function="false" hidden="false" name="data47" vbProcedure="false">#REF!</definedName>
    <definedName function="false" hidden="false" name="data47_4" vbProcedure="false">#REF!</definedName>
    <definedName function="false" hidden="false" name="data48" vbProcedure="false">#REF!</definedName>
    <definedName function="false" hidden="false" name="data48_4" vbProcedure="false">#REF!</definedName>
    <definedName function="false" hidden="false" name="data49" vbProcedure="false">#REF!</definedName>
    <definedName function="false" hidden="false" name="data49_4" vbProcedure="false">#REF!</definedName>
    <definedName function="false" hidden="false" name="data4_4" vbProcedure="false">#REF!</definedName>
    <definedName function="false" hidden="false" name="data5" vbProcedure="false">#REF!</definedName>
    <definedName function="false" hidden="false" name="data50" vbProcedure="false">#REF!</definedName>
    <definedName function="false" hidden="false" name="data50_4" vbProcedure="false">#REF!</definedName>
    <definedName function="false" hidden="false" name="data51" vbProcedure="false">#REF!</definedName>
    <definedName function="false" hidden="false" name="data51_4" vbProcedure="false">#REF!</definedName>
    <definedName function="false" hidden="false" name="data52" vbProcedure="false">#REF!</definedName>
    <definedName function="false" hidden="false" name="data52_4" vbProcedure="false">#REF!</definedName>
    <definedName function="false" hidden="false" name="data53" vbProcedure="false">#REF!</definedName>
    <definedName function="false" hidden="false" name="data53_4" vbProcedure="false">#REF!</definedName>
    <definedName function="false" hidden="false" name="data54" vbProcedure="false">#REF!</definedName>
    <definedName function="false" hidden="false" name="data54_4" vbProcedure="false">#REF!</definedName>
    <definedName function="false" hidden="false" name="data55" vbProcedure="false">#REF!</definedName>
    <definedName function="false" hidden="false" name="data55_4" vbProcedure="false">#REF!</definedName>
    <definedName function="false" hidden="false" name="data56" vbProcedure="false">#REF!</definedName>
    <definedName function="false" hidden="false" name="data56_4" vbProcedure="false">#REF!</definedName>
    <definedName function="false" hidden="false" name="data57" vbProcedure="false">#REF!</definedName>
    <definedName function="false" hidden="false" name="data57_4" vbProcedure="false">#REF!</definedName>
    <definedName function="false" hidden="false" name="data58" vbProcedure="false">#REF!</definedName>
    <definedName function="false" hidden="false" name="data58_4" vbProcedure="false">#REF!</definedName>
    <definedName function="false" hidden="false" name="data59" vbProcedure="false">#REF!</definedName>
    <definedName function="false" hidden="false" name="data59_4" vbProcedure="false">#REF!</definedName>
    <definedName function="false" hidden="false" name="data5_4" vbProcedure="false">#REF!</definedName>
    <definedName function="false" hidden="false" name="data6" vbProcedure="false">#REF!</definedName>
    <definedName function="false" hidden="false" name="data60" vbProcedure="false">#REF!</definedName>
    <definedName function="false" hidden="false" name="data60_4" vbProcedure="false">#REF!</definedName>
    <definedName function="false" hidden="false" name="data61" vbProcedure="false">#REF!</definedName>
    <definedName function="false" hidden="false" name="data61_4" vbProcedure="false">#REF!</definedName>
    <definedName function="false" hidden="false" name="data62" vbProcedure="false">#REF!</definedName>
    <definedName function="false" hidden="false" name="data62_4" vbProcedure="false">#REF!</definedName>
    <definedName function="false" hidden="false" name="data63" vbProcedure="false">#REF!</definedName>
    <definedName function="false" hidden="false" name="data63_4" vbProcedure="false">#REF!</definedName>
    <definedName function="false" hidden="false" name="data64" vbProcedure="false">#REF!</definedName>
    <definedName function="false" hidden="false" name="data64_4" vbProcedure="false">#REF!</definedName>
    <definedName function="false" hidden="false" name="data65" vbProcedure="false">#REF!</definedName>
    <definedName function="false" hidden="false" name="data65_4" vbProcedure="false">#REF!</definedName>
    <definedName function="false" hidden="false" name="data66" vbProcedure="false">#REF!</definedName>
    <definedName function="false" hidden="false" name="data66_4" vbProcedure="false">#REF!</definedName>
    <definedName function="false" hidden="false" name="data67" vbProcedure="false">#REF!</definedName>
    <definedName function="false" hidden="false" name="data67_4" vbProcedure="false">#REF!</definedName>
    <definedName function="false" hidden="false" name="data68" vbProcedure="false">#REF!</definedName>
    <definedName function="false" hidden="false" name="data68_4" vbProcedure="false">#REF!</definedName>
    <definedName function="false" hidden="false" name="data69" vbProcedure="false">#REF!</definedName>
    <definedName function="false" hidden="false" name="data69_4" vbProcedure="false">#REF!</definedName>
    <definedName function="false" hidden="false" name="data6_4" vbProcedure="false">#REF!</definedName>
    <definedName function="false" hidden="false" name="data7" vbProcedure="false">#REF!</definedName>
    <definedName function="false" hidden="false" name="data70" vbProcedure="false">#REF!</definedName>
    <definedName function="false" hidden="false" name="data70_4" vbProcedure="false">#REF!</definedName>
    <definedName function="false" hidden="false" name="data71" vbProcedure="false">#REF!</definedName>
    <definedName function="false" hidden="false" name="data71_4" vbProcedure="false">#REF!</definedName>
    <definedName function="false" hidden="false" name="data72" vbProcedure="false">#REF!</definedName>
    <definedName function="false" hidden="false" name="data72_4" vbProcedure="false">#REF!</definedName>
    <definedName function="false" hidden="false" name="data73" vbProcedure="false">#REF!</definedName>
    <definedName function="false" hidden="false" name="data73_4" vbProcedure="false">#REF!</definedName>
    <definedName function="false" hidden="false" name="data74" vbProcedure="false">#REF!</definedName>
    <definedName function="false" hidden="false" name="data74_4" vbProcedure="false">#REF!</definedName>
    <definedName function="false" hidden="false" name="data75" vbProcedure="false">#REF!</definedName>
    <definedName function="false" hidden="false" name="data75_4" vbProcedure="false">#REF!</definedName>
    <definedName function="false" hidden="false" name="data76" vbProcedure="false">#REF!</definedName>
    <definedName function="false" hidden="false" name="data76_4" vbProcedure="false">#REF!</definedName>
    <definedName function="false" hidden="false" name="data77" vbProcedure="false">#REF!</definedName>
    <definedName function="false" hidden="false" name="data77_4" vbProcedure="false">#REF!</definedName>
    <definedName function="false" hidden="false" name="data78" vbProcedure="false">#REF!</definedName>
    <definedName function="false" hidden="false" name="data78_4" vbProcedure="false">#REF!</definedName>
    <definedName function="false" hidden="false" name="data79" vbProcedure="false">#REF!</definedName>
    <definedName function="false" hidden="false" name="data79_4" vbProcedure="false">#REF!</definedName>
    <definedName function="false" hidden="false" name="data7_4" vbProcedure="false">#REF!</definedName>
    <definedName function="false" hidden="false" name="data8" vbProcedure="false">#REF!</definedName>
    <definedName function="false" hidden="false" name="data80" vbProcedure="false">#REF!</definedName>
    <definedName function="false" hidden="false" name="data80_4" vbProcedure="false">#REF!</definedName>
    <definedName function="false" hidden="false" name="data81" vbProcedure="false">#REF!</definedName>
    <definedName function="false" hidden="false" name="data81_4" vbProcedure="false">#REF!</definedName>
    <definedName function="false" hidden="false" name="data82" vbProcedure="false">#REF!</definedName>
    <definedName function="false" hidden="false" name="data82_4" vbProcedure="false">#REF!</definedName>
    <definedName function="false" hidden="false" name="data83" vbProcedure="false">#REF!</definedName>
    <definedName function="false" hidden="false" name="data83_4" vbProcedure="false">#REF!</definedName>
    <definedName function="false" hidden="false" name="data84" vbProcedure="false">#REF!</definedName>
    <definedName function="false" hidden="false" name="data84_4" vbProcedure="false">#REF!</definedName>
    <definedName function="false" hidden="false" name="data85" vbProcedure="false">#REF!</definedName>
    <definedName function="false" hidden="false" name="data85_4" vbProcedure="false">#REF!</definedName>
    <definedName function="false" hidden="false" name="data86" vbProcedure="false">#REF!</definedName>
    <definedName function="false" hidden="false" name="data86_4" vbProcedure="false">#REF!</definedName>
    <definedName function="false" hidden="false" name="data87" vbProcedure="false">#REF!</definedName>
    <definedName function="false" hidden="false" name="data87_4" vbProcedure="false">#REF!</definedName>
    <definedName function="false" hidden="false" name="data88" vbProcedure="false">#REF!</definedName>
    <definedName function="false" hidden="false" name="data88_4" vbProcedure="false">#REF!</definedName>
    <definedName function="false" hidden="false" name="data89" vbProcedure="false">#REF!</definedName>
    <definedName function="false" hidden="false" name="data89_4" vbProcedure="false">#REF!</definedName>
    <definedName function="false" hidden="false" name="data8_4" vbProcedure="false">#REF!</definedName>
    <definedName function="false" hidden="false" name="data9" vbProcedure="false">#REF!</definedName>
    <definedName function="false" hidden="false" name="data90" vbProcedure="false">#REF!</definedName>
    <definedName function="false" hidden="false" name="data90_4" vbProcedure="false">#REF!</definedName>
    <definedName function="false" hidden="false" name="data91" vbProcedure="false">#REF!</definedName>
    <definedName function="false" hidden="false" name="data91_4" vbProcedure="false">#REF!</definedName>
    <definedName function="false" hidden="false" name="data92" vbProcedure="false">#REF!</definedName>
    <definedName function="false" hidden="false" name="data92_4" vbProcedure="false">#REF!</definedName>
    <definedName function="false" hidden="false" name="data93" vbProcedure="false">#REF!</definedName>
    <definedName function="false" hidden="false" name="data93_4" vbProcedure="false">#REF!</definedName>
    <definedName function="false" hidden="false" name="data94" vbProcedure="false">#REF!</definedName>
    <definedName function="false" hidden="false" name="data94_4" vbProcedure="false">#REF!</definedName>
    <definedName function="false" hidden="false" name="data95" vbProcedure="false">#REF!</definedName>
    <definedName function="false" hidden="false" name="data95_4" vbProcedure="false">#REF!</definedName>
    <definedName function="false" hidden="false" name="data96" vbProcedure="false">#REF!</definedName>
    <definedName function="false" hidden="false" name="data96_4" vbProcedure="false">#REF!</definedName>
    <definedName function="false" hidden="false" name="data97" vbProcedure="false">#REF!</definedName>
    <definedName function="false" hidden="false" name="data97_4" vbProcedure="false">#REF!</definedName>
    <definedName function="false" hidden="false" name="data98" vbProcedure="false">#REF!</definedName>
    <definedName function="false" hidden="false" name="data98_4" vbProcedure="false">#REF!</definedName>
    <definedName function="false" hidden="false" name="data99" vbProcedure="false">#REF!</definedName>
    <definedName function="false" hidden="false" name="data99_4" vbProcedure="false">#REF!</definedName>
    <definedName function="false" hidden="false" name="data9_4" vbProcedure="false">#REF!</definedName>
    <definedName function="false" hidden="false" name="DataType" vbProcedure="false">#REF!</definedName>
    <definedName function="false" hidden="false" name="Date_of_expense" vbProcedure="false">#REF!</definedName>
    <definedName function="false" hidden="false" name="Date_of_Payment" vbProcedure="false">#REF!</definedName>
    <definedName function="false" hidden="false" name="Days" vbProcedure="false">'[1]Project Inputs'!$G$25</definedName>
    <definedName function="false" hidden="false" name="dbartot" vbProcedure="false">#REF!</definedName>
    <definedName function="false" hidden="false" name="dd" vbProcedure="false">#REF!</definedName>
    <definedName function="false" hidden="false" name="ddd" vbProcedure="false">#REF!</definedName>
    <definedName function="false" hidden="false" name="dddd" vbProcedure="false">#REF!</definedName>
    <definedName function="false" hidden="false" name="ddrtot" vbProcedure="false">#REF!</definedName>
    <definedName function="false" hidden="false" name="DECDATA?" vbProcedure="false">#REF!</definedName>
    <definedName function="false" hidden="false" name="DecInWorkingCapitalMonth1Actuals" vbProcedure="false">#REF!</definedName>
    <definedName function="false" hidden="false" name="DecInWorkingCapitalMonth1Budget" vbProcedure="false">#REF!</definedName>
    <definedName function="false" hidden="false" name="DecInWorkingCapitalMonth2Actuals" vbProcedure="false">#REF!</definedName>
    <definedName function="false" hidden="false" name="DecInWorkingCapitalMonth2Budget" vbProcedure="false">#REF!</definedName>
    <definedName function="false" hidden="false" name="DecInWorkingCapitalMonth3Actuals" vbProcedure="false">#REF!</definedName>
    <definedName function="false" hidden="false" name="DecInWorkingCapitalMonth3Budget" vbProcedure="false">#REF!</definedName>
    <definedName function="false" hidden="false" name="DecInWorkingCapitalMonth4Actuals" vbProcedure="false">#REF!</definedName>
    <definedName function="false" hidden="false" name="DecInWorkingCapitalMonth4Budget" vbProcedure="false">#REF!</definedName>
    <definedName function="false" hidden="false" name="DecInWorkingCapitalYTDActuals" vbProcedure="false">#REF!</definedName>
    <definedName function="false" hidden="false" name="DecInWorkingCapitalYTDBudget" vbProcedure="false">#REF!</definedName>
    <definedName function="false" hidden="false" name="Deepak" vbProcedure="false">#REF!</definedName>
    <definedName function="false" hidden="false" name="defbp" vbProcedure="false">#REF!</definedName>
    <definedName function="false" hidden="false" name="defbr" vbProcedure="false">#REF!</definedName>
    <definedName function="false" hidden="false" name="defcv" vbProcedure="false">#REF!</definedName>
    <definedName function="false" hidden="false" name="defdays" vbProcedure="false">#REF!</definedName>
    <definedName function="false" hidden="false" name="defdo" vbProcedure="false">#REF!</definedName>
    <definedName function="false" hidden="false" name="defmd" vbProcedure="false">#REF!</definedName>
    <definedName function="false" hidden="false" name="defpm" vbProcedure="false">#REF!</definedName>
    <definedName function="false" hidden="false" name="defpt" vbProcedure="false">#REF!</definedName>
    <definedName function="false" hidden="false" name="defrd" vbProcedure="false">#REF!</definedName>
    <definedName function="false" hidden="false" name="defta" vbProcedure="false">#REF!</definedName>
    <definedName function="false" hidden="false" name="defte" vbProcedure="false">#REF!</definedName>
    <definedName function="false" hidden="false" name="deftr" vbProcedure="false">#REF!</definedName>
    <definedName function="false" hidden="false" name="dep" vbProcedure="false">#REF!</definedName>
    <definedName function="false" hidden="false" name="Depn" vbProcedure="false">#REF!</definedName>
    <definedName function="false" hidden="false" name="DEPNFUND" vbProcedure="false">#REF!</definedName>
    <definedName function="false" hidden="false" name="depo" vbProcedure="false">#REF!</definedName>
    <definedName function="false" hidden="false" name="Depreciation" vbProcedure="false">#REF!</definedName>
    <definedName function="false" hidden="false" name="DEPRI" vbProcedure="false">#REF!</definedName>
    <definedName function="false" hidden="false" name="depsch" vbProcedure="false">#REF!</definedName>
    <definedName function="false" hidden="false" name="dep_it_act" vbProcedure="false">#REF!</definedName>
    <definedName function="false" hidden="false" name="desbp" vbProcedure="false">#REF!</definedName>
    <definedName function="false" hidden="false" name="desbr" vbProcedure="false">#REF!</definedName>
    <definedName function="false" hidden="false" name="descv" vbProcedure="false">#REF!</definedName>
    <definedName function="false" hidden="false" name="desdo" vbProcedure="false">#REF!</definedName>
    <definedName function="false" hidden="false" name="desmd" vbProcedure="false">#REF!</definedName>
    <definedName function="false" hidden="false" name="despm" vbProcedure="false">#REF!</definedName>
    <definedName function="false" hidden="false" name="despt" vbProcedure="false">#REF!</definedName>
    <definedName function="false" hidden="false" name="desrd" vbProcedure="false">#REF!</definedName>
    <definedName function="false" hidden="false" name="desta" vbProcedure="false">#REF!</definedName>
    <definedName function="false" hidden="false" name="deste" vbProcedure="false">#REF!</definedName>
    <definedName function="false" hidden="false" name="destr" vbProcedure="false">#REF!</definedName>
    <definedName function="false" hidden="false" name="DETAIL" vbProcedure="false">#REF!</definedName>
    <definedName function="false" hidden="false" name="DETAILS" vbProcedure="false">#REF!</definedName>
    <definedName function="false" hidden="false" name="DET_ITM_3_4" vbProcedure="false">#REF!</definedName>
    <definedName function="false" hidden="false" name="dev" vbProcedure="false">#REF!</definedName>
    <definedName function="false" hidden="false" name="df" vbProcedure="false">#REF!</definedName>
    <definedName function="false" hidden="false" name="dfadfa" vbProcedure="false">#REF!</definedName>
    <definedName function="false" hidden="false" name="dfafad" vbProcedure="false">#REF!</definedName>
    <definedName function="false" hidden="false" name="dfdrf" vbProcedure="false">#REF!</definedName>
    <definedName function="false" hidden="false" name="dfngkfd" vbProcedure="false">#REF!</definedName>
    <definedName function="false" hidden="false" name="dfsa" vbProcedure="false">#REF!</definedName>
    <definedName function="false" hidden="false" name="dfsadsf" vbProcedure="false">#REF!</definedName>
    <definedName function="false" hidden="false" name="DGNMKTG" vbProcedure="false">#REF!</definedName>
    <definedName function="false" hidden="false" name="dhampursugar" vbProcedure="false">#REF!</definedName>
    <definedName function="false" hidden="false" name="diff" vbProcedure="false">#REF!</definedName>
    <definedName function="false" hidden="false" name="Differential_Rate" vbProcedure="false">#REF!</definedName>
    <definedName function="false" hidden="false" name="DirectExpenses" vbProcedure="false">#REF!</definedName>
    <definedName function="false" hidden="false" name="DIRECTORS" vbProcedure="false">#REF!</definedName>
    <definedName function="false" hidden="false" name="disagg" vbProcedure="false">#REF!</definedName>
    <definedName function="false" hidden="false" name="disaggre" vbProcedure="false">#REF!</definedName>
    <definedName function="false" hidden="false" name="Disaggregations" vbProcedure="false">#REF!</definedName>
    <definedName function="false" hidden="false" name="DiscretionaryBudgetedCompletionDate" vbProcedure="false">#REF!</definedName>
    <definedName function="false" hidden="false" name="DiscretionaryCommitted" vbProcedure="false">#REF!</definedName>
    <definedName function="false" hidden="false" name="DiscretionaryExpectedCompletionDate" vbProcedure="false">#REF!</definedName>
    <definedName function="false" hidden="false" name="DiscretionaryExpectedTotalExpenditure" vbProcedure="false">#REF!</definedName>
    <definedName function="false" hidden="false" name="DiscretionaryExpenditureToDate" vbProcedure="false">#REF!</definedName>
    <definedName function="false" hidden="false" name="DiscretionaryPercentComp." vbProcedure="false">#REF!</definedName>
    <definedName function="false" hidden="false" name="DiscretionaryPercentSanctioned" vbProcedure="false">#REF!</definedName>
    <definedName function="false" hidden="false" name="DiscretionaryReviewRequired" vbProcedure="false">#REF!</definedName>
    <definedName function="false" hidden="false" name="DiscretionarySanctioned" vbProcedure="false">#REF!</definedName>
    <definedName function="false" hidden="false" name="display_area_2" vbProcedure="false">#REF!</definedName>
    <definedName function="false" hidden="false" name="display_area_2_4" vbProcedure="false">#REF!</definedName>
    <definedName function="false" hidden="false" name="DisputedProvisions4Actuals" vbProcedure="false">#REF!</definedName>
    <definedName function="false" hidden="false" name="DisputedProvisions4Budget" vbProcedure="false">#REF!</definedName>
    <definedName function="false" hidden="false" name="DisputedProvisionsMonth1Actuals" vbProcedure="false">#REF!</definedName>
    <definedName function="false" hidden="false" name="DisputedProvisionsMonth1Budget" vbProcedure="false">#REF!</definedName>
    <definedName function="false" hidden="false" name="DisputedProvisionsMonth2Actuals" vbProcedure="false">#REF!</definedName>
    <definedName function="false" hidden="false" name="DisputedProvisionsMonth2Budget" vbProcedure="false">#REF!</definedName>
    <definedName function="false" hidden="false" name="DisputedProvisionsMonth3Actuals" vbProcedure="false">#REF!</definedName>
    <definedName function="false" hidden="false" name="DisputedProvisionsMonth3Budget" vbProcedure="false">#REF!</definedName>
    <definedName function="false" hidden="false" name="DisputedProvisionsYTDActuals" vbProcedure="false">#REF!</definedName>
    <definedName function="false" hidden="false" name="DisputedProvisionsYTDBudget" vbProcedure="false">#REF!</definedName>
    <definedName function="false" hidden="false" name="DisputedProvisionYTDActuals" vbProcedure="false">#REF!</definedName>
    <definedName function="false" hidden="false" name="DisputedProvisionYTDBudget" vbProcedure="false">#REF!</definedName>
    <definedName function="false" hidden="false" name="Distribution_encoder_run_rate" vbProcedure="false">#REF!</definedName>
    <definedName function="false" hidden="false" name="Distribution_mux_run_rate" vbProcedure="false">#REF!</definedName>
    <definedName function="false" hidden="false" name="DISTRIBUTORS" vbProcedure="false">#REF!</definedName>
    <definedName function="false" hidden="false" name="Dist_Enc_run_rate" vbProcedure="false">#REF!</definedName>
    <definedName function="false" hidden="false" name="Dist_Mux_run_rate" vbProcedure="false">#REF!</definedName>
    <definedName function="false" hidden="false" name="Dist_ratio_Tvcom_to_Alteia" vbProcedure="false">#REF!</definedName>
    <definedName function="false" hidden="false" name="djaks" vbProcedure="false">#REF!</definedName>
    <definedName function="false" hidden="false" name="DM" vbProcedure="false">#REF!</definedName>
    <definedName function="false" hidden="false" name="DMPL" vbProcedure="false">#REF!</definedName>
    <definedName function="false" hidden="false" name="DOI" vbProcedure="false">#REF!</definedName>
    <definedName function="false" hidden="false" name="Doors" vbProcedure="false">#REF!</definedName>
    <definedName function="false" hidden="false" name="doptot" vbProcedure="false">#REF!</definedName>
    <definedName function="false" hidden="false" name="DP" vbProcedure="false">#REF!</definedName>
    <definedName function="false" hidden="false" name="DRA" vbProcedure="false">#REF!</definedName>
    <definedName function="false" hidden="false" name="DRA_CQA_IPR_CP" vbProcedure="false">#REF!</definedName>
    <definedName function="false" hidden="false" name="DrReddy" vbProcedure="false">#REF!</definedName>
    <definedName function="false" hidden="false" name="DRUCKBEREI03" vbProcedure="false">#REF!</definedName>
    <definedName function="false" hidden="false" name="dsafds" vbProcedure="false">#REF!</definedName>
    <definedName function="false" hidden="false" name="dsasdds" vbProcedure="false">#REF!</definedName>
    <definedName function="false" hidden="false" name="dsdsds" vbProcedure="false">#REF!</definedName>
    <definedName function="false" hidden="false" name="dsfd" vbProcedure="false">#REF!</definedName>
    <definedName function="false" hidden="false" name="DSRA_diff" vbProcedure="false">[1]Debt!$I$198</definedName>
    <definedName function="false" hidden="false" name="duryapharma" vbProcedure="false">#REF!</definedName>
    <definedName function="false" hidden="false" name="DutyAppl" vbProcedure="false">#REF!</definedName>
    <definedName function="false" hidden="false" name="DutyRate" vbProcedure="false">#REF!</definedName>
    <definedName function="false" hidden="false" name="dvrtot" vbProcedure="false">#REF!</definedName>
    <definedName function="false" hidden="false" name="dxdst" vbProcedure="false">#REF!</definedName>
    <definedName function="false" hidden="false" name="D_Gupta" vbProcedure="false">#REF!</definedName>
    <definedName function="false" hidden="false" name="D_Khatwani" vbProcedure="false">#REF!</definedName>
    <definedName function="false" hidden="false" name="D_Marquis" vbProcedure="false">#REF!</definedName>
    <definedName function="false" hidden="false" name="E" vbProcedure="false">#REF!</definedName>
    <definedName function="false" hidden="false" name="E.AP.170" vbProcedure="false">#REF!</definedName>
    <definedName function="false" hidden="false" name="E.CV.130" vbProcedure="false">#REF!</definedName>
    <definedName function="false" hidden="false" name="E.PM.040" vbProcedure="false">#REF!</definedName>
    <definedName function="false" hidden="false" name="E.PM.050" vbProcedure="false">#REF!</definedName>
    <definedName function="false" hidden="false" name="E.PM.060" vbProcedure="false">#REF!</definedName>
    <definedName function="false" hidden="false" name="E.PM.070" vbProcedure="false">#REF!</definedName>
    <definedName function="false" hidden="false" name="E.PM.080" vbProcedure="false">#REF!</definedName>
    <definedName function="false" hidden="false" name="E.TE.130" vbProcedure="false">#REF!</definedName>
    <definedName function="false" hidden="false" name="ediperc" vbProcedure="false">#REF!</definedName>
    <definedName function="false" hidden="false" name="eefdays" vbProcedure="false">#REF!</definedName>
    <definedName function="false" hidden="false" name="eidparry" vbProcedure="false">#REF!</definedName>
    <definedName function="false" hidden="false" name="Electricity" vbProcedure="false">#REF!</definedName>
    <definedName function="false" hidden="false" name="Elim" vbProcedure="false">#REF!</definedName>
    <definedName function="false" hidden="false" name="ENDMKT" vbProcedure="false">#REF!</definedName>
    <definedName function="false" hidden="false" name="ENDUSER" vbProcedure="false">#REF!</definedName>
    <definedName function="false" hidden="false" name="engineersind" vbProcedure="false">#REF!</definedName>
    <definedName function="false" hidden="false" name="ENGL" vbProcedure="false">#REF!</definedName>
    <definedName function="false" hidden="false" name="ENGLAND" vbProcedure="false">#REF!</definedName>
    <definedName function="false" hidden="false" name="engperc" vbProcedure="false">#REF!</definedName>
    <definedName function="false" hidden="false" name="Entitywise_Collection_Flash" vbProcedure="false">#REF!</definedName>
    <definedName function="false" hidden="false" name="entry_in_brs_adj_31300" vbProcedure="false">#REF!</definedName>
    <definedName function="false" hidden="false" name="eqwe" vbProcedure="false">#REF!</definedName>
    <definedName function="false" hidden="false" name="ERRORS" vbProcedure="false">#REF!</definedName>
    <definedName function="false" hidden="false" name="ESPP" vbProcedure="false">#REF!</definedName>
    <definedName function="false" hidden="false" name="EstimatedTaxMonth1Actuals" vbProcedure="false">#REF!</definedName>
    <definedName function="false" hidden="false" name="EstimatedTaxMonth1Budget" vbProcedure="false">#REF!</definedName>
    <definedName function="false" hidden="false" name="EstimatedTaxMonth2Actuals" vbProcedure="false">#REF!</definedName>
    <definedName function="false" hidden="false" name="EstimatedTaxMonth2Budget" vbProcedure="false">#REF!</definedName>
    <definedName function="false" hidden="false" name="EstimatedTaxMonth3Actuals" vbProcedure="false">#REF!</definedName>
    <definedName function="false" hidden="false" name="EstimatedTaxMonth3Budget" vbProcedure="false">#REF!</definedName>
    <definedName function="false" hidden="false" name="EstimatedTaxMonth4Actuals" vbProcedure="false">#REF!</definedName>
    <definedName function="false" hidden="false" name="EstimatedTaxMonth4Budget" vbProcedure="false">#REF!</definedName>
    <definedName function="false" hidden="false" name="EstimatedTaxMonth5Actuals" vbProcedure="false">#REF!</definedName>
    <definedName function="false" hidden="false" name="EstimatedTaxMonth5Budget" vbProcedure="false">#REF!</definedName>
    <definedName function="false" hidden="false" name="etc" vbProcedure="false">#REF!</definedName>
    <definedName function="false" hidden="false" name="EUHQ" vbProcedure="false">#REF!</definedName>
    <definedName function="false" hidden="false" name="EUROPEAN_HQ" vbProcedure="false">#REF!</definedName>
    <definedName function="false" hidden="false" name="ex" vbProcedure="false">#REF!</definedName>
    <definedName function="false" hidden="false" name="Excel_BuiltIn_Database" vbProcedure="false">#REF!</definedName>
    <definedName function="false" hidden="false" name="Excel_BuiltIn_Database_4" vbProcedure="false">#REF!</definedName>
    <definedName function="false" hidden="false" name="Excel_BuiltIn_Print_Area" vbProcedure="false">#REF!</definedName>
    <definedName function="false" hidden="false" name="Excel_BuiltIn_Print_Area_1" vbProcedure="false">#REF!</definedName>
    <definedName function="false" hidden="false" name="Excel_BuiltIn_Print_Area_4___0" vbProcedure="false">#REF!</definedName>
    <definedName function="false" hidden="false" name="Excel_BuiltIn_Print_Titles_2" vbProcedure="false">#REF!</definedName>
    <definedName function="false" hidden="false" name="Excel_BuiltIn__FilterDatabase_11" vbProcedure="false">#REF!</definedName>
    <definedName function="false" hidden="false" name="ExchangeRt" vbProcedure="false">#REF!</definedName>
    <definedName function="false" hidden="false" name="Exchange_Gain__Rs" vbProcedure="false">#REF!</definedName>
    <definedName function="false" hidden="false" name="exchange_rate" vbProcedure="false">#REF!</definedName>
    <definedName function="false" hidden="false" name="exp_bal" vbProcedure="false">#REF!</definedName>
    <definedName function="false" hidden="false" name="ExrateBt" vbProcedure="false">#REF!</definedName>
    <definedName function="false" hidden="false" name="ExrateInd" vbProcedure="false">#REF!</definedName>
    <definedName function="false" hidden="false" name="ExrateSing" vbProcedure="false">#REF!</definedName>
    <definedName function="false" hidden="false" name="ExrateUS" vbProcedure="false">#REF!</definedName>
    <definedName function="false" hidden="false" name="extb" vbProcedure="false">#REF!</definedName>
    <definedName function="false" hidden="false" name="ExternalData1" vbProcedure="false">#REF!</definedName>
    <definedName function="false" hidden="false" name="ExtraordinaryItemsMonth1Actuals" vbProcedure="false">#REF!</definedName>
    <definedName function="false" hidden="false" name="ExtraordinaryItemsMonth1Budget" vbProcedure="false">#REF!</definedName>
    <definedName function="false" hidden="false" name="ExtraordinaryItemsMonth2Actuals" vbProcedure="false">#REF!</definedName>
    <definedName function="false" hidden="false" name="ExtraordinaryItemsMonth2Budget" vbProcedure="false">#REF!</definedName>
    <definedName function="false" hidden="false" name="ExtraordinaryItemsMonth3Actuals" vbProcedure="false">#REF!</definedName>
    <definedName function="false" hidden="false" name="ExtraordinaryItemsMonth3Budget" vbProcedure="false">#REF!</definedName>
    <definedName function="false" hidden="false" name="ExtraordinaryItemsMonth4Actuals" vbProcedure="false">#REF!</definedName>
    <definedName function="false" hidden="false" name="ExtraordinaryItemsMonth4Budget" vbProcedure="false">#REF!</definedName>
    <definedName function="false" hidden="false" name="ExtraordinaryItemsYTDActuals" vbProcedure="false">#REF!</definedName>
    <definedName function="false" hidden="false" name="ExtraordinaryItemsYTDBudget" vbProcedure="false">#REF!</definedName>
    <definedName function="false" hidden="false" name="EX_INDIA" vbProcedure="false">#REF!</definedName>
    <definedName function="false" hidden="false" name="EX_RATE" vbProcedure="false">#REF!</definedName>
    <definedName function="false" hidden="false" name="f" vbProcedure="false">#REF!</definedName>
    <definedName function="false" hidden="false" name="F.AP.180" vbProcedure="false">#REF!</definedName>
    <definedName function="false" hidden="false" name="f.asset" vbProcedure="false">#REF!</definedName>
    <definedName function="false" hidden="false" name="f.asset_4" vbProcedure="false">#REF!</definedName>
    <definedName function="false" hidden="false" name="F.PM.100" vbProcedure="false">#REF!</definedName>
    <definedName function="false" hidden="false" name="F.PM.110" vbProcedure="false">#REF!</definedName>
    <definedName function="false" hidden="false" name="F.PM.120" vbProcedure="false">#REF!</definedName>
    <definedName function="false" hidden="false" name="F.PM.130" vbProcedure="false">#REF!</definedName>
    <definedName function="false" hidden="false" name="F.PM.140" vbProcedure="false">#REF!</definedName>
    <definedName function="false" hidden="false" name="faperc" vbProcedure="false">#REF!</definedName>
    <definedName function="false" hidden="false" name="fcrtot" vbProcedure="false">#REF!</definedName>
    <definedName function="false" hidden="false" name="FEBDATA?" vbProcedure="false">#REF!</definedName>
    <definedName function="false" hidden="false" name="feb_ea" vbProcedure="false">#REF!</definedName>
    <definedName function="false" hidden="false" name="feb_ps" vbProcedure="false">#REF!</definedName>
    <definedName function="false" hidden="false" name="feb_rm" vbProcedure="false">#REF!</definedName>
    <definedName function="false" hidden="false" name="FEF" vbProcedure="false">#REF!</definedName>
    <definedName function="false" hidden="false" name="fefdays" vbProcedure="false">#REF!</definedName>
    <definedName function="false" hidden="false" name="FF" vbProcedure="false">#REF!</definedName>
    <definedName function="false" hidden="false" name="fg" vbProcedure="false">#REF!</definedName>
    <definedName function="false" hidden="false" name="fgg" vbProcedure="false">#REF!</definedName>
    <definedName function="false" hidden="false" name="fhh" vbProcedure="false">#REF!</definedName>
    <definedName function="false" hidden="false" name="FIN" vbProcedure="false">#REF!</definedName>
    <definedName function="false" hidden="false" name="FirstCommYr" vbProcedure="false">#REF!</definedName>
    <definedName function="false" hidden="false" name="FiscalYear" vbProcedure="false">#REF!</definedName>
    <definedName function="false" hidden="false" name="FIVEDAY" vbProcedure="false">#REF!</definedName>
    <definedName function="false" hidden="false" name="FiveMonthsBefore" vbProcedure="false">#REF!</definedName>
    <definedName function="false" hidden="false" name="Fixed" vbProcedure="false">#REF!</definedName>
    <definedName function="false" hidden="false" name="fixed_asset" vbProcedure="false">#REF!</definedName>
    <definedName function="false" hidden="false" name="FJK" vbProcedure="false">#REF!</definedName>
    <definedName function="false" hidden="false" name="fmperc" vbProcedure="false">#REF!</definedName>
    <definedName function="false" hidden="false" name="Forecast" vbProcedure="false">#REF!</definedName>
    <definedName function="false" hidden="false" name="Forecast_Summary" vbProcedure="false">#REF!</definedName>
    <definedName function="false" hidden="false" name="FOREIGNPAY" vbProcedure="false">#REF!</definedName>
    <definedName function="false" hidden="false" name="Form3CDFinal" vbProcedure="false">#REF!</definedName>
    <definedName function="false" hidden="false" name="Format" vbProcedure="false">#REF!</definedName>
    <definedName function="false" hidden="false" name="FourMonthsBefore" vbProcedure="false">#REF!</definedName>
    <definedName function="false" hidden="false" name="Fraction_Disbn_sys_ASI" vbProcedure="false">#REF!</definedName>
    <definedName function="false" hidden="false" name="Fraction_Disbn_sys_PRO_AC3" vbProcedure="false">#REF!</definedName>
    <definedName function="false" hidden="false" name="Fraction_Disbn_sys_PRO_AUD" vbProcedure="false">#REF!</definedName>
    <definedName function="false" hidden="false" name="Fraction_Disbn_sys_PRO_DVA" vbProcedure="false">#REF!</definedName>
    <definedName function="false" hidden="false" name="Fraction_Disbn_sys_PRO_IRD" vbProcedure="false">#REF!</definedName>
    <definedName function="false" hidden="false" name="Fraction_Disbn_sys_PRO_RAM1" vbProcedure="false">#REF!</definedName>
    <definedName function="false" hidden="false" name="Fraction_Disbn_sys_PRO_RAM2" vbProcedure="false">#REF!</definedName>
    <definedName function="false" hidden="false" name="Fraction_Disbn_sys_PRO_TSO" vbProcedure="false">#REF!</definedName>
    <definedName function="false" hidden="false" name="Fraction_Disbn_sys_PRO_TSO3" vbProcedure="false">#REF!</definedName>
    <definedName function="false" hidden="false" name="Fraction_Disbn_sys_PRO_TSOII" vbProcedure="false">#REF!</definedName>
    <definedName function="false" hidden="false" name="Fraction_Disbn_sys_PRO_TXT" vbProcedure="false">#REF!</definedName>
    <definedName function="false" hidden="false" name="Fraction_Disbn_sys_PRO_TXT_UK" vbProcedure="false">#REF!</definedName>
    <definedName function="false" hidden="false" name="Fraction_Disbn_sys_PRO_VBI" vbProcedure="false">#REF!</definedName>
    <definedName function="false" hidden="false" name="Fraction_Euro_Irdeto_FW" vbProcedure="false">#REF!</definedName>
    <definedName function="false" hidden="false" name="Fraction_Fast_Irdeto_FW" vbProcedure="false">#REF!</definedName>
    <definedName function="false" hidden="false" name="Fraction_NDS_CA" vbProcedure="false">#REF!</definedName>
    <definedName function="false" hidden="false" name="FRAN" vbProcedure="false">#REF!</definedName>
    <definedName function="false" hidden="false" name="FRANCE" vbProcedure="false">#REF!</definedName>
    <definedName function="false" hidden="false" name="fRANCIS" vbProcedure="false">#REF!</definedName>
    <definedName function="false" hidden="false" name="frate" vbProcedure="false">#REF!</definedName>
    <definedName function="false" hidden="false" name="frncis" vbProcedure="false">#REF!</definedName>
    <definedName function="false" hidden="false" name="FS" vbProcedure="false">#REF!</definedName>
    <definedName function="false" hidden="false" name="FST" vbProcedure="false">#REF!</definedName>
    <definedName function="false" hidden="false" name="FUEL" vbProcedure="false">#REF!</definedName>
    <definedName function="false" hidden="false" name="Furnitures" vbProcedure="false">#REF!</definedName>
    <definedName function="false" hidden="false" name="FXRATE1" vbProcedure="false">#REF!</definedName>
    <definedName function="false" hidden="false" name="F_F" vbProcedure="false">#REF!</definedName>
    <definedName function="false" hidden="false" name="F_Patel" vbProcedure="false">#REF!</definedName>
    <definedName function="false" hidden="false" name="g" vbProcedure="false">#REF!</definedName>
    <definedName function="false" hidden="false" name="gail" vbProcedure="false">#REF!</definedName>
    <definedName function="false" hidden="false" name="GDF" vbProcedure="false">#REF!</definedName>
    <definedName function="false" hidden="false" name="GeneralExp" vbProcedure="false">#REF!</definedName>
    <definedName function="false" hidden="false" name="Genesc" vbProcedure="false">#REF!</definedName>
    <definedName function="false" hidden="false" name="GERM" vbProcedure="false">#REF!</definedName>
    <definedName function="false" hidden="false" name="GERMANY" vbProcedure="false">#REF!</definedName>
    <definedName function="false" hidden="false" name="gg" vbProcedure="false">#REF!</definedName>
    <definedName function="false" hidden="false" name="ggggg" vbProcedure="false">#REF!</definedName>
    <definedName function="false" hidden="false" name="ggnemp" vbProcedure="false">#REF!</definedName>
    <definedName function="false" hidden="false" name="GITA_DANG" vbProcedure="false">#REF!</definedName>
    <definedName function="false" hidden="false" name="Global_Sales_Entitywise" vbProcedure="false">#REF!</definedName>
    <definedName function="false" hidden="false" name="Global_Sales_Month" vbProcedure="false">#REF!</definedName>
    <definedName function="false" hidden="false" name="Global_Sales_Ytd" vbProcedure="false">#REF!</definedName>
    <definedName function="false" hidden="false" name="glperc" vbProcedure="false">#REF!</definedName>
    <definedName function="false" hidden="false" name="gmr" vbProcedure="false">#REF!</definedName>
    <definedName function="false" hidden="false" name="goatrial" vbProcedure="false">#REF!</definedName>
    <definedName function="false" hidden="false" name="Government_Revenue" vbProcedure="false">#REF!</definedName>
    <definedName function="false" hidden="false" name="Grand_Total" vbProcedure="false">#REF!</definedName>
    <definedName function="false" hidden="false" name="Graph10" vbProcedure="false">#REF!</definedName>
    <definedName function="false" hidden="false" name="Graph11" vbProcedure="false">#REF!</definedName>
    <definedName function="false" hidden="false" name="Graph12" vbProcedure="false">#REF!</definedName>
    <definedName function="false" hidden="false" name="Graph7" vbProcedure="false">#REF!</definedName>
    <definedName function="false" hidden="false" name="Graph8" vbProcedure="false">#REF!</definedName>
    <definedName function="false" hidden="false" name="Graph9" vbProcedure="false">#REF!</definedName>
    <definedName function="false" hidden="false" name="grasim" vbProcedure="false">#REF!</definedName>
    <definedName function="false" hidden="false" name="Gratuity" vbProcedure="false">#REF!</definedName>
    <definedName function="false" hidden="false" name="GROSSBLOCK" vbProcedure="false">#REF!</definedName>
    <definedName function="false" hidden="false" name="GROSSPFT" vbProcedure="false">#REF!</definedName>
    <definedName function="false" hidden="false" name="Gross_Margin___Rs_M" vbProcedure="false">#REF!</definedName>
    <definedName function="false" hidden="false" name="Gross_Margin___Rs_M_4" vbProcedure="false">#REF!</definedName>
    <definedName function="false" hidden="false" name="Group" vbProcedure="false">#REF!</definedName>
    <definedName function="false" hidden="false" name="Grouped" vbProcedure="false">#REF!</definedName>
    <definedName function="false" hidden="false" name="groupings" vbProcedure="false">#REF!</definedName>
    <definedName function="false" hidden="false" name="GTFixedPrice" vbProcedure="false">#REF!</definedName>
    <definedName function="false" hidden="false" name="GTScaler" vbProcedure="false">#REF!</definedName>
    <definedName function="false" hidden="false" name="GTVariablePrice" vbProcedure="false">#REF!</definedName>
    <definedName function="false" hidden="false" name="gujaratalka" vbProcedure="false">#REF!</definedName>
    <definedName function="false" hidden="false" name="gujaratambuja" vbProcedure="false">#REF!</definedName>
    <definedName function="false" hidden="false" name="gytuy" vbProcedure="false">#REF!</definedName>
    <definedName function="false" hidden="false" name="G_Dang" vbProcedure="false">#REF!</definedName>
    <definedName function="false" hidden="false" name="h" vbProcedure="false">#REF!</definedName>
    <definedName function="false" hidden="false" name="H26B" vbProcedure="false">#REF!</definedName>
    <definedName function="false" hidden="false" name="hcad" vbProcedure="false">#REF!</definedName>
    <definedName function="false" hidden="false" name="hceng" vbProcedure="false">#REF!</definedName>
    <definedName function="false" hidden="false" name="hdfc" vbProcedure="false">#REF!</definedName>
    <definedName function="false" hidden="false" name="hdfcbank" vbProcedure="false">#REF!</definedName>
    <definedName function="false" hidden="false" name="Header" vbProcedure="false">#REF!</definedName>
    <definedName function="false" hidden="false" name="HEAVEN" vbProcedure="false">#REF!</definedName>
    <definedName function="false" hidden="false" name="herohonda" vbProcedure="false">#REF!</definedName>
    <definedName function="false" hidden="false" name="hgfhgg" vbProcedure="false">#REF!</definedName>
    <definedName function="false" hidden="false" name="hhuty" vbProcedure="false">#REF!</definedName>
    <definedName function="false" hidden="false" name="hi" vbProcedure="false">#REF!</definedName>
    <definedName function="false" hidden="false" name="Highlights" vbProcedure="false">#REF!</definedName>
    <definedName function="false" hidden="false" name="hi_13" vbProcedure="false">#REF!</definedName>
    <definedName function="false" hidden="false" name="HKIS2Q2" vbProcedure="false">#REF!</definedName>
    <definedName function="false" hidden="false" name="HKIS3Q2" vbProcedure="false">#REF!</definedName>
    <definedName function="false" hidden="false" name="hlh" vbProcedure="false">#REF!</definedName>
    <definedName function="false" hidden="false" name="HOInterestMonth1Budget" vbProcedure="false">#REF!</definedName>
    <definedName function="false" hidden="false" name="HOInterestUnpaidMonth1Actuals" vbProcedure="false">#REF!</definedName>
    <definedName function="false" hidden="false" name="HOInterestUnpaidMonth1Budget" vbProcedure="false">#REF!</definedName>
    <definedName function="false" hidden="false" name="HOInterestUnpaidMonth2Actuals" vbProcedure="false">#REF!</definedName>
    <definedName function="false" hidden="false" name="HOInterestUnpaidMonth2Budget" vbProcedure="false">#REF!</definedName>
    <definedName function="false" hidden="false" name="HOInterestUnpaidMonth3Actuals" vbProcedure="false">#REF!</definedName>
    <definedName function="false" hidden="false" name="HOInterestUnpaidMonth3Budget" vbProcedure="false">#REF!</definedName>
    <definedName function="false" hidden="false" name="HOInterestUnpaidMonth4Actuals" vbProcedure="false">#REF!</definedName>
    <definedName function="false" hidden="false" name="HOInterestUnpaidMonth4Budget" vbProcedure="false">#REF!</definedName>
    <definedName function="false" hidden="false" name="HOInterestUnpaidYTDActuals" vbProcedure="false">#REF!</definedName>
    <definedName function="false" hidden="false" name="HOInterestUnpaidYTDBudget" vbProcedure="false">#REF!</definedName>
    <definedName function="false" hidden="false" name="HOLL" vbProcedure="false">#REF!</definedName>
    <definedName function="false" hidden="false" name="HOLLAND" vbProcedure="false">#REF!</definedName>
    <definedName function="false" hidden="false" name="hrperc" vbProcedure="false">#REF!</definedName>
    <definedName function="false" hidden="false" name="HRSGFlow" vbProcedure="false">#REF!</definedName>
    <definedName function="false" hidden="false" name="hsprtot" vbProcedure="false">#REF!</definedName>
    <definedName function="false" hidden="false" name="hydro" vbProcedure="false">#REF!</definedName>
    <definedName function="false" hidden="false" name="ICEUR" vbProcedure="false">#REF!</definedName>
    <definedName function="false" hidden="false" name="ICEURUSD" vbProcedure="false">#REF!</definedName>
    <definedName function="false" hidden="false" name="IDC_Diff" vbProcedure="false">[1]Debt!$I$159</definedName>
    <definedName function="false" hidden="false" name="iflexsolutions" vbProcedure="false">#REF!</definedName>
    <definedName function="false" hidden="false" name="ii" vbProcedure="false">#REF!</definedName>
    <definedName function="false" hidden="false" name="IIS3Q2" vbProcedure="false">#REF!</definedName>
    <definedName function="false" hidden="false" name="IK" vbProcedure="false">#REF!</definedName>
    <definedName function="false" hidden="false" name="ILT" vbProcedure="false">#REF!</definedName>
    <definedName function="false" hidden="false" name="imperc" vbProcedure="false">#REF!</definedName>
    <definedName function="false" hidden="false" name="INCENTIVES" vbProcedure="false">#REF!</definedName>
    <definedName function="false" hidden="false" name="income" vbProcedure="false">#REF!</definedName>
    <definedName function="false" hidden="false" name="IncrementalSalesTaxMonth1Budget" vbProcedure="false">#REF!</definedName>
    <definedName function="false" hidden="false" name="INDEX" vbProcedure="false">#REF!</definedName>
    <definedName function="false" hidden="false" name="INDEX_ANNEXURE" vbProcedure="false">#REF!</definedName>
    <definedName function="false" hidden="false" name="INDEX_GLANCE" vbProcedure="false">#REF!</definedName>
    <definedName function="false" hidden="false" name="india" vbProcedure="false">#REF!</definedName>
    <definedName function="false" hidden="false" name="indianpetro" vbProcedure="false">#REF!</definedName>
    <definedName function="false" hidden="false" name="INDIA_PLASTIC_in_KUSD" vbProcedure="false">#REF!</definedName>
    <definedName function="false" hidden="false" name="INDIA_PLASTIC_in_KUSD_4" vbProcedure="false">#REF!</definedName>
    <definedName function="false" hidden="false" name="InevitableBudgetedCompletionDate" vbProcedure="false">#REF!</definedName>
    <definedName function="false" hidden="false" name="InevitableCommitted" vbProcedure="false">#REF!</definedName>
    <definedName function="false" hidden="false" name="InevitableExpectedCompletionDate" vbProcedure="false">#REF!</definedName>
    <definedName function="false" hidden="false" name="InevitableExpectedTotalExpenditure" vbProcedure="false">#REF!</definedName>
    <definedName function="false" hidden="false" name="InevitableExpenditureToDate" vbProcedure="false">#REF!</definedName>
    <definedName function="false" hidden="false" name="InevitablePercentComp." vbProcedure="false">#REF!</definedName>
    <definedName function="false" hidden="false" name="InevitablePercentSanctioned" vbProcedure="false">#REF!</definedName>
    <definedName function="false" hidden="false" name="InevitableReviewRequired" vbProcedure="false">#REF!</definedName>
    <definedName function="false" hidden="false" name="InevitableSanctioned" vbProcedure="false">#REF!</definedName>
    <definedName function="false" hidden="false" name="infosystech" vbProcedure="false">#REF!</definedName>
    <definedName function="false" hidden="false" name="INPUT" vbProcedure="false">#REF!</definedName>
    <definedName function="false" hidden="false" name="INRATE1" vbProcedure="false">#REF!</definedName>
    <definedName function="false" hidden="false" name="interco_bal_break_up" vbProcedure="false">#REF!</definedName>
    <definedName function="false" hidden="false" name="INTEREST" vbProcedure="false">#REF!</definedName>
    <definedName function="false" hidden="false" name="InterestOnDebtMonth1Actuals" vbProcedure="false">#REF!</definedName>
    <definedName function="false" hidden="false" name="InterestOnDebtMonth1Budget" vbProcedure="false">#REF!</definedName>
    <definedName function="false" hidden="false" name="InterestOnDebtMonth2Actuals" vbProcedure="false">#REF!</definedName>
    <definedName function="false" hidden="false" name="InterestOnDebtMonth2Budget" vbProcedure="false">#REF!</definedName>
    <definedName function="false" hidden="false" name="InterestOnDebtMonth3Actuals" vbProcedure="false">#REF!</definedName>
    <definedName function="false" hidden="false" name="InterestOnDebtMonth3Budget" vbProcedure="false">#REF!</definedName>
    <definedName function="false" hidden="false" name="InterestOnDebtMonth4Actuals" vbProcedure="false">#REF!</definedName>
    <definedName function="false" hidden="false" name="InterestOnDebtMonth4Budget" vbProcedure="false">#REF!</definedName>
    <definedName function="false" hidden="false" name="InterestOnDebtYTDActuals" vbProcedure="false">#REF!</definedName>
    <definedName function="false" hidden="false" name="InterestOnDebtYTDBudget" vbProcedure="false">#REF!</definedName>
    <definedName function="false" hidden="false" name="interest_234_a_b_c" vbProcedure="false">#REF!</definedName>
    <definedName function="false" hidden="true" name="IntroPrintArea" vbProcedure="false">#REF!</definedName>
    <definedName function="false" hidden="false" name="INV" vbProcedure="false">#REF!</definedName>
    <definedName function="false" hidden="false" name="investment" vbProcedure="false">#REF!</definedName>
    <definedName function="false" hidden="false" name="invperc" vbProcedure="false">#REF!</definedName>
    <definedName function="false" hidden="false" name="iob" vbProcedure="false">#REF!</definedName>
    <definedName function="false" hidden="false" name="IPR" vbProcedure="false">#REF!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"03/17/2022 01:13:03"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IRA" vbProcedure="false">#REF!</definedName>
    <definedName function="false" hidden="false" name="IRR_U" vbProcedure="false">[1]IRR!$J$47</definedName>
    <definedName function="false" hidden="false" name="ismrtot" vbProcedure="false">#REF!</definedName>
    <definedName function="false" hidden="false" name="ITAL" vbProcedure="false">#REF!</definedName>
    <definedName function="false" hidden="false" name="ITALY" vbProcedure="false">#REF!</definedName>
    <definedName function="false" hidden="false" name="itc" vbProcedure="false">#REF!</definedName>
    <definedName function="false" hidden="false" name="iupquweur" vbProcedure="false">#REF!</definedName>
    <definedName function="false" hidden="false" name="iv" vbProcedure="false">#REF!</definedName>
    <definedName function="false" hidden="false" name="J" vbProcedure="false">#REF!</definedName>
    <definedName function="false" hidden="false" name="JA" vbProcedure="false">#REF!</definedName>
    <definedName function="false" hidden="false" name="JANDATA?" vbProcedure="false">#REF!</definedName>
    <definedName function="false" hidden="false" name="JAPA" vbProcedure="false">#REF!</definedName>
    <definedName function="false" hidden="false" name="Japan" vbProcedure="false">#REF!</definedName>
    <definedName function="false" hidden="false" name="jdjjdjd" vbProcedure="false">#REF!</definedName>
    <definedName function="false" hidden="false" name="JECODE" vbProcedure="false">#REF!</definedName>
    <definedName function="false" hidden="false" name="JECODE2005" vbProcedure="false">#REF!</definedName>
    <definedName function="false" hidden="false" name="JECODE2006" vbProcedure="false">#REF!</definedName>
    <definedName function="false" hidden="false" name="JECODEA12008" vbProcedure="false">#REF!</definedName>
    <definedName function="false" hidden="false" name="JECODEA22008" vbProcedure="false">#REF!</definedName>
    <definedName function="false" hidden="false" name="JECODEA32008" vbProcedure="false">#REF!</definedName>
    <definedName function="false" hidden="false" name="JECODEA42008" vbProcedure="false">#REF!</definedName>
    <definedName function="false" hidden="false" name="JECREDIT" vbProcedure="false">#REF!</definedName>
    <definedName function="false" hidden="false" name="JECREDIT2005" vbProcedure="false">#REF!</definedName>
    <definedName function="false" hidden="false" name="JECREDIT2006" vbProcedure="false">#REF!</definedName>
    <definedName function="false" hidden="false" name="JECREDITA12008" vbProcedure="false">#REF!</definedName>
    <definedName function="false" hidden="false" name="JECREDITA22008" vbProcedure="false">#REF!</definedName>
    <definedName function="false" hidden="false" name="JECREDITA32008" vbProcedure="false">#REF!</definedName>
    <definedName function="false" hidden="false" name="JECREDITA42008" vbProcedure="false">#REF!</definedName>
    <definedName function="false" hidden="false" name="JEDEBIT" vbProcedure="false">#REF!</definedName>
    <definedName function="false" hidden="false" name="JEDEBIT2005" vbProcedure="false">#REF!</definedName>
    <definedName function="false" hidden="false" name="JEDEBIT2006" vbProcedure="false">#REF!</definedName>
    <definedName function="false" hidden="false" name="JEDEBITA12008" vbProcedure="false">#REF!</definedName>
    <definedName function="false" hidden="false" name="JEDEBITA22008" vbProcedure="false">#REF!</definedName>
    <definedName function="false" hidden="false" name="JEDEBITA32008" vbProcedure="false">#REF!</definedName>
    <definedName function="false" hidden="false" name="JEDEBITA42008" vbProcedure="false">#REF!</definedName>
    <definedName function="false" hidden="false" name="JournalCode" vbProcedure="false">#REF!</definedName>
    <definedName function="false" hidden="false" name="JOYLYN_FERNANDE" vbProcedure="false">#REF!</definedName>
    <definedName function="false" hidden="false" name="JRHOLMES" vbProcedure="false">#REF!</definedName>
    <definedName function="false" hidden="false" name="JULDATA?" vbProcedure="false">#REF!</definedName>
    <definedName function="false" hidden="false" name="JULY" vbProcedure="false">#REF!</definedName>
    <definedName function="false" hidden="false" name="JUNDATA?" vbProcedure="false">#REF!</definedName>
    <definedName function="false" hidden="false" name="JUNE" vbProcedure="false">#REF!</definedName>
    <definedName function="false" hidden="false" name="June09" vbProcedure="false">#REF!</definedName>
    <definedName function="false" hidden="false" name="JVs_Subsidiaries_Sales_Local_Currency" vbProcedure="false">#REF!</definedName>
    <definedName function="false" hidden="false" name="JVs_Subsidiaries_Sales_US___000" vbProcedure="false">#REF!</definedName>
    <definedName function="false" hidden="false" name="JV_ADJ_31399" vbProcedure="false">#REF!</definedName>
    <definedName function="false" hidden="false" name="J_Fernandes" vbProcedure="false">#REF!</definedName>
    <definedName function="false" hidden="false" name="K" vbProcedure="false">#REF!</definedName>
    <definedName function="false" hidden="false" name="KA" vbProcedure="false">#REF!</definedName>
    <definedName function="false" hidden="false" name="kakdk" vbProcedure="false">#REF!</definedName>
    <definedName function="false" hidden="false" name="KAREN_ALI" vbProcedure="false">#REF!</definedName>
    <definedName function="false" hidden="false" name="KAREN_JANE" vbProcedure="false">#REF!</definedName>
    <definedName function="false" hidden="false" name="karnatakabank" vbProcedure="false">#REF!</definedName>
    <definedName function="false" hidden="false" name="kdidkd" vbProcedure="false">#REF!</definedName>
    <definedName function="false" hidden="false" name="Key_A1_CAT" vbProcedure="false">#REF!</definedName>
    <definedName function="false" hidden="false" name="Key_A1_ELEM" vbProcedure="false">#REF!</definedName>
    <definedName function="false" hidden="false" name="Key_A1_OPSEC" vbProcedure="false">#REF!</definedName>
    <definedName function="false" hidden="false" name="Key_A1_PER" vbProcedure="false">#REF!</definedName>
    <definedName function="false" hidden="false" name="Key_A1_TCUR" vbProcedure="false">#REF!</definedName>
    <definedName function="false" hidden="false" name="Key_A1_TOFR" vbProcedure="false">#REF!</definedName>
    <definedName function="false" hidden="false" name="Key_A1_UNIT" vbProcedure="false">#REF!</definedName>
    <definedName function="false" hidden="false" name="Key_A_CAT" vbProcedure="false">#REF!</definedName>
    <definedName function="false" hidden="false" name="Key_A_ELEM" vbProcedure="false">#REF!</definedName>
    <definedName function="false" hidden="false" name="Key_A_OPSEC" vbProcedure="false">#REF!</definedName>
    <definedName function="false" hidden="false" name="Key_A_PER" vbProcedure="false">#REF!</definedName>
    <definedName function="false" hidden="false" name="Key_A_TCUR" vbProcedure="false">#REF!</definedName>
    <definedName function="false" hidden="false" name="Key_A_TOFR" vbProcedure="false">#REF!</definedName>
    <definedName function="false" hidden="false" name="Key_A_UNIT" vbProcedure="false">#REF!</definedName>
    <definedName function="false" hidden="false" name="Key_C_CAT" vbProcedure="false">#REF!</definedName>
    <definedName function="false" hidden="false" name="Key_C_ELEM" vbProcedure="false">#REF!</definedName>
    <definedName function="false" hidden="false" name="Key_C_OPSEC" vbProcedure="false">#REF!</definedName>
    <definedName function="false" hidden="false" name="Key_C_PER" vbProcedure="false">#REF!</definedName>
    <definedName function="false" hidden="false" name="Key_C_TCUR" vbProcedure="false">#REF!</definedName>
    <definedName function="false" hidden="false" name="Key_C_TOFR" vbProcedure="false">#REF!</definedName>
    <definedName function="false" hidden="false" name="Key_C_UNIT" vbProcedure="false">#REF!</definedName>
    <definedName function="false" hidden="false" name="kfndg" vbProcedure="false">#REF!</definedName>
    <definedName function="false" hidden="false" name="KGM" vbProcedure="false">#REF!</definedName>
    <definedName function="false" hidden="false" name="khkh" vbProcedure="false">#REF!</definedName>
    <definedName function="false" hidden="false" name="KIS" vbProcedure="false">#REF!</definedName>
    <definedName function="false" hidden="false" name="kjadfadkj" vbProcedure="false">#REF!</definedName>
    <definedName function="false" hidden="false" name="KOREA_PLASTIC_in_KUSD" vbProcedure="false">#REF!</definedName>
    <definedName function="false" hidden="false" name="KOREA_PLASTIC_in_KUSD_4" vbProcedure="false">#REF!</definedName>
    <definedName function="false" hidden="false" name="ksjgfd" vbProcedure="false">#REF!</definedName>
    <definedName function="false" hidden="false" name="ksr" vbProcedure="false">#REF!</definedName>
    <definedName function="false" hidden="false" name="kurtot" vbProcedure="false">#REF!</definedName>
    <definedName function="false" hidden="false" name="LABOR3" vbProcedure="false">#REF!</definedName>
    <definedName function="false" hidden="false" name="LAC" vbProcedure="false">#REF!</definedName>
    <definedName function="false" hidden="false" name="LAC_13" vbProcedure="false">#REF!</definedName>
    <definedName function="false" hidden="false" name="LAC_4" vbProcedure="false">#REF!</definedName>
    <definedName function="false" hidden="false" name="lakhdjal" vbProcedure="false">#REF!</definedName>
    <definedName function="false" hidden="false" name="LAND" vbProcedure="false">#REF!</definedName>
    <definedName function="false" hidden="false" name="Land_adv" vbProcedure="false">#REF!</definedName>
    <definedName function="false" hidden="false" name="Last_Year" vbProcedure="false">#REF!</definedName>
    <definedName function="false" hidden="false" name="Leasehold" vbProcedure="false">#REF!</definedName>
    <definedName function="false" hidden="false" name="LessLoanPavmentMonth1Actuals" vbProcedure="false">#REF!</definedName>
    <definedName function="false" hidden="false" name="LessLoanPavmentMonth1Budget" vbProcedure="false">#REF!</definedName>
    <definedName function="false" hidden="false" name="LessLoanPavmentMonth2Actuals" vbProcedure="false">#REF!</definedName>
    <definedName function="false" hidden="false" name="LessLoanPavmentMonth2Budget" vbProcedure="false">#REF!</definedName>
    <definedName function="false" hidden="false" name="LessLoanPavmentMonth3Actuals" vbProcedure="false">#REF!</definedName>
    <definedName function="false" hidden="false" name="LessLoanPavmentMonth3Budget" vbProcedure="false">#REF!</definedName>
    <definedName function="false" hidden="false" name="LessLoanPavmentMonth4Actuals" vbProcedure="false">#REF!</definedName>
    <definedName function="false" hidden="false" name="LessLoanPavmentMonth4Budget" vbProcedure="false">#REF!</definedName>
    <definedName function="false" hidden="false" name="LessLoanPavmentYTDActuals" vbProcedure="false">#REF!</definedName>
    <definedName function="false" hidden="false" name="LessLoanPavmentYTDBudget" vbProcedure="false">#REF!</definedName>
    <definedName function="false" hidden="false" name="LevMaint_" vbProcedure="false">#REF!</definedName>
    <definedName function="false" hidden="false" name="lf" vbProcedure="false">#REF!</definedName>
    <definedName function="false" hidden="true" name="limcount" vbProcedure="false">2</definedName>
    <definedName function="false" hidden="false" name="list" vbProcedure="false">#REF!</definedName>
    <definedName function="false" hidden="false" name="LKJL" vbProcedure="false">#REF!</definedName>
    <definedName function="false" hidden="false" name="lkkkk" vbProcedure="false">#REF!</definedName>
    <definedName function="false" hidden="false" name="lmperc" vbProcedure="false">#REF!</definedName>
    <definedName function="false" hidden="false" name="loans_adv" vbProcedure="false">#REF!</definedName>
    <definedName function="false" hidden="false" name="LocalPay" vbProcedure="false">#REF!</definedName>
    <definedName function="false" hidden="false" name="LP" vbProcedure="false">#REF!</definedName>
    <definedName function="false" hidden="false" name="L_TCost" vbProcedure="false">#REF!</definedName>
    <definedName function="false" hidden="false" name="M" vbProcedure="false">#REF!</definedName>
    <definedName function="false" hidden="false" name="macmillan" vbProcedure="false">#REF!</definedName>
    <definedName function="false" hidden="false" name="macperc" vbProcedure="false">#REF!</definedName>
    <definedName function="false" hidden="false" name="Magix_Sales___JFM_2001" vbProcedure="false">#REF!</definedName>
    <definedName function="false" hidden="false" name="mahesh" vbProcedure="false">#REF!</definedName>
    <definedName function="false" hidden="false" name="mahindra" vbProcedure="false">#REF!</definedName>
    <definedName function="false" hidden="false" name="MAINCOMP" vbProcedure="false">#REF!</definedName>
    <definedName function="false" hidden="false" name="MAIN_TB31399" vbProcedure="false">#REF!</definedName>
    <definedName function="false" hidden="false" name="MAJOR" vbProcedure="false">#REF!</definedName>
    <definedName function="false" hidden="false" name="MAJORFUND" vbProcedure="false">#REF!</definedName>
    <definedName function="false" hidden="false" name="MakeUpGPH" vbProcedure="false">#REF!</definedName>
    <definedName function="false" hidden="false" name="malli" vbProcedure="false">#REF!</definedName>
    <definedName function="false" hidden="false" name="management_revenue" vbProcedure="false">#REF!</definedName>
    <definedName function="false" hidden="false" name="MARCH" vbProcedure="false">#REF!</definedName>
    <definedName function="false" hidden="false" name="MARDATA?" vbProcedure="false">#REF!</definedName>
    <definedName function="false" hidden="false" name="MARIYA_RAPOSE" vbProcedure="false">#REF!</definedName>
    <definedName function="false" hidden="false" name="Marketing_managerwise_Global_Sales" vbProcedure="false">#REF!</definedName>
    <definedName function="false" hidden="false" name="matcomp" vbProcedure="false">#REF!</definedName>
    <definedName function="false" hidden="false" name="matnotes" vbProcedure="false">#REF!</definedName>
    <definedName function="false" hidden="false" name="MAXIM_ROTCONFIRMATIONOFRELEASE" vbProcedure="false">#REF!</definedName>
    <definedName function="false" hidden="false" name="MAY" vbProcedure="false">#REF!</definedName>
    <definedName function="false" hidden="false" name="MAYDATA?" vbProcedure="false">#REF!</definedName>
    <definedName function="false" hidden="false" name="mcdowell" vbProcedure="false">#REF!</definedName>
    <definedName function="false" hidden="false" name="MCF" vbProcedure="false">#REF!</definedName>
    <definedName function="false" hidden="false" name="MDEVISES" vbProcedure="false">#REF!</definedName>
    <definedName function="false" hidden="false" name="MDEVISES_13" vbProcedure="false">#REF!</definedName>
    <definedName function="false" hidden="false" name="MDEVISES_4" vbProcedure="false">#REF!</definedName>
    <definedName function="false" hidden="false" name="mdptot" vbProcedure="false">#REF!</definedName>
    <definedName function="false" hidden="false" name="mdrtot" vbProcedure="false">#REF!</definedName>
    <definedName function="false" hidden="false" name="MED_ALLOW_NT" vbProcedure="false">#REF!</definedName>
    <definedName function="false" hidden="false" name="MEENA_JAGTIANI" vbProcedure="false">#REF!</definedName>
    <definedName function="false" hidden="false" name="MethodAcc_13" vbProcedure="false">#REF!</definedName>
    <definedName function="false" hidden="false" name="MethodAcc_4" vbProcedure="false">#REF!</definedName>
    <definedName function="false" hidden="false" name="MFRF" vbProcedure="false">#REF!</definedName>
    <definedName function="false" hidden="false" name="MFRF_13" vbProcedure="false">#REF!</definedName>
    <definedName function="false" hidden="false" name="MFRF_4" vbProcedure="false">#REF!</definedName>
    <definedName function="false" hidden="false" name="MK11USD" vbProcedure="false">#REF!</definedName>
    <definedName function="false" hidden="false" name="MK11USD_13" vbProcedure="false">#REF!</definedName>
    <definedName function="false" hidden="false" name="MK11USD_4" vbProcedure="false">#REF!</definedName>
    <definedName function="false" hidden="false" name="MK11USD_7" vbProcedure="false">#REF!</definedName>
    <definedName function="false" hidden="false" name="MKT10LC" vbProcedure="false">#REF!</definedName>
    <definedName function="false" hidden="false" name="MKT10LC_13" vbProcedure="false">#REF!</definedName>
    <definedName function="false" hidden="false" name="MKT10LC_4" vbProcedure="false">#REF!</definedName>
    <definedName function="false" hidden="false" name="MKT10LC_7" vbProcedure="false">#REF!</definedName>
    <definedName function="false" hidden="false" name="Mkt10Local" vbProcedure="false">#REF!</definedName>
    <definedName function="false" hidden="false" name="Mkt10Local_13" vbProcedure="false">#REF!</definedName>
    <definedName function="false" hidden="false" name="Mkt10Local_4" vbProcedure="false">#REF!</definedName>
    <definedName function="false" hidden="false" name="Mkt10Local_7" vbProcedure="false">#REF!</definedName>
    <definedName function="false" hidden="false" name="Mkt10USD" vbProcedure="false">#REF!</definedName>
    <definedName function="false" hidden="false" name="Mkt10USD_13" vbProcedure="false">#REF!</definedName>
    <definedName function="false" hidden="false" name="Mkt10USD_4" vbProcedure="false">#REF!</definedName>
    <definedName function="false" hidden="false" name="Mkt10USD_7" vbProcedure="false">#REF!</definedName>
    <definedName function="false" hidden="false" name="MKT10_13" vbProcedure="false">#REF!</definedName>
    <definedName function="false" hidden="false" name="MKT10_4" vbProcedure="false">#REF!</definedName>
    <definedName function="false" hidden="false" name="MKT10_7" vbProcedure="false">#REF!</definedName>
    <definedName function="false" hidden="false" name="MKT11LC" vbProcedure="false">#REF!</definedName>
    <definedName function="false" hidden="false" name="MKT11LC_13" vbProcedure="false">#REF!</definedName>
    <definedName function="false" hidden="false" name="MKT11LC_4" vbProcedure="false">#REF!</definedName>
    <definedName function="false" hidden="false" name="MKT11LC_7" vbProcedure="false">#REF!</definedName>
    <definedName function="false" hidden="false" name="Mkt11Local" vbProcedure="false">#REF!</definedName>
    <definedName function="false" hidden="false" name="Mkt11Local_13" vbProcedure="false">#REF!</definedName>
    <definedName function="false" hidden="false" name="Mkt11Local_4" vbProcedure="false">#REF!</definedName>
    <definedName function="false" hidden="false" name="Mkt11Local_7" vbProcedure="false">#REF!</definedName>
    <definedName function="false" hidden="false" name="Mkt11USD" vbProcedure="false">#REF!</definedName>
    <definedName function="false" hidden="false" name="Mkt11USD_13" vbProcedure="false">#REF!</definedName>
    <definedName function="false" hidden="false" name="Mkt11USD_4" vbProcedure="false">#REF!</definedName>
    <definedName function="false" hidden="false" name="Mkt11USD_7" vbProcedure="false">#REF!</definedName>
    <definedName function="false" hidden="false" name="MKT11_13" vbProcedure="false">#REF!</definedName>
    <definedName function="false" hidden="false" name="MKT11_4" vbProcedure="false">#REF!</definedName>
    <definedName function="false" hidden="false" name="MKT11_7" vbProcedure="false">#REF!</definedName>
    <definedName function="false" hidden="false" name="MKT1LC" vbProcedure="false">#REF!</definedName>
    <definedName function="false" hidden="false" name="MKT1LC_13" vbProcedure="false">#REF!</definedName>
    <definedName function="false" hidden="false" name="MKT1LC_4" vbProcedure="false">#REF!</definedName>
    <definedName function="false" hidden="false" name="MKT1LC_7" vbProcedure="false">#REF!</definedName>
    <definedName function="false" hidden="false" name="Mkt1Local" vbProcedure="false">#REF!</definedName>
    <definedName function="false" hidden="false" name="Mkt1Local_13" vbProcedure="false">#REF!</definedName>
    <definedName function="false" hidden="false" name="Mkt1Local_4" vbProcedure="false">#REF!</definedName>
    <definedName function="false" hidden="false" name="Mkt1Local_7" vbProcedure="false">#REF!</definedName>
    <definedName function="false" hidden="false" name="Mkt1USD" vbProcedure="false">#REF!</definedName>
    <definedName function="false" hidden="false" name="Mkt1USD_13" vbProcedure="false">#REF!</definedName>
    <definedName function="false" hidden="false" name="Mkt1USD_4" vbProcedure="false">#REF!</definedName>
    <definedName function="false" hidden="false" name="Mkt1USD_7" vbProcedure="false">#REF!</definedName>
    <definedName function="false" hidden="false" name="MKT1_13" vbProcedure="false">#REF!</definedName>
    <definedName function="false" hidden="false" name="MKT1_4" vbProcedure="false">#REF!</definedName>
    <definedName function="false" hidden="false" name="MKT1_7" vbProcedure="false">#REF!</definedName>
    <definedName function="false" hidden="false" name="MKT2LC" vbProcedure="false">#REF!</definedName>
    <definedName function="false" hidden="false" name="MKT2LC_13" vbProcedure="false">#REF!</definedName>
    <definedName function="false" hidden="false" name="MKT2LC_4" vbProcedure="false">#REF!</definedName>
    <definedName function="false" hidden="false" name="MKT2LC_7" vbProcedure="false">#REF!</definedName>
    <definedName function="false" hidden="false" name="Mkt2Local" vbProcedure="false">#REF!</definedName>
    <definedName function="false" hidden="false" name="Mkt2Local_13" vbProcedure="false">#REF!</definedName>
    <definedName function="false" hidden="false" name="Mkt2Local_4" vbProcedure="false">#REF!</definedName>
    <definedName function="false" hidden="false" name="Mkt2Local_7" vbProcedure="false">#REF!</definedName>
    <definedName function="false" hidden="false" name="Mkt2USD" vbProcedure="false">#REF!</definedName>
    <definedName function="false" hidden="false" name="Mkt2USD_13" vbProcedure="false">#REF!</definedName>
    <definedName function="false" hidden="false" name="Mkt2USD_4" vbProcedure="false">#REF!</definedName>
    <definedName function="false" hidden="false" name="Mkt2USD_7" vbProcedure="false">#REF!</definedName>
    <definedName function="false" hidden="false" name="MKT2_13" vbProcedure="false">#REF!</definedName>
    <definedName function="false" hidden="false" name="MKT2_4" vbProcedure="false">#REF!</definedName>
    <definedName function="false" hidden="false" name="MKT2_7" vbProcedure="false">#REF!</definedName>
    <definedName function="false" hidden="false" name="MKT3LC" vbProcedure="false">#REF!</definedName>
    <definedName function="false" hidden="false" name="MKT3LC_13" vbProcedure="false">#REF!</definedName>
    <definedName function="false" hidden="false" name="MKT3LC_4" vbProcedure="false">#REF!</definedName>
    <definedName function="false" hidden="false" name="MKT3LC_7" vbProcedure="false">#REF!</definedName>
    <definedName function="false" hidden="false" name="Mkt3Local" vbProcedure="false">#REF!</definedName>
    <definedName function="false" hidden="false" name="Mkt3Local_13" vbProcedure="false">#REF!</definedName>
    <definedName function="false" hidden="false" name="Mkt3Local_4" vbProcedure="false">#REF!</definedName>
    <definedName function="false" hidden="false" name="Mkt3Local_7" vbProcedure="false">#REF!</definedName>
    <definedName function="false" hidden="false" name="Mkt3USD" vbProcedure="false">#REF!</definedName>
    <definedName function="false" hidden="false" name="Mkt3USD1" vbProcedure="false">#REF!</definedName>
    <definedName function="false" hidden="false" name="Mkt3USD_13" vbProcedure="false">#REF!</definedName>
    <definedName function="false" hidden="false" name="Mkt3USD_4" vbProcedure="false">#REF!</definedName>
    <definedName function="false" hidden="false" name="Mkt3USD_7" vbProcedure="false">#REF!</definedName>
    <definedName function="false" hidden="false" name="MKT3_13" vbProcedure="false">#REF!</definedName>
    <definedName function="false" hidden="false" name="MKT3_4" vbProcedure="false">#REF!</definedName>
    <definedName function="false" hidden="false" name="MKT3_7" vbProcedure="false">#REF!</definedName>
    <definedName function="false" hidden="false" name="MKT4LC" vbProcedure="false">#REF!</definedName>
    <definedName function="false" hidden="false" name="MKT4LC_13" vbProcedure="false">#REF!</definedName>
    <definedName function="false" hidden="false" name="MKT4LC_4" vbProcedure="false">#REF!</definedName>
    <definedName function="false" hidden="false" name="MKT4LC_7" vbProcedure="false">#REF!</definedName>
    <definedName function="false" hidden="false" name="Mkt4Local" vbProcedure="false">#REF!</definedName>
    <definedName function="false" hidden="false" name="Mkt4Local_13" vbProcedure="false">#REF!</definedName>
    <definedName function="false" hidden="false" name="Mkt4Local_4" vbProcedure="false">#REF!</definedName>
    <definedName function="false" hidden="false" name="Mkt4Local_7" vbProcedure="false">#REF!</definedName>
    <definedName function="false" hidden="false" name="Mkt4USD" vbProcedure="false">#REF!</definedName>
    <definedName function="false" hidden="false" name="Mkt4USD_13" vbProcedure="false">#REF!</definedName>
    <definedName function="false" hidden="false" name="Mkt4USD_4" vbProcedure="false">#REF!</definedName>
    <definedName function="false" hidden="false" name="Mkt4USD_7" vbProcedure="false">#REF!</definedName>
    <definedName function="false" hidden="false" name="MKT4_13" vbProcedure="false">#REF!</definedName>
    <definedName function="false" hidden="false" name="MKT4_4" vbProcedure="false">#REF!</definedName>
    <definedName function="false" hidden="false" name="MKT4_7" vbProcedure="false">#REF!</definedName>
    <definedName function="false" hidden="false" name="MKT5LC" vbProcedure="false">#REF!</definedName>
    <definedName function="false" hidden="false" name="MKT5LC_13" vbProcedure="false">#REF!</definedName>
    <definedName function="false" hidden="false" name="MKT5LC_4" vbProcedure="false">#REF!</definedName>
    <definedName function="false" hidden="false" name="MKT5LC_7" vbProcedure="false">#REF!</definedName>
    <definedName function="false" hidden="false" name="Mkt5Local" vbProcedure="false">#REF!</definedName>
    <definedName function="false" hidden="false" name="Mkt5Local_13" vbProcedure="false">#REF!</definedName>
    <definedName function="false" hidden="false" name="Mkt5Local_4" vbProcedure="false">#REF!</definedName>
    <definedName function="false" hidden="false" name="Mkt5Local_7" vbProcedure="false">#REF!</definedName>
    <definedName function="false" hidden="false" name="Mkt5USD" vbProcedure="false">#REF!</definedName>
    <definedName function="false" hidden="false" name="Mkt5USD_13" vbProcedure="false">#REF!</definedName>
    <definedName function="false" hidden="false" name="Mkt5USD_4" vbProcedure="false">#REF!</definedName>
    <definedName function="false" hidden="false" name="Mkt5USD_7" vbProcedure="false">#REF!</definedName>
    <definedName function="false" hidden="false" name="MKT5_13" vbProcedure="false">#REF!</definedName>
    <definedName function="false" hidden="false" name="MKT5_4" vbProcedure="false">#REF!</definedName>
    <definedName function="false" hidden="false" name="MKT5_7" vbProcedure="false">#REF!</definedName>
    <definedName function="false" hidden="false" name="MKT6LC" vbProcedure="false">#REF!</definedName>
    <definedName function="false" hidden="false" name="MKT6LC_13" vbProcedure="false">#REF!</definedName>
    <definedName function="false" hidden="false" name="MKT6LC_4" vbProcedure="false">#REF!</definedName>
    <definedName function="false" hidden="false" name="MKT6LC_7" vbProcedure="false">#REF!</definedName>
    <definedName function="false" hidden="false" name="Mkt6Local" vbProcedure="false">#REF!</definedName>
    <definedName function="false" hidden="false" name="Mkt6Local_13" vbProcedure="false">#REF!</definedName>
    <definedName function="false" hidden="false" name="Mkt6Local_4" vbProcedure="false">#REF!</definedName>
    <definedName function="false" hidden="false" name="Mkt6Local_7" vbProcedure="false">#REF!</definedName>
    <definedName function="false" hidden="false" name="Mkt6USD" vbProcedure="false">#REF!</definedName>
    <definedName function="false" hidden="false" name="Mkt6USD_13" vbProcedure="false">#REF!</definedName>
    <definedName function="false" hidden="false" name="Mkt6USD_4" vbProcedure="false">#REF!</definedName>
    <definedName function="false" hidden="false" name="Mkt6USD_7" vbProcedure="false">#REF!</definedName>
    <definedName function="false" hidden="false" name="MKT6_13" vbProcedure="false">#REF!</definedName>
    <definedName function="false" hidden="false" name="MKT6_4" vbProcedure="false">#REF!</definedName>
    <definedName function="false" hidden="false" name="MKT6_7" vbProcedure="false">#REF!</definedName>
    <definedName function="false" hidden="false" name="MKT7LC" vbProcedure="false">#REF!</definedName>
    <definedName function="false" hidden="false" name="MKT7LC_13" vbProcedure="false">#REF!</definedName>
    <definedName function="false" hidden="false" name="MKT7LC_4" vbProcedure="false">#REF!</definedName>
    <definedName function="false" hidden="false" name="MKT7LC_7" vbProcedure="false">#REF!</definedName>
    <definedName function="false" hidden="false" name="Mkt7Local" vbProcedure="false">#REF!</definedName>
    <definedName function="false" hidden="false" name="Mkt7Local_13" vbProcedure="false">#REF!</definedName>
    <definedName function="false" hidden="false" name="Mkt7Local_4" vbProcedure="false">#REF!</definedName>
    <definedName function="false" hidden="false" name="Mkt7Local_7" vbProcedure="false">#REF!</definedName>
    <definedName function="false" hidden="false" name="Mkt7USD" vbProcedure="false">#REF!</definedName>
    <definedName function="false" hidden="false" name="Mkt7USD_13" vbProcedure="false">#REF!</definedName>
    <definedName function="false" hidden="false" name="Mkt7USD_4" vbProcedure="false">#REF!</definedName>
    <definedName function="false" hidden="false" name="Mkt7USD_7" vbProcedure="false">#REF!</definedName>
    <definedName function="false" hidden="false" name="MKT7_13" vbProcedure="false">#REF!</definedName>
    <definedName function="false" hidden="false" name="MKT7_4" vbProcedure="false">#REF!</definedName>
    <definedName function="false" hidden="false" name="MKT7_7" vbProcedure="false">#REF!</definedName>
    <definedName function="false" hidden="false" name="MKT8LC" vbProcedure="false">#REF!</definedName>
    <definedName function="false" hidden="false" name="MKT8LC_13" vbProcedure="false">#REF!</definedName>
    <definedName function="false" hidden="false" name="MKT8LC_4" vbProcedure="false">#REF!</definedName>
    <definedName function="false" hidden="false" name="MKT8LC_7" vbProcedure="false">#REF!</definedName>
    <definedName function="false" hidden="false" name="Mkt8Local" vbProcedure="false">#REF!</definedName>
    <definedName function="false" hidden="false" name="Mkt8Local_13" vbProcedure="false">#REF!</definedName>
    <definedName function="false" hidden="false" name="Mkt8Local_4" vbProcedure="false">#REF!</definedName>
    <definedName function="false" hidden="false" name="Mkt8Local_7" vbProcedure="false">#REF!</definedName>
    <definedName function="false" hidden="false" name="Mkt8USD" vbProcedure="false">#REF!</definedName>
    <definedName function="false" hidden="false" name="Mkt8USD_13" vbProcedure="false">#REF!</definedName>
    <definedName function="false" hidden="false" name="Mkt8USD_4" vbProcedure="false">#REF!</definedName>
    <definedName function="false" hidden="false" name="Mkt8USD_7" vbProcedure="false">#REF!</definedName>
    <definedName function="false" hidden="false" name="MKT8_13" vbProcedure="false">#REF!</definedName>
    <definedName function="false" hidden="false" name="MKT8_4" vbProcedure="false">#REF!</definedName>
    <definedName function="false" hidden="false" name="MKT8_7" vbProcedure="false">#REF!</definedName>
    <definedName function="false" hidden="false" name="MKT9LC" vbProcedure="false">#REF!</definedName>
    <definedName function="false" hidden="false" name="MKT9LC_13" vbProcedure="false">#REF!</definedName>
    <definedName function="false" hidden="false" name="MKT9LC_4" vbProcedure="false">#REF!</definedName>
    <definedName function="false" hidden="false" name="MKT9LC_7" vbProcedure="false">#REF!</definedName>
    <definedName function="false" hidden="false" name="Mkt9Local" vbProcedure="false">#REF!</definedName>
    <definedName function="false" hidden="false" name="Mkt9Local_13" vbProcedure="false">#REF!</definedName>
    <definedName function="false" hidden="false" name="Mkt9Local_4" vbProcedure="false">#REF!</definedName>
    <definedName function="false" hidden="false" name="Mkt9Local_7" vbProcedure="false">#REF!</definedName>
    <definedName function="false" hidden="false" name="Mkt9USD" vbProcedure="false">#REF!</definedName>
    <definedName function="false" hidden="false" name="Mkt9USD_13" vbProcedure="false">#REF!</definedName>
    <definedName function="false" hidden="false" name="Mkt9USD_4" vbProcedure="false">#REF!</definedName>
    <definedName function="false" hidden="false" name="Mkt9USD_7" vbProcedure="false">#REF!</definedName>
    <definedName function="false" hidden="false" name="MKT9_13" vbProcedure="false">#REF!</definedName>
    <definedName function="false" hidden="false" name="MKT9_4" vbProcedure="false">#REF!</definedName>
    <definedName function="false" hidden="false" name="MKT9_7" vbProcedure="false">#REF!</definedName>
    <definedName function="false" hidden="false" name="MKT_2" vbProcedure="false">#REF!</definedName>
    <definedName function="false" hidden="false" name="MKT_2_13" vbProcedure="false">#REF!</definedName>
    <definedName function="false" hidden="false" name="MKT_2_4" vbProcedure="false">#REF!</definedName>
    <definedName function="false" hidden="false" name="MKT_2_7" vbProcedure="false">#REF!</definedName>
    <definedName function="false" hidden="false" name="MMLB_SOLD_ANNUA" vbProcedure="false">#REF!</definedName>
    <definedName function="false" hidden="false" name="MMLB_SOLD_APRIL" vbProcedure="false">#REF!</definedName>
    <definedName function="false" hidden="false" name="MMLB_SOLD_AUGUS" vbProcedure="false">#REF!</definedName>
    <definedName function="false" hidden="false" name="MMLB_SOLD_JULY" vbProcedure="false">#REF!</definedName>
    <definedName function="false" hidden="false" name="MMLB_SOLD_JUNE" vbProcedure="false">#REF!</definedName>
    <definedName function="false" hidden="false" name="MMLB_SOLD_MARCH" vbProcedure="false">#REF!</definedName>
    <definedName function="false" hidden="false" name="MMLB_SOLD_MAY" vbProcedure="false">#REF!</definedName>
    <definedName function="false" hidden="false" name="MMLB_SO_DECEMBE" vbProcedure="false">#REF!</definedName>
    <definedName function="false" hidden="false" name="MMLB_SO_FEBRUAR" vbProcedure="false">#REF!</definedName>
    <definedName function="false" hidden="false" name="MMLB_SO_JANUARY" vbProcedure="false">#REF!</definedName>
    <definedName function="false" hidden="false" name="MMLB_SO_NOVEMBE" vbProcedure="false">#REF!</definedName>
    <definedName function="false" hidden="false" name="MMLB_SO_OCTOBER" vbProcedure="false">#REF!</definedName>
    <definedName function="false" hidden="false" name="MMLB_SO_SEPTEMB" vbProcedure="false">#REF!</definedName>
    <definedName function="false" hidden="false" name="MN" vbProcedure="false">#REF!</definedName>
    <definedName function="false" hidden="false" name="Model_Tol" vbProcedure="false">'[1]Project Inputs'!$G$28</definedName>
    <definedName function="false" hidden="false" name="Model_Tolerance" vbProcedure="false">#REF!</definedName>
    <definedName function="false" hidden="false" name="Mods_per_Disbn_sys" vbProcedure="false">#REF!</definedName>
    <definedName function="false" hidden="false" name="Monetary_Precision" vbProcedure="false">#REF!</definedName>
    <definedName function="false" hidden="false" name="Month" vbProcedure="false">#REF!</definedName>
    <definedName function="false" hidden="false" name="Month1_Ending_Bal" vbProcedure="false">#REF!</definedName>
    <definedName function="false" hidden="false" name="Month1_Ending_Bal_13" vbProcedure="false">#REF!</definedName>
    <definedName function="false" hidden="false" name="Month1_Ending_Bal_4" vbProcedure="false">#REF!</definedName>
    <definedName function="false" hidden="false" name="Month1_Ending_Bal_7" vbProcedure="false">#REF!</definedName>
    <definedName function="false" hidden="false" name="Month2_Ending_Bal_13" vbProcedure="false">#REF!</definedName>
    <definedName function="false" hidden="false" name="Month2_Ending_Bal_4" vbProcedure="false">#REF!</definedName>
    <definedName function="false" hidden="false" name="Month2_Ending_Bal_7" vbProcedure="false">#REF!</definedName>
    <definedName function="false" hidden="false" name="Month3_Ending_Bal_13" vbProcedure="false">#REF!</definedName>
    <definedName function="false" hidden="false" name="Month3_Ending_Bal_4" vbProcedure="false">#REF!</definedName>
    <definedName function="false" hidden="false" name="Month3_Ending_Bal_7" vbProcedure="false">#REF!</definedName>
    <definedName function="false" hidden="false" name="Month4_Ending_Bal_13" vbProcedure="false">#REF!</definedName>
    <definedName function="false" hidden="false" name="Month4_Ending_Bal_4" vbProcedure="false">#REF!</definedName>
    <definedName function="false" hidden="false" name="Month4_Ending_Bal_7" vbProcedure="false">#REF!</definedName>
    <definedName function="false" hidden="false" name="Month5_Ending_Bal_13" vbProcedure="false">#REF!</definedName>
    <definedName function="false" hidden="false" name="Month5_Ending_Bal_4" vbProcedure="false">#REF!</definedName>
    <definedName function="false" hidden="false" name="Month5_Ending_Bal_7" vbProcedure="false">#REF!</definedName>
    <definedName function="false" hidden="false" name="Month6_Ending_Bal_13" vbProcedure="false">#REF!</definedName>
    <definedName function="false" hidden="false" name="Month6_Ending_Bal_4" vbProcedure="false">#REF!</definedName>
    <definedName function="false" hidden="false" name="Month6_Ending_Bal_7" vbProcedure="false">#REF!</definedName>
    <definedName function="false" hidden="false" name="MONTHLY_MG" vbProcedure="false">#REF!</definedName>
    <definedName function="false" hidden="false" name="Monthly_Report_for_2003" vbProcedure="false">#REF!</definedName>
    <definedName function="false" hidden="false" name="MonthYear" vbProcedure="false">#REF!</definedName>
    <definedName function="false" hidden="false" name="Motar_Car" vbProcedure="false">#REF!</definedName>
    <definedName function="false" hidden="false" name="Movt_Summary" vbProcedure="false">#REF!</definedName>
    <definedName function="false" hidden="false" name="Movt___Forecast_Detail" vbProcedure="false">#REF!</definedName>
    <definedName function="false" hidden="false" name="MP" vbProcedure="false">#REF!</definedName>
    <definedName function="false" hidden="false" name="mpsperc" vbProcedure="false">#REF!</definedName>
    <definedName function="false" hidden="false" name="MP_Singh" vbProcedure="false">#REF!</definedName>
    <definedName function="false" hidden="false" name="MStVal_13" vbProcedure="false">#REF!</definedName>
    <definedName function="false" hidden="false" name="MStVal_4" vbProcedure="false">#REF!</definedName>
    <definedName function="false" hidden="false" name="Muliplicator" vbProcedure="false">#REF!</definedName>
    <definedName function="false" hidden="false" name="MULTIPLICATOR" vbProcedure="false">#REF!</definedName>
    <definedName function="false" hidden="false" name="MUNISH_PAL" vbProcedure="false">#REF!</definedName>
    <definedName function="false" hidden="false" name="murali" vbProcedure="false">#REF!</definedName>
    <definedName function="false" hidden="false" name="Muxes_per_Disbn_sys" vbProcedure="false">#REF!</definedName>
    <definedName function="false" hidden="false" name="MWScale" vbProcedure="false">#REF!</definedName>
    <definedName function="false" hidden="false" name="MyBusiness" vbProcedure="false">#REF!</definedName>
    <definedName function="false" hidden="false" name="M_ACost" vbProcedure="false">#REF!</definedName>
    <definedName function="false" hidden="false" name="M_Agarwal" vbProcedure="false">#REF!</definedName>
    <definedName function="false" hidden="false" name="M_Arora" vbProcedure="false">#REF!</definedName>
    <definedName function="false" hidden="false" name="M_Nayar" vbProcedure="false">#REF!</definedName>
    <definedName function="false" hidden="false" name="M_Sharan" vbProcedure="false">#REF!</definedName>
    <definedName function="false" hidden="false" name="Name" vbProcedure="false">#REF!</definedName>
    <definedName function="false" hidden="false" name="Name_13" vbProcedure="false">#REF!</definedName>
    <definedName function="false" hidden="false" name="Name_4" vbProcedure="false">#REF!</definedName>
    <definedName function="false" hidden="false" name="Name_7" vbProcedure="false">#REF!</definedName>
    <definedName function="false" hidden="false" name="Name_of_the_Party" vbProcedure="false">#REF!</definedName>
    <definedName function="false" hidden="false" name="nartot" vbProcedure="false">#REF!</definedName>
    <definedName function="false" hidden="false" name="NatureBusiness_13" vbProcedure="false">#REF!</definedName>
    <definedName function="false" hidden="false" name="NatureBusiness_4" vbProcedure="false">#REF!</definedName>
    <definedName function="false" hidden="false" name="NETBLOCK" vbProcedure="false">#REF!</definedName>
    <definedName function="false" hidden="false" name="NEUC" vbProcedure="false">#REF!</definedName>
    <definedName function="false" hidden="false" name="NEUCHATEL" vbProcedure="false">#REF!</definedName>
    <definedName function="false" hidden="false" name="New" vbProcedure="false">#REF!</definedName>
    <definedName function="false" hidden="false" name="newack2" vbProcedure="false">#REF!</definedName>
    <definedName function="false" hidden="false" name="neyveli" vbProcedure="false">#REF!</definedName>
    <definedName function="false" hidden="false" name="nifty" vbProcedure="false">#REF!</definedName>
    <definedName function="false" hidden="false" name="NISCO_Ventures_Pvt._Ltd__NFH_Contract_A_c" vbProcedure="false">#REF!</definedName>
    <definedName function="false" hidden="false" name="NMWH_ANNUAL" vbProcedure="false">#REF!</definedName>
    <definedName function="false" hidden="false" name="NMWH_APRIL" vbProcedure="false">#REF!</definedName>
    <definedName function="false" hidden="false" name="NMWH_AUGUST" vbProcedure="false">#REF!</definedName>
    <definedName function="false" hidden="false" name="NMWH_DECEMBER" vbProcedure="false">#REF!</definedName>
    <definedName function="false" hidden="false" name="NMWH_FEBRUARY" vbProcedure="false">#REF!</definedName>
    <definedName function="false" hidden="false" name="NMWH_JANUARY" vbProcedure="false">#REF!</definedName>
    <definedName function="false" hidden="false" name="NMWH_JULY" vbProcedure="false">#REF!</definedName>
    <definedName function="false" hidden="false" name="NMWH_JUNE" vbProcedure="false">#REF!</definedName>
    <definedName function="false" hidden="false" name="NMWH_MARCH" vbProcedure="false">#REF!</definedName>
    <definedName function="false" hidden="false" name="NMWH_MAY" vbProcedure="false">#REF!</definedName>
    <definedName function="false" hidden="false" name="NMWH_NOVEMBER" vbProcedure="false">#REF!</definedName>
    <definedName function="false" hidden="false" name="NMWH_OCTOBER" vbProcedure="false">#REF!</definedName>
    <definedName function="false" hidden="false" name="NMWH_SEPTEMBER" vbProcedure="false">#REF!</definedName>
    <definedName function="false" hidden="false" name="nn" vbProcedure="false">#REF!</definedName>
    <definedName function="false" hidden="false" name="NO" vbProcedure="false">#REF!</definedName>
    <definedName function="false" hidden="false" name="NonOperatingItemsBudget" vbProcedure="false">#REF!</definedName>
    <definedName function="false" hidden="false" name="NonOperatingItemsMonth1Actuals" vbProcedure="false">#REF!</definedName>
    <definedName function="false" hidden="false" name="NonOperatingItemsMonth1Budget" vbProcedure="false">#REF!</definedName>
    <definedName function="false" hidden="false" name="NonOperatingItemsMonth2Actuals" vbProcedure="false">#REF!</definedName>
    <definedName function="false" hidden="false" name="NonOperatingItemsMonth2Budget" vbProcedure="false">#REF!</definedName>
    <definedName function="false" hidden="false" name="NonOperatingItemsMonth3Actuals" vbProcedure="false">#REF!</definedName>
    <definedName function="false" hidden="false" name="NonOperatingItemsMonth3Budget" vbProcedure="false">#REF!</definedName>
    <definedName function="false" hidden="false" name="NonOperatingItemsMonth4Actuals" vbProcedure="false">#REF!</definedName>
    <definedName function="false" hidden="false" name="NonOperatingItemsMonth4Budget" vbProcedure="false">#REF!</definedName>
    <definedName function="false" hidden="false" name="NonOperatingItemsYTDActuals" vbProcedure="false">#REF!</definedName>
    <definedName function="false" hidden="false" name="NonOperatingItemsYTDBudget" vbProcedure="false">#REF!</definedName>
    <definedName function="false" hidden="false" name="NOPATMonth1Actuals" vbProcedure="false">#REF!</definedName>
    <definedName function="false" hidden="false" name="NOPATMonth1Budget" vbProcedure="false">#REF!</definedName>
    <definedName function="false" hidden="false" name="NOPATMonth2Actuals" vbProcedure="false">#REF!</definedName>
    <definedName function="false" hidden="false" name="NOPATMonth2Budget" vbProcedure="false">#REF!</definedName>
    <definedName function="false" hidden="false" name="NOPATMonth3Actuals" vbProcedure="false">#REF!</definedName>
    <definedName function="false" hidden="false" name="NOPATMonth3Budget" vbProcedure="false">#REF!</definedName>
    <definedName function="false" hidden="false" name="NOPATMonth4Actuals" vbProcedure="false">#REF!</definedName>
    <definedName function="false" hidden="false" name="NOPATMonth4Budget" vbProcedure="false">#REF!</definedName>
    <definedName function="false" hidden="false" name="NOPATMonth5Actuals" vbProcedure="false">#REF!</definedName>
    <definedName function="false" hidden="false" name="NOPATMonth5Budget" vbProcedure="false">#REF!</definedName>
    <definedName function="false" hidden="false" name="NOPATYTDActuals" vbProcedure="false">#REF!</definedName>
    <definedName function="false" hidden="false" name="NOPATYTDBudget" vbProcedure="false">#REF!</definedName>
    <definedName function="false" hidden="false" name="Notes" vbProcedure="false">#REF!</definedName>
    <definedName function="false" hidden="false" name="Notes1" vbProcedure="false">#REF!</definedName>
    <definedName function="false" hidden="false" name="Notes_1_6" vbProcedure="false">#REF!</definedName>
    <definedName function="false" hidden="false" name="NOTES_MAINCOMP" vbProcedure="false">#REF!</definedName>
    <definedName function="false" hidden="false" name="NOTE_1" vbProcedure="false">#REF!</definedName>
    <definedName function="false" hidden="false" name="Note_10_12" vbProcedure="false">#REF!</definedName>
    <definedName function="false" hidden="false" name="note_2" vbProcedure="false">#REF!</definedName>
    <definedName function="false" hidden="false" name="NOTE_3" vbProcedure="false">#REF!</definedName>
    <definedName function="false" hidden="false" name="NOTE_4" vbProcedure="false">#REF!</definedName>
    <definedName function="false" hidden="false" name="Note_7_9" vbProcedure="false">#REF!</definedName>
    <definedName function="false" hidden="false" name="nov" vbProcedure="false">#REF!</definedName>
    <definedName function="false" hidden="false" name="NOVDATA?" vbProcedure="false">#REF!</definedName>
    <definedName function="false" hidden="false" name="NO_4" vbProcedure="false">#REF!</definedName>
    <definedName function="false" hidden="false" name="nqknq" vbProcedure="false">#REF!</definedName>
    <definedName function="false" hidden="false" name="NSC" vbProcedure="false">#REF!</definedName>
    <definedName function="false" hidden="false" name="ntpc" vbProcedure="false">#REF!</definedName>
    <definedName function="false" hidden="false" name="NUMBER" vbProcedure="false">#REF!</definedName>
    <definedName function="false" hidden="false" name="N_Rodrigues" vbProcedure="false">#REF!</definedName>
    <definedName function="false" hidden="false" name="N_Tandon" vbProcedure="false">#REF!</definedName>
    <definedName function="false" hidden="false" name="obpl" vbProcedure="false">#REF!</definedName>
    <definedName function="false" hidden="false" name="OCTDATA?" vbProcedure="false">#REF!</definedName>
    <definedName function="false" hidden="false" name="odsrtot" vbProcedure="false">#REF!</definedName>
    <definedName function="false" hidden="false" name="OE" vbProcedure="false">#REF!</definedName>
    <definedName function="false" hidden="false" name="oeperc" vbProcedure="false">#REF!</definedName>
    <definedName function="false" hidden="false" name="OEQP" vbProcedure="false">#REF!</definedName>
    <definedName function="false" hidden="false" name="Office_Equipments" vbProcedure="false">#REF!</definedName>
    <definedName function="false" hidden="false" name="old" vbProcedure="false">#REF!</definedName>
    <definedName function="false" hidden="false" name="OLE_LINK17" vbProcedure="false">#REF!</definedName>
    <definedName function="false" hidden="false" name="OLE_LINK8" vbProcedure="false">#REF!</definedName>
    <definedName function="false" hidden="false" name="ongc" vbProcedure="false">#REF!</definedName>
    <definedName function="false" hidden="false" name="op" vbProcedure="false">#REF!</definedName>
    <definedName function="false" hidden="false" name="OPCAP" vbProcedure="false">#REF!</definedName>
    <definedName function="false" hidden="false" name="OperatingHrs" vbProcedure="false">#REF!</definedName>
    <definedName function="false" hidden="false" name="operations" vbProcedure="false">#REF!</definedName>
    <definedName function="false" hidden="false" name="operations_4" vbProcedure="false">#REF!</definedName>
    <definedName function="false" hidden="false" name="or1perc" vbProcedure="false">#REF!</definedName>
    <definedName function="false" hidden="false" name="or2perc" vbProcedure="false">#REF!</definedName>
    <definedName function="false" hidden="false" name="or3perc" vbProcedure="false">#REF!</definedName>
    <definedName function="false" hidden="false" name="or4perc" vbProcedure="false">#REF!</definedName>
    <definedName function="false" hidden="false" name="or5perc" vbProcedure="false">#REF!</definedName>
    <definedName function="false" hidden="false" name="or6perc" vbProcedure="false">#REF!</definedName>
    <definedName function="false" hidden="false" name="orientalbank" vbProcedure="false">#REF!</definedName>
    <definedName function="false" hidden="false" name="osmperc" vbProcedure="false">#REF!</definedName>
    <definedName function="false" hidden="false" name="OTHERINC" vbProcedure="false">#REF!</definedName>
    <definedName function="false" hidden="false" name="OtherNonCashItemsMonth1Actuals" vbProcedure="false">#REF!</definedName>
    <definedName function="false" hidden="false" name="OtherNonCashItemsMonth2Actuals" vbProcedure="false">#REF!</definedName>
    <definedName function="false" hidden="false" name="OtherNonCashItemsMonth2Budget" vbProcedure="false">#REF!</definedName>
    <definedName function="false" hidden="false" name="OtherNonCashItemsMonth3Actuaaaaaaaaaaaaaals" vbProcedure="false">#REF!</definedName>
    <definedName function="false" hidden="false" name="OtherNonCashItemsMonth3Budget" vbProcedure="false">#REF!</definedName>
    <definedName function="false" hidden="false" name="OtherNonCashItemsMonth4Actuals" vbProcedure="false">#REF!</definedName>
    <definedName function="false" hidden="false" name="OtherNonCashItemsMonth4Budget" vbProcedure="false">#REF!</definedName>
    <definedName function="false" hidden="false" name="OtherNonCashItemsYTDActuals" vbProcedure="false">#REF!</definedName>
    <definedName function="false" hidden="false" name="OtherNonCashItemsYTDBudget" vbProcedure="false">#REF!</definedName>
    <definedName function="false" hidden="false" name="OtherProjectsBudgetedCompletionDate" vbProcedure="false">#REF!</definedName>
    <definedName function="false" hidden="false" name="OtherProjectsCommitted" vbProcedure="false">#REF!</definedName>
    <definedName function="false" hidden="false" name="OtherProjectsExpectedCompletionDate" vbProcedure="false">#REF!</definedName>
    <definedName function="false" hidden="false" name="OtherProjectsExpectedTotalExpenditure" vbProcedure="false">#REF!</definedName>
    <definedName function="false" hidden="false" name="OtherProjectsExpenditureToDate" vbProcedure="false">#REF!</definedName>
    <definedName function="false" hidden="false" name="OtherProjectsPercentageSanctioned" vbProcedure="false">#REF!</definedName>
    <definedName function="false" hidden="false" name="OtherProjectsPercentComp." vbProcedure="false">#REF!</definedName>
    <definedName function="false" hidden="false" name="OtherProjectsReviewRequired" vbProcedure="false">#REF!</definedName>
    <definedName function="false" hidden="false" name="OtherProjectsSanctioned" vbProcedure="false">#REF!</definedName>
    <definedName function="false" hidden="false" name="others" vbProcedure="false">#REF!</definedName>
    <definedName function="false" hidden="false" name="others_4" vbProcedure="false">#REF!</definedName>
    <definedName function="false" hidden="false" name="ou" vbProcedure="false">#REF!</definedName>
    <definedName function="false" hidden="false" name="OVERSEAS" vbProcedure="false">#REF!</definedName>
    <definedName function="false" hidden="false" name="OVERVIEW" vbProcedure="false">#REF!</definedName>
    <definedName function="false" hidden="false" name="overview2" vbProcedure="false">#REF!</definedName>
    <definedName function="false" hidden="false" name="P" vbProcedure="false">#REF!</definedName>
    <definedName function="false" hidden="false" name="p1_villas" vbProcedure="false">#REF!</definedName>
    <definedName function="false" hidden="false" name="P7M_COMP" vbProcedure="false">#REF!</definedName>
    <definedName function="false" hidden="false" name="pacperc" vbProcedure="false">#REF!</definedName>
    <definedName function="false" hidden="false" name="PAG" vbProcedure="false">#REF!</definedName>
    <definedName function="false" hidden="false" name="PAGE" vbProcedure="false">#REF!</definedName>
    <definedName function="false" hidden="false" name="PAGE1" vbProcedure="false">#REF!</definedName>
    <definedName function="false" hidden="false" name="PAGE14" vbProcedure="false">#REF!</definedName>
    <definedName function="false" hidden="false" name="PAGE2" vbProcedure="false">#REF!</definedName>
    <definedName function="false" hidden="false" name="PAGE22" vbProcedure="false">#REF!</definedName>
    <definedName function="false" hidden="false" name="PAGE3" vbProcedure="false">#REF!</definedName>
    <definedName function="false" hidden="false" name="PAGE_1" vbProcedure="false">#REF!</definedName>
    <definedName function="false" hidden="false" name="PAGE_2" vbProcedure="false">#REF!</definedName>
    <definedName function="false" hidden="false" name="PAGE_3" vbProcedure="false">#REF!</definedName>
    <definedName function="false" hidden="false" name="PAGE_4" vbProcedure="false">#REF!</definedName>
    <definedName function="false" hidden="false" name="Page_6" vbProcedure="false">#REF!</definedName>
    <definedName function="false" hidden="false" name="PAN_13" vbProcedure="false">#REF!</definedName>
    <definedName function="false" hidden="false" name="PAN_4" vbProcedure="false">#REF!</definedName>
    <definedName function="false" hidden="false" name="PartDesignation_13" vbProcedure="false">#REF!</definedName>
    <definedName function="false" hidden="false" name="PartDesignation_4" vbProcedure="false">#REF!</definedName>
    <definedName function="false" hidden="false" name="part_iv" vbProcedure="false">#REF!</definedName>
    <definedName function="false" hidden="false" name="Pass" vbProcedure="false">#REF!</definedName>
    <definedName function="false" hidden="false" name="Pass_13" vbProcedure="false">#REF!</definedName>
    <definedName function="false" hidden="false" name="Pauline" vbProcedure="false">#REF!</definedName>
    <definedName function="false" hidden="false" name="pay" vbProcedure="false">#REF!</definedName>
    <definedName function="false" hidden="false" name="Payments" vbProcedure="false">#REF!</definedName>
    <definedName function="false" hidden="false" name="Payout_Total" vbProcedure="false">#REF!</definedName>
    <definedName function="false" hidden="false" name="payperc" vbProcedure="false">#REF!</definedName>
    <definedName function="false" hidden="false" name="PAYROLL_TAX" vbProcedure="false">#REF!</definedName>
    <definedName function="false" hidden="false" name="PBC_Memberwise_Global_Sales" vbProcedure="false">#REF!</definedName>
    <definedName function="false" hidden="false" name="pbperc" vbProcedure="false">#REF!</definedName>
    <definedName function="false" hidden="false" name="pc" vbProcedure="false">#REF!</definedName>
    <definedName function="false" hidden="false" name="pcmperc" vbProcedure="false">#REF!</definedName>
    <definedName function="false" hidden="false" name="pcperc" vbProcedure="false">#REF!</definedName>
    <definedName function="false" hidden="false" name="pcrpperc" vbProcedure="false">#REF!</definedName>
    <definedName function="false" hidden="false" name="pcsperc" vbProcedure="false">#REF!</definedName>
    <definedName function="false" hidden="false" name="PeriodNumber" vbProcedure="false">#REF!</definedName>
    <definedName function="false" hidden="false" name="pfmperc" vbProcedure="false">#REF!</definedName>
    <definedName function="false" hidden="false" name="PG" vbProcedure="false">#REF!</definedName>
    <definedName function="false" hidden="false" name="PG2A" vbProcedure="false">#REF!</definedName>
    <definedName function="false" hidden="false" name="PG2B" vbProcedure="false">#REF!</definedName>
    <definedName function="false" hidden="false" name="PG8A" vbProcedure="false">#REF!</definedName>
    <definedName function="false" hidden="false" name="PG8B" vbProcedure="false">#REF!</definedName>
    <definedName function="false" hidden="false" name="PG8C" vbProcedure="false">#REF!</definedName>
    <definedName function="false" hidden="false" name="PG8D" vbProcedure="false">#REF!</definedName>
    <definedName function="false" hidden="false" name="PG8E" vbProcedure="false">#REF!</definedName>
    <definedName function="false" hidden="false" name="PG_2" vbProcedure="false">#REF!</definedName>
    <definedName function="false" hidden="false" name="PG_4" vbProcedure="false">#REF!</definedName>
    <definedName function="false" hidden="false" name="PG_5" vbProcedure="false">#REF!</definedName>
    <definedName function="false" hidden="false" name="PHARMA" vbProcedure="false">#REF!</definedName>
    <definedName function="false" hidden="false" name="PkgBrlFlow" vbProcedure="false">#REF!</definedName>
    <definedName function="false" hidden="false" name="placcount" vbProcedure="false">#REF!</definedName>
    <definedName function="false" hidden="false" name="Plant" vbProcedure="false">#REF!</definedName>
    <definedName function="false" hidden="false" name="PLrate" vbProcedure="false">#REF!</definedName>
    <definedName function="false" hidden="false" name="PM" vbProcedure="false">#REF!</definedName>
    <definedName function="false" hidden="false" name="pmdrtot" vbProcedure="false">#REF!</definedName>
    <definedName function="false" hidden="false" name="pmperc" vbProcedure="false">#REF!</definedName>
    <definedName function="false" hidden="false" name="pmprtot" vbProcedure="false">#REF!</definedName>
    <definedName function="false" hidden="false" name="pmpsperc" vbProcedure="false">#REF!</definedName>
    <definedName function="false" hidden="false" name="pmptot" vbProcedure="false">#REF!</definedName>
    <definedName function="false" hidden="false" name="pmrpperc" vbProcedure="false">#REF!</definedName>
    <definedName function="false" hidden="false" name="pmrtot" vbProcedure="false">#REF!</definedName>
    <definedName function="false" hidden="false" name="pname" vbProcedure="false">#REF!</definedName>
    <definedName function="false" hidden="false" name="pnb" vbProcedure="false">#REF!</definedName>
    <definedName function="false" hidden="false" name="pnboptions" vbProcedure="false">#REF!</definedName>
    <definedName function="false" hidden="false" name="pocperc" vbProcedure="false">#REF!</definedName>
    <definedName function="false" hidden="false" name="poeperc" vbProcedure="false">#REF!</definedName>
    <definedName function="false" hidden="false" name="polorisoft" vbProcedure="false">#REF!</definedName>
    <definedName function="false" hidden="false" name="poperc" vbProcedure="false">#REF!</definedName>
    <definedName function="false" hidden="false" name="ppmperc" vbProcedure="false">#REF!</definedName>
    <definedName function="false" hidden="false" name="ppoperc" vbProcedure="false">#REF!</definedName>
    <definedName function="false" hidden="false" name="pr" vbProcedure="false">#REF!</definedName>
    <definedName function="false" hidden="false" name="prativa" vbProcedure="false">#REF!</definedName>
    <definedName function="false" hidden="false" name="pravin" vbProcedure="false">#REF!</definedName>
    <definedName function="false" hidden="false" name="Pravin1" vbProcedure="false">#REF!</definedName>
    <definedName function="false" hidden="false" name="Pravin2" vbProcedure="false">#REF!</definedName>
    <definedName function="false" hidden="false" name="Pravin3" vbProcedure="false">#REF!</definedName>
    <definedName function="false" hidden="false" name="Pravin4" vbProcedure="false">#REF!</definedName>
    <definedName function="false" hidden="false" name="Pravin5" vbProcedure="false">#REF!</definedName>
    <definedName function="false" hidden="false" name="Pravin6" vbProcedure="false">#REF!</definedName>
    <definedName function="false" hidden="false" name="Pravin7" vbProcedure="false">#REF!</definedName>
    <definedName function="false" hidden="false" name="Pravin8" vbProcedure="false">#REF!</definedName>
    <definedName function="false" hidden="false" name="prdbp" vbProcedure="false">#REF!</definedName>
    <definedName function="false" hidden="false" name="prdbr" vbProcedure="false">#REF!</definedName>
    <definedName function="false" hidden="false" name="prdcv" vbProcedure="false">#REF!</definedName>
    <definedName function="false" hidden="false" name="prddo" vbProcedure="false">#REF!</definedName>
    <definedName function="false" hidden="false" name="prdmd" vbProcedure="false">#REF!</definedName>
    <definedName function="false" hidden="false" name="prdpm" vbProcedure="false">#REF!</definedName>
    <definedName function="false" hidden="false" name="prdpt" vbProcedure="false">#REF!</definedName>
    <definedName function="false" hidden="false" name="prdrd" vbProcedure="false">#REF!</definedName>
    <definedName function="false" hidden="false" name="prdta" vbProcedure="false">#REF!</definedName>
    <definedName function="false" hidden="false" name="prdte" vbProcedure="false">#REF!</definedName>
    <definedName function="false" hidden="false" name="prdtr" vbProcedure="false">#REF!</definedName>
    <definedName function="false" hidden="false" name="Prelm_Exp" vbProcedure="false">#REF!</definedName>
    <definedName function="false" hidden="false" name="premises" vbProcedure="false">#REF!</definedName>
    <definedName function="false" hidden="false" name="Premium_13" vbProcedure="false">#REF!</definedName>
    <definedName function="false" hidden="false" name="Premium_4" vbProcedure="false">#REF!</definedName>
    <definedName function="false" hidden="false" name="PREPAID_OTHER" vbProcedure="false">#REF!</definedName>
    <definedName function="false" hidden="false" name="prev" vbProcedure="false">#REF!</definedName>
    <definedName function="false" hidden="false" name="PreviousMonth" vbProcedure="false">#REF!</definedName>
    <definedName function="false" hidden="false" name="PREV_ADJ_31398" vbProcedure="false">#REF!</definedName>
    <definedName function="false" hidden="false" name="Print" vbProcedure="false">#REF!</definedName>
    <definedName function="false" hidden="false" name="Print_Area1" vbProcedure="false">#REF!</definedName>
    <definedName function="false" hidden="false" name="Print_Area2" vbProcedure="false">#REF!</definedName>
    <definedName function="false" hidden="false" name="Print_Area_MI" vbProcedure="false">#REF!</definedName>
    <definedName function="false" hidden="false" name="Print_Range___0___0___0___0___0___0___0" vbProcedure="false">#REF!</definedName>
    <definedName function="false" hidden="false" name="Print_Range___0___0___0___0___0___0___0___0" vbProcedure="false">#REF!</definedName>
    <definedName function="false" hidden="false" name="Print_Range___8" vbProcedure="false">#REF!</definedName>
    <definedName function="false" hidden="false" name="PRINT_SUMMARY" vbProcedure="false">#REF!</definedName>
    <definedName function="false" hidden="false" name="Print_titles22" vbProcedure="false">#REF!</definedName>
    <definedName function="false" hidden="false" name="PRINT_TITLES_MI" vbProcedure="false">#REF!</definedName>
    <definedName function="false" hidden="false" name="problem1" vbProcedure="false">#REF!</definedName>
    <definedName function="false" hidden="false" name="PRODSALES" vbProcedure="false">#REF!</definedName>
    <definedName function="false" hidden="false" name="Professional_IRD_per_Disbn_sys_at_Receive_site" vbProcedure="false">#REF!</definedName>
    <definedName function="false" hidden="false" name="PROFITLOSS" vbProcedure="false">#REF!</definedName>
    <definedName function="false" hidden="false" name="PROFITP" vbProcedure="false">#REF!</definedName>
    <definedName function="false" hidden="false" name="progm" vbProcedure="false">#REF!</definedName>
    <definedName function="false" hidden="false" name="ProjDesc" vbProcedure="false">#REF!</definedName>
    <definedName function="false" hidden="false" name="PROJECT_NAME" vbProcedure="false">#REF!</definedName>
    <definedName function="false" hidden="false" name="ProjName" vbProcedure="false">#REF!</definedName>
    <definedName function="false" hidden="false" name="promail" vbProcedure="false">#REF!</definedName>
    <definedName function="false" hidden="false" name="pronomail" vbProcedure="false">#REF!</definedName>
    <definedName function="false" hidden="false" name="Provisional_Rate" vbProcedure="false">#REF!</definedName>
    <definedName function="false" hidden="false" name="Provisions" vbProcedure="false">#REF!</definedName>
    <definedName function="false" hidden="false" name="Pro_Decoder_per_Disbn_sys" vbProcedure="false">#REF!</definedName>
    <definedName function="false" hidden="false" name="Pro_IRD_per_Disbn_sys" vbProcedure="false">#REF!</definedName>
    <definedName function="false" hidden="false" name="PrtMajMaint" vbProcedure="false">#REF!</definedName>
    <definedName function="false" hidden="false" name="PrtOffsite" vbProcedure="false">#REF!</definedName>
    <definedName function="false" hidden="false" name="PrtPrecomm" vbProcedure="false">#REF!</definedName>
    <definedName function="false" hidden="false" name="PrtSetup" vbProcedure="false">#REF!</definedName>
    <definedName function="false" hidden="false" name="psmperc" vbProcedure="false">#REF!</definedName>
    <definedName function="false" hidden="false" name="psmprtot" vbProcedure="false">#REF!</definedName>
    <definedName function="false" hidden="false" name="psprtot" vbProcedure="false">#REF!</definedName>
    <definedName function="false" hidden="false" name="psrtot" vbProcedure="false">#REF!</definedName>
    <definedName function="false" hidden="false" name="pssprtot" vbProcedure="false">#REF!</definedName>
    <definedName function="false" hidden="false" name="pssrtot" vbProcedure="false">#REF!</definedName>
    <definedName function="false" hidden="false" name="ptaperc" vbProcedure="false">#REF!</definedName>
    <definedName function="false" hidden="false" name="Ptas" vbProcedure="false">#REF!</definedName>
    <definedName function="false" hidden="false" name="ptptot" vbProcedure="false">#REF!</definedName>
    <definedName function="false" hidden="false" name="pub" vbProcedure="false">#REF!</definedName>
    <definedName function="false" hidden="false" name="PURCHASE" vbProcedure="false">#REF!</definedName>
    <definedName function="false" hidden="false" name="py_retained_earnings" vbProcedure="false">#REF!</definedName>
    <definedName function="false" hidden="false" name="py_ret_earn_beg" vbProcedure="false">#REF!</definedName>
    <definedName function="false" hidden="false" name="py_share_equity" vbProcedure="false">#REF!</definedName>
    <definedName function="false" hidden="false" name="P_L" vbProcedure="false">#REF!</definedName>
    <definedName function="false" hidden="false" name="P_MARVINKURVE" vbProcedure="false">#REF!</definedName>
    <definedName function="false" hidden="false" name="P_M_AC" vbProcedure="false">#REF!</definedName>
    <definedName function="false" hidden="false" name="P_Som" vbProcedure="false">#REF!</definedName>
    <definedName function="false" hidden="false" name="P___L___Statement" vbProcedure="false">#REF!</definedName>
    <definedName function="false" hidden="false" name="P___L___Statement_4" vbProcedure="false">#REF!</definedName>
    <definedName function="false" hidden="false" name="q" vbProcedure="false">#REF!</definedName>
    <definedName function="false" hidden="false" name="qalperc" vbProcedure="false">#REF!</definedName>
    <definedName function="false" hidden="false" name="qaprtot" vbProcedure="false">#REF!</definedName>
    <definedName function="false" hidden="false" name="qartot" vbProcedure="false">#REF!</definedName>
    <definedName function="false" hidden="false" name="qmpcomp" vbProcedure="false">#REF!</definedName>
    <definedName function="false" hidden="false" name="qmpctl" vbProcedure="false">#REF!</definedName>
    <definedName function="false" hidden="false" name="qmperc" vbProcedure="false">#REF!</definedName>
    <definedName function="false" hidden="false" name="qmpphs" vbProcedure="false">#REF!</definedName>
    <definedName function="false" hidden="false" name="qmpphscomp" vbProcedure="false">#REF!</definedName>
    <definedName function="false" hidden="false" name="qmpplan" vbProcedure="false">#REF!</definedName>
    <definedName function="false" hidden="false" name="qmptot" vbProcedure="false">#REF!</definedName>
    <definedName function="false" hidden="false" name="qmrtot" vbProcedure="false">#REF!</definedName>
    <definedName function="false" hidden="false" name="qq" vbProcedure="false">#REF!</definedName>
    <definedName function="false" hidden="false" name="qryPRExport" vbProcedure="false">#REF!</definedName>
    <definedName function="false" hidden="false" name="qryPRExportNYR" vbProcedure="false">#REF!</definedName>
    <definedName function="false" hidden="false" name="qweqw" vbProcedure="false">#REF!</definedName>
    <definedName function="false" hidden="false" name="qzqzqz10" vbProcedure="false">#REF!</definedName>
    <definedName function="false" hidden="false" name="qzqzqz10_4" vbProcedure="false">#REF!</definedName>
    <definedName function="false" hidden="false" name="qzqzqz11" vbProcedure="false">#REF!</definedName>
    <definedName function="false" hidden="false" name="qzqzqz11_4" vbProcedure="false">#REF!</definedName>
    <definedName function="false" hidden="false" name="qzqzqz12" vbProcedure="false">#REF!</definedName>
    <definedName function="false" hidden="false" name="qzqzqz12_4" vbProcedure="false">#REF!</definedName>
    <definedName function="false" hidden="false" name="qzqzqz13" vbProcedure="false">#REF!</definedName>
    <definedName function="false" hidden="false" name="qzqzqz13_4" vbProcedure="false">#REF!</definedName>
    <definedName function="false" hidden="false" name="qzqzqz14" vbProcedure="false">#REF!</definedName>
    <definedName function="false" hidden="false" name="qzqzqz14_4" vbProcedure="false">#REF!</definedName>
    <definedName function="false" hidden="false" name="qzqzqz15" vbProcedure="false">#REF!</definedName>
    <definedName function="false" hidden="false" name="qzqzqz15_4" vbProcedure="false">#REF!</definedName>
    <definedName function="false" hidden="false" name="qzqzqz16" vbProcedure="false">#REF!</definedName>
    <definedName function="false" hidden="false" name="qzqzqz16_4" vbProcedure="false">#REF!</definedName>
    <definedName function="false" hidden="false" name="qzqzqz17" vbProcedure="false">#REF!</definedName>
    <definedName function="false" hidden="false" name="qzqzqz17_4" vbProcedure="false">#REF!</definedName>
    <definedName function="false" hidden="false" name="qzqzqz18" vbProcedure="false">#REF!</definedName>
    <definedName function="false" hidden="false" name="qzqzqz18_4" vbProcedure="false">#REF!</definedName>
    <definedName function="false" hidden="false" name="qzqzqz19" vbProcedure="false">#REF!</definedName>
    <definedName function="false" hidden="false" name="qzqzqz19_4" vbProcedure="false">#REF!</definedName>
    <definedName function="false" hidden="false" name="qzqzqz20" vbProcedure="false">#REF!</definedName>
    <definedName function="false" hidden="false" name="qzqzqz20_4" vbProcedure="false">#REF!</definedName>
    <definedName function="false" hidden="false" name="qzqzqz21" vbProcedure="false">#REF!</definedName>
    <definedName function="false" hidden="false" name="qzqzqz21_4" vbProcedure="false">#REF!</definedName>
    <definedName function="false" hidden="false" name="qzqzqz22" vbProcedure="false">#REF!</definedName>
    <definedName function="false" hidden="false" name="qzqzqz22_4" vbProcedure="false">#REF!</definedName>
    <definedName function="false" hidden="false" name="qzqzqz23" vbProcedure="false">#REF!</definedName>
    <definedName function="false" hidden="false" name="qzqzqz23_4" vbProcedure="false">#REF!</definedName>
    <definedName function="false" hidden="false" name="qzqzqz24" vbProcedure="false">#REF!</definedName>
    <definedName function="false" hidden="false" name="qzqzqz24_4" vbProcedure="false">#REF!</definedName>
    <definedName function="false" hidden="false" name="qzqzqz25" vbProcedure="false">#REF!</definedName>
    <definedName function="false" hidden="false" name="qzqzqz25_4" vbProcedure="false">#REF!</definedName>
    <definedName function="false" hidden="false" name="qzqzqz26" vbProcedure="false">#REF!</definedName>
    <definedName function="false" hidden="false" name="qzqzqz26_4" vbProcedure="false">#REF!</definedName>
    <definedName function="false" hidden="false" name="qzqzqz27" vbProcedure="false">#REF!</definedName>
    <definedName function="false" hidden="false" name="qzqzqz27_4" vbProcedure="false">#REF!</definedName>
    <definedName function="false" hidden="false" name="qzqzqz28" vbProcedure="false">#REF!</definedName>
    <definedName function="false" hidden="false" name="qzqzqz28_4" vbProcedure="false">#REF!</definedName>
    <definedName function="false" hidden="false" name="qzqzqz29" vbProcedure="false">#REF!</definedName>
    <definedName function="false" hidden="false" name="qzqzqz29_4" vbProcedure="false">#REF!</definedName>
    <definedName function="false" hidden="false" name="qzqzqz30" vbProcedure="false">#REF!</definedName>
    <definedName function="false" hidden="false" name="qzqzqz30_4" vbProcedure="false">#REF!</definedName>
    <definedName function="false" hidden="false" name="qzqzqz31" vbProcedure="false">#REF!</definedName>
    <definedName function="false" hidden="false" name="qzqzqz31_4" vbProcedure="false">#REF!</definedName>
    <definedName function="false" hidden="false" name="qzqzqz32" vbProcedure="false">#REF!</definedName>
    <definedName function="false" hidden="false" name="qzqzqz32_4" vbProcedure="false">#REF!</definedName>
    <definedName function="false" hidden="false" name="qzqzqz33" vbProcedure="false">#REF!</definedName>
    <definedName function="false" hidden="false" name="qzqzqz33_4" vbProcedure="false">#REF!</definedName>
    <definedName function="false" hidden="false" name="qzqzqz34" vbProcedure="false">#REF!</definedName>
    <definedName function="false" hidden="false" name="qzqzqz34_4" vbProcedure="false">#REF!</definedName>
    <definedName function="false" hidden="false" name="qzqzqz35" vbProcedure="false">#REF!</definedName>
    <definedName function="false" hidden="false" name="qzqzqz35_4" vbProcedure="false">#REF!</definedName>
    <definedName function="false" hidden="false" name="qzqzqz36" vbProcedure="false">#REF!</definedName>
    <definedName function="false" hidden="false" name="qzqzqz36_4" vbProcedure="false">#REF!</definedName>
    <definedName function="false" hidden="false" name="qzqzqz37" vbProcedure="false">#REF!</definedName>
    <definedName function="false" hidden="false" name="qzqzqz37_4" vbProcedure="false">#REF!</definedName>
    <definedName function="false" hidden="false" name="qzqzqz38" vbProcedure="false">#REF!</definedName>
    <definedName function="false" hidden="false" name="qzqzqz38_4" vbProcedure="false">#REF!</definedName>
    <definedName function="false" hidden="false" name="qzqzqz39" vbProcedure="false">#REF!</definedName>
    <definedName function="false" hidden="false" name="qzqzqz39_4" vbProcedure="false">#REF!</definedName>
    <definedName function="false" hidden="false" name="qzqzqz40" vbProcedure="false">#REF!</definedName>
    <definedName function="false" hidden="false" name="qzqzqz40_4" vbProcedure="false">#REF!</definedName>
    <definedName function="false" hidden="false" name="qzqzqz41" vbProcedure="false">#REF!</definedName>
    <definedName function="false" hidden="false" name="qzqzqz41_4" vbProcedure="false">#REF!</definedName>
    <definedName function="false" hidden="false" name="qzqzqz42" vbProcedure="false">#REF!</definedName>
    <definedName function="false" hidden="false" name="qzqzqz42_4" vbProcedure="false">#REF!</definedName>
    <definedName function="false" hidden="false" name="qzqzqz43" vbProcedure="false">#REF!</definedName>
    <definedName function="false" hidden="false" name="qzqzqz43_4" vbProcedure="false">#REF!</definedName>
    <definedName function="false" hidden="false" name="qzqzqz44" vbProcedure="false">#REF!</definedName>
    <definedName function="false" hidden="false" name="qzqzqz44_4" vbProcedure="false">#REF!</definedName>
    <definedName function="false" hidden="false" name="qzqzqz45" vbProcedure="false">#REF!</definedName>
    <definedName function="false" hidden="false" name="qzqzqz45_4" vbProcedure="false">#REF!</definedName>
    <definedName function="false" hidden="false" name="qzqzqz46" vbProcedure="false">#REF!</definedName>
    <definedName function="false" hidden="false" name="qzqzqz46_4" vbProcedure="false">#REF!</definedName>
    <definedName function="false" hidden="false" name="qzqzqz47" vbProcedure="false">#REF!</definedName>
    <definedName function="false" hidden="false" name="qzqzqz47_4" vbProcedure="false">#REF!</definedName>
    <definedName function="false" hidden="false" name="qzqzqz48" vbProcedure="false">#REF!</definedName>
    <definedName function="false" hidden="false" name="qzqzqz48_4" vbProcedure="false">#REF!</definedName>
    <definedName function="false" hidden="false" name="qzqzqz49" vbProcedure="false">#REF!</definedName>
    <definedName function="false" hidden="false" name="qzqzqz49_4" vbProcedure="false">#REF!</definedName>
    <definedName function="false" hidden="false" name="qzqzqz50" vbProcedure="false">#REF!</definedName>
    <definedName function="false" hidden="false" name="qzqzqz50_4" vbProcedure="false">#REF!</definedName>
    <definedName function="false" hidden="false" name="qzqzqz51" vbProcedure="false">#REF!</definedName>
    <definedName function="false" hidden="false" name="qzqzqz51_4" vbProcedure="false">#REF!</definedName>
    <definedName function="false" hidden="false" name="qzqzqz52" vbProcedure="false">#REF!</definedName>
    <definedName function="false" hidden="false" name="qzqzqz52_4" vbProcedure="false">#REF!</definedName>
    <definedName function="false" hidden="false" name="qzqzqz53" vbProcedure="false">#REF!</definedName>
    <definedName function="false" hidden="false" name="qzqzqz53_4" vbProcedure="false">#REF!</definedName>
    <definedName function="false" hidden="false" name="qzqzqz54" vbProcedure="false">#REF!</definedName>
    <definedName function="false" hidden="false" name="qzqzqz54_4" vbProcedure="false">#REF!</definedName>
    <definedName function="false" hidden="false" name="qzqzqz55" vbProcedure="false">#REF!</definedName>
    <definedName function="false" hidden="false" name="qzqzqz55_4" vbProcedure="false">#REF!</definedName>
    <definedName function="false" hidden="false" name="qzqzqz56" vbProcedure="false">#REF!</definedName>
    <definedName function="false" hidden="false" name="qzqzqz56_4" vbProcedure="false">#REF!</definedName>
    <definedName function="false" hidden="false" name="qzqzqz57" vbProcedure="false">#REF!</definedName>
    <definedName function="false" hidden="false" name="qzqzqz57_4" vbProcedure="false">#REF!</definedName>
    <definedName function="false" hidden="false" name="qzqzqz58" vbProcedure="false">#REF!</definedName>
    <definedName function="false" hidden="false" name="qzqzqz58_4" vbProcedure="false">#REF!</definedName>
    <definedName function="false" hidden="false" name="qzqzqz59" vbProcedure="false">#REF!</definedName>
    <definedName function="false" hidden="false" name="qzqzqz59_4" vbProcedure="false">#REF!</definedName>
    <definedName function="false" hidden="false" name="qzqzqz6" vbProcedure="false">#REF!</definedName>
    <definedName function="false" hidden="false" name="qzqzqz60" vbProcedure="false">#REF!</definedName>
    <definedName function="false" hidden="false" name="qzqzqz60_4" vbProcedure="false">#REF!</definedName>
    <definedName function="false" hidden="false" name="qzqzqz61" vbProcedure="false">#REF!</definedName>
    <definedName function="false" hidden="false" name="qzqzqz61_4" vbProcedure="false">#REF!</definedName>
    <definedName function="false" hidden="false" name="qzqzqz6_4" vbProcedure="false">#REF!</definedName>
    <definedName function="false" hidden="false" name="qzqzqz7" vbProcedure="false">#REF!</definedName>
    <definedName function="false" hidden="false" name="qzqzqz7_4" vbProcedure="false">#REF!</definedName>
    <definedName function="false" hidden="false" name="qzqzqz8" vbProcedure="false">#REF!</definedName>
    <definedName function="false" hidden="false" name="qzqzqz8_4" vbProcedure="false">#REF!</definedName>
    <definedName function="false" hidden="false" name="qzqzqz9" vbProcedure="false">#REF!</definedName>
    <definedName function="false" hidden="false" name="qzqzqz9_4" vbProcedure="false">#REF!</definedName>
    <definedName function="false" hidden="false" name="radha" vbProcedure="false">#REF!</definedName>
    <definedName function="false" hidden="false" name="Ram" vbProcedure="false">#REF!</definedName>
    <definedName function="false" hidden="false" name="rama1" vbProcedure="false">#REF!</definedName>
    <definedName function="false" hidden="false" name="ramcoindus" vbProcedure="false">#REF!</definedName>
    <definedName function="false" hidden="false" name="ramcosys" vbProcedure="false">#REF!</definedName>
    <definedName function="false" hidden="false" name="ranbaxylabs" vbProcedure="false">#REF!</definedName>
    <definedName function="false" hidden="false" name="RAO" vbProcedure="false">#REF!</definedName>
    <definedName function="false" hidden="false" name="rate" vbProcedure="false">#REF!</definedName>
    <definedName function="false" hidden="false" name="rate10" vbProcedure="false">#REF!</definedName>
    <definedName function="false" hidden="false" name="rate11" vbProcedure="false">#REF!</definedName>
    <definedName function="false" hidden="false" name="rate12" vbProcedure="false">#REF!</definedName>
    <definedName function="false" hidden="false" name="rate13" vbProcedure="false">#REF!</definedName>
    <definedName function="false" hidden="false" name="rate14" vbProcedure="false">#REF!</definedName>
    <definedName function="false" hidden="false" name="rate15" vbProcedure="false">#REF!</definedName>
    <definedName function="false" hidden="false" name="rate2" vbProcedure="false">#REF!</definedName>
    <definedName function="false" hidden="false" name="rate3" vbProcedure="false">#REF!</definedName>
    <definedName function="false" hidden="false" name="rate4" vbProcedure="false">#REF!</definedName>
    <definedName function="false" hidden="false" name="rate5" vbProcedure="false">#REF!</definedName>
    <definedName function="false" hidden="false" name="rate6" vbProcedure="false">#REF!</definedName>
    <definedName function="false" hidden="false" name="rate7" vbProcedure="false">#REF!</definedName>
    <definedName function="false" hidden="false" name="rate8" vbProcedure="false">#REF!</definedName>
    <definedName function="false" hidden="false" name="rate9" vbProcedure="false">#REF!</definedName>
    <definedName function="false" hidden="false" name="ratebyname" vbProcedure="false">#REF!</definedName>
    <definedName function="false" hidden="false" name="Ratio_Disbn_sys_4_2_2_to_4_2_0" vbProcedure="false">#REF!</definedName>
    <definedName function="false" hidden="false" name="Ratio_Disbn_sys_ASI_SPI_decoder_to_basic" vbProcedure="false">#REF!</definedName>
    <definedName function="false" hidden="false" name="Ratio_Disbn_sys_CA_to_FTA" vbProcedure="false">#REF!</definedName>
    <definedName function="false" hidden="false" name="Ratio_Disbn_sys_Director_to_RAS1" vbProcedure="false">#REF!</definedName>
    <definedName function="false" hidden="false" name="Ratio_Disbn_sys_E5610___E5210" vbProcedure="false">#REF!</definedName>
    <definedName function="false" hidden="false" name="Ratio_Disbn_sys_mods_QPSK_to_8PSK" vbProcedure="false">#REF!</definedName>
    <definedName function="false" hidden="false" name="Ratio_Disbn_sys_with_reflex" vbProcedure="false">#REF!</definedName>
    <definedName function="false" hidden="false" name="RawData" vbProcedure="false">#REF!</definedName>
    <definedName function="false" hidden="false" name="RawHeader" vbProcedure="false">#REF!</definedName>
    <definedName function="false" hidden="false" name="RCS2Q2" vbProcedure="false">#REF!</definedName>
    <definedName function="false" hidden="false" name="RCS3Q2" vbProcedure="false">#REF!</definedName>
    <definedName function="false" hidden="false" name="rdptot" vbProcedure="false">#REF!</definedName>
    <definedName function="false" hidden="false" name="RD_PROFILE" vbProcedure="false">#REF!</definedName>
    <definedName function="false" hidden="false" name="re" vbProcedure="false">#REF!</definedName>
    <definedName function="false" hidden="false" name="Realisations_salevalue" vbProcedure="false">#REF!</definedName>
    <definedName function="false" hidden="false" name="Realisations_salevalue_4" vbProcedure="false">#REF!</definedName>
    <definedName function="false" hidden="false" name="Receipts" vbProcedure="false">#REF!</definedName>
    <definedName function="false" hidden="false" name="RECLASSBS2008." vbProcedure="false">#REF!</definedName>
    <definedName function="false" hidden="false" name="RECLBS1" vbProcedure="false">#REF!</definedName>
    <definedName function="false" hidden="false" name="RECLBS2005" vbProcedure="false">#REF!</definedName>
    <definedName function="false" hidden="false" name="RECLBS2006" vbProcedure="false">#REF!</definedName>
    <definedName function="false" hidden="false" name="RECLPL1" vbProcedure="false">#REF!</definedName>
    <definedName function="false" hidden="false" name="RECLPL2007" vbProcedure="false">#REF!</definedName>
    <definedName function="false" hidden="false" name="recon" vbProcedure="false">#REF!</definedName>
    <definedName function="false" hidden="false" name="Recons" vbProcedure="false">#REF!</definedName>
    <definedName function="false" hidden="false" name="Refund" vbProcedure="false">#REF!</definedName>
    <definedName function="false" hidden="false" name="refunds" vbProcedure="false">#REF!</definedName>
    <definedName function="false" hidden="false" name="Ref_1" vbProcedure="false">#REF!</definedName>
    <definedName function="false" hidden="false" name="Ref_2" vbProcedure="false">#REF!</definedName>
    <definedName function="false" hidden="false" name="Ref_3" vbProcedure="false">#REF!</definedName>
    <definedName function="false" hidden="false" name="Ref_4" vbProcedure="false">#REF!</definedName>
    <definedName function="false" hidden="false" name="RegenCost" vbProcedure="false">#REF!</definedName>
    <definedName function="false" hidden="false" name="REGION" vbProcedure="false">#REF!</definedName>
    <definedName function="false" hidden="false" name="relenergy" vbProcedure="false">#REF!</definedName>
    <definedName function="false" hidden="false" name="relindus" vbProcedure="false">#REF!</definedName>
    <definedName function="false" hidden="false" name="RentElecAlloc" vbProcedure="false">#REF!</definedName>
    <definedName function="false" hidden="false" name="Resi_diff" vbProcedure="false">#REF!</definedName>
    <definedName function="false" hidden="false" name="Results" vbProcedure="false">#REF!</definedName>
    <definedName function="false" hidden="false" name="Res_diff" vbProcedure="false">#REF!</definedName>
    <definedName function="false" hidden="false" name="Retention_Money__Arun_Construction" vbProcedure="false">#REF!</definedName>
    <definedName function="false" hidden="false" name="REVLOC" vbProcedure="false">#REF!</definedName>
    <definedName function="false" hidden="false" name="REV_WORKING" vbProcedure="false">#REF!</definedName>
    <definedName function="false" hidden="false" name="RFCL" vbProcedure="false">#REF!</definedName>
    <definedName function="false" hidden="false" name="Riacove" vbProcedure="false">#REF!</definedName>
    <definedName function="false" hidden="false" name="risk" vbProcedure="false">#REF!</definedName>
    <definedName function="false" hidden="false" name="RJASSET" vbProcedure="false">#REF!</definedName>
    <definedName function="false" hidden="false" name="rmpcomp" vbProcedure="false">#REF!</definedName>
    <definedName function="false" hidden="false" name="rmpctl" vbProcedure="false">#REF!</definedName>
    <definedName function="false" hidden="false" name="rmpphs" vbProcedure="false">#REF!</definedName>
    <definedName function="false" hidden="false" name="rmpphscomp" vbProcedure="false">#REF!</definedName>
    <definedName function="false" hidden="false" name="rmpplan" vbProcedure="false">#REF!</definedName>
    <definedName function="false" hidden="false" name="rmptot" vbProcedure="false">#REF!</definedName>
    <definedName function="false" hidden="false" name="RO?" vbProcedure="false">#REF!</definedName>
    <definedName function="false" hidden="false" name="ROI" vbProcedure="false">#REF!</definedName>
    <definedName function="false" hidden="false" name="rrate" vbProcedure="false">#REF!</definedName>
    <definedName function="false" hidden="false" name="Rs.2.25" vbProcedure="false">#REF!</definedName>
    <definedName function="false" hidden="false" name="RSU_Confirmation_of_Release" vbProcedure="false">#REF!</definedName>
    <definedName function="false" hidden="false" name="RunDate" vbProcedure="false">#REF!</definedName>
    <definedName function="false" hidden="false" name="RunName" vbProcedure="false">#REF!</definedName>
    <definedName function="false" hidden="false" name="R_D" vbProcedure="false">#REF!</definedName>
    <definedName function="false" hidden="false" name="R_f" vbProcedure="false">#REF!</definedName>
    <definedName function="false" hidden="false" name="R_fac" vbProcedure="false">#REF!</definedName>
    <definedName function="false" hidden="false" name="R_Factor" vbProcedure="false">#REF!</definedName>
    <definedName function="false" hidden="false" name="R_Pathania" vbProcedure="false">#REF!</definedName>
    <definedName function="false" hidden="false" name="S" vbProcedure="false">#REF!</definedName>
    <definedName function="false" hidden="false" name="sa" vbProcedure="false">#REF!</definedName>
    <definedName function="false" hidden="false" name="sad" vbProcedure="false">#REF!</definedName>
    <definedName function="false" hidden="false" name="sadfdsa" vbProcedure="false">#REF!</definedName>
    <definedName function="false" hidden="false" name="sadrtot" vbProcedure="false">#REF!</definedName>
    <definedName function="false" hidden="false" name="sadsad" vbProcedure="false">#REF!</definedName>
    <definedName function="false" hidden="false" name="sail" vbProcedure="false">#REF!</definedName>
    <definedName function="false" hidden="false" name="sajkfdhkdf" vbProcedure="false">#REF!</definedName>
    <definedName function="false" hidden="false" name="SAL299_FULL" vbProcedure="false">#REF!</definedName>
    <definedName function="false" hidden="false" name="Salary" vbProcedure="false">#REF!</definedName>
    <definedName function="false" hidden="false" name="salect2" vbProcedure="false">#REF!</definedName>
    <definedName function="false" hidden="false" name="SALES" vbProcedure="false">#REF!</definedName>
    <definedName function="false" hidden="false" name="salesdata" vbProcedure="false">#REF!</definedName>
    <definedName function="false" hidden="false" name="SalesMTCust1Budget" vbProcedure="false">#REF!</definedName>
    <definedName function="false" hidden="false" name="SalesMTCust1NextQuarter" vbProcedure="false">#REF!</definedName>
    <definedName function="false" hidden="false" name="SalesMTCust1Quarter" vbProcedure="false">#REF!</definedName>
    <definedName function="false" hidden="false" name="SalesMTCust2NextQuarter" vbProcedure="false">#REF!</definedName>
    <definedName function="false" hidden="false" name="SalesMTCust3Budget" vbProcedure="false">#REF!</definedName>
    <definedName function="false" hidden="false" name="SalesMTCust3NextQuarter" vbProcedure="false">#REF!</definedName>
    <definedName function="false" hidden="false" name="SalesMTTotal" vbProcedure="false">#REF!</definedName>
    <definedName function="false" hidden="false" name="SalesMTTotalBudget" vbProcedure="false">#REF!</definedName>
    <definedName function="false" hidden="false" name="SalesMTTotalNextQuarter" vbProcedure="false">#REF!</definedName>
    <definedName function="false" hidden="false" name="SalesMTTotalQuarter" vbProcedure="false">#REF!</definedName>
    <definedName function="false" hidden="false" name="SALES_4" vbProcedure="false">#REF!</definedName>
    <definedName function="false" hidden="false" name="sandhy" vbProcedure="false">#REF!</definedName>
    <definedName function="false" hidden="false" name="SANGEETA_PAL" vbProcedure="false">#REF!</definedName>
    <definedName function="false" hidden="true" name="SAPBEXrevision" vbProcedure="false">23</definedName>
    <definedName function="false" hidden="true" name="SAPBEXsysID" vbProcedure="false">"PR2"</definedName>
    <definedName function="false" hidden="true" name="SAPBEXwbID" vbProcedure="false">"48JV5QZDW1LGRWBV3T4IVLRLX"</definedName>
    <definedName function="false" hidden="false" name="saperc" vbProcedure="false">#REF!</definedName>
    <definedName function="false" hidden="false" name="sartot" vbProcedure="false">#REF!</definedName>
    <definedName function="false" hidden="false" name="satyamcomp" vbProcedure="false">#REF!</definedName>
    <definedName function="false" hidden="false" name="sbi" vbProcedure="false">#REF!</definedName>
    <definedName function="false" hidden="false" name="sch" vbProcedure="false">#REF!</definedName>
    <definedName function="false" hidden="false" name="SCH1_5" vbProcedure="false">#REF!</definedName>
    <definedName function="false" hidden="false" name="SCH6_10" vbProcedure="false">#REF!</definedName>
    <definedName function="false" hidden="false" name="schedules" vbProcedure="false">#REF!</definedName>
    <definedName function="false" hidden="false" name="SchO" vbProcedure="false">#REF!</definedName>
    <definedName function="false" hidden="false" name="SCH_11" vbProcedure="false">#REF!</definedName>
    <definedName function="false" hidden="false" name="sch_a" vbProcedure="false">#REF!</definedName>
    <definedName function="false" hidden="false" name="SCH__2" vbProcedure="false">#REF!</definedName>
    <definedName function="false" hidden="false" name="scmprtot" vbProcedure="false">#REF!</definedName>
    <definedName function="false" hidden="false" name="scmrtot" vbProcedure="false">#REF!</definedName>
    <definedName function="false" hidden="false" name="scperc" vbProcedure="false">#REF!</definedName>
    <definedName function="false" hidden="false" name="scpperc" vbProcedure="false">#REF!</definedName>
    <definedName function="false" hidden="false" name="sc_a_b" vbProcedure="false">#REF!</definedName>
    <definedName function="false" hidden="false" name="sc_b" vbProcedure="false">#REF!</definedName>
    <definedName function="false" hidden="false" name="SD" vbProcedure="false">#REF!</definedName>
    <definedName function="false" hidden="false" name="sda" vbProcedure="false">#REF!</definedName>
    <definedName function="false" hidden="false" name="sdafds" vbProcedure="false">#REF!</definedName>
    <definedName function="false" hidden="false" name="SDASD" vbProcedure="false">#REF!</definedName>
    <definedName function="false" hidden="false" name="sdased" vbProcedure="false">#REF!</definedName>
    <definedName function="false" hidden="false" name="sdfd" vbProcedure="false">#REF!</definedName>
    <definedName function="false" hidden="false" name="SDGSDB" vbProcedure="false">#REF!</definedName>
    <definedName function="false" hidden="false" name="sdpl" vbProcedure="false">#REF!</definedName>
    <definedName function="false" hidden="false" name="SDPLBS" vbProcedure="false">#REF!</definedName>
    <definedName function="false" hidden="false" name="SDPLFA" vbProcedure="false">#REF!</definedName>
    <definedName function="false" hidden="false" name="SDPLPL" vbProcedure="false">#REF!</definedName>
    <definedName function="false" hidden="false" name="secured" vbProcedure="false">#REF!</definedName>
    <definedName function="false" hidden="false" name="sec_deposit" vbProcedure="false">#REF!</definedName>
    <definedName function="false" hidden="false" name="sef" vbProcedure="false">#REF!</definedName>
    <definedName function="false" hidden="true" name="sencount" vbProcedure="false">2</definedName>
    <definedName function="false" hidden="false" name="sensitivity" vbProcedure="false">#REF!</definedName>
    <definedName function="false" hidden="false" name="Sensitivity_Analysis___Land_Cost_only__with_HHP_as_Newco" vbProcedure="false">#REF!</definedName>
    <definedName function="false" hidden="false" name="Sensitivity_Analysis___Maintain_original_land_cost_but_convert_HHP_s_request_to_share" vbProcedure="false">#REF!</definedName>
    <definedName function="false" hidden="false" name="sep97_4" vbProcedure="false">#REF!</definedName>
    <definedName function="false" hidden="false" name="SEPDATA?" vbProcedure="false">#REF!</definedName>
    <definedName function="false" hidden="false" name="SEPT" vbProcedure="false">#REF!</definedName>
    <definedName function="false" hidden="false" name="SETUP_PRINT" vbProcedure="false">#REF!</definedName>
    <definedName function="false" hidden="false" name="SEVENDAY" vbProcedure="false">#REF!</definedName>
    <definedName function="false" hidden="false" name="SFD" vbProcedure="false">#REF!</definedName>
    <definedName function="false" hidden="false" name="SFV" vbProcedure="false">#REF!</definedName>
    <definedName function="false" hidden="false" name="SHARED_FORMULA_1" vbProcedure="false">#REF!</definedName>
    <definedName function="false" hidden="false" name="SHARED_FORMULA_3" vbProcedure="false">#REF!</definedName>
    <definedName function="false" hidden="false" name="SHARED_FORMULA_5" vbProcedure="false">#REF!</definedName>
    <definedName function="false" hidden="false" name="SHARED_FORMULA_7" vbProcedure="false">#REF!</definedName>
    <definedName function="false" hidden="false" name="SHARED_FORMULA_9" vbProcedure="false">#REF!</definedName>
    <definedName function="false" hidden="false" name="Shared_Interest_Total" vbProcedure="false">#REF!</definedName>
    <definedName function="false" hidden="false" name="SHEET1" vbProcedure="false">#REF!</definedName>
    <definedName function="false" hidden="false" name="SHT" vbProcedure="false">#REF!</definedName>
    <definedName function="false" hidden="false" name="singh" vbProcedure="false">#REF!</definedName>
    <definedName function="false" hidden="false" name="Six" vbProcedure="false">#REF!</definedName>
    <definedName function="false" hidden="false" name="smsrtot" vbProcedure="false">#REF!</definedName>
    <definedName function="false" hidden="false" name="sonim" vbProcedure="false">#REF!</definedName>
    <definedName function="false" hidden="false" name="SPAIN" vbProcedure="false">#REF!</definedName>
    <definedName function="false" hidden="false" name="SPAN" vbProcedure="false">#REF!</definedName>
    <definedName function="false" hidden="false" name="srate" vbProcedure="false">#REF!</definedName>
    <definedName function="false" hidden="false" name="srvperc" vbProcedure="false">#REF!</definedName>
    <definedName function="false" hidden="false" name="ssa" vbProcedure="false">#REF!</definedName>
    <definedName function="false" hidden="false" name="ssc" vbProcedure="false">#REF!</definedName>
    <definedName function="false" hidden="false" name="ssperc" vbProcedure="false">#REF!</definedName>
    <definedName function="false" hidden="false" name="ST" vbProcedure="false">#REF!</definedName>
    <definedName function="false" hidden="false" name="StaffScale" vbProcedure="false">#REF!</definedName>
    <definedName function="false" hidden="false" name="stalecheque" vbProcedure="false">#REF!</definedName>
    <definedName function="false" hidden="false" name="Start" vbProcedure="false">#REF!</definedName>
    <definedName function="false" hidden="false" name="Status" vbProcedure="false">#REF!</definedName>
    <definedName function="false" hidden="false" name="stk" vbProcedure="false">#REF!</definedName>
    <definedName function="false" hidden="false" name="stock" vbProcedure="false">#REF!</definedName>
    <definedName function="false" hidden="false" name="stockdata" vbProcedure="false">#REF!</definedName>
    <definedName function="false" hidden="false" name="Stocks" vbProcedure="false">#REF!</definedName>
    <definedName function="false" hidden="false" name="Stocks_4" vbProcedure="false">#REF!</definedName>
    <definedName function="false" hidden="false" name="stock_status2001" vbProcedure="false">#REF!</definedName>
    <definedName function="false" hidden="false" name="STRAT" vbProcedure="false">#REF!</definedName>
    <definedName function="false" hidden="false" name="STScale" vbProcedure="false">#REF!</definedName>
    <definedName function="false" hidden="false" name="sum" vbProcedure="false">#REF!</definedName>
    <definedName function="false" hidden="false" name="Summary_Budget_Form_For_Development_Expenditure" vbProcedure="false">#REF!</definedName>
    <definedName function="false" hidden="false" name="SUMMARY_OF_EXPO" vbProcedure="false">#REF!</definedName>
    <definedName function="false" hidden="false" name="SUM_MIL" vbProcedure="false">#REF!</definedName>
    <definedName function="false" hidden="false" name="Sum_of_All" vbProcedure="false">#REF!</definedName>
    <definedName function="false" hidden="false" name="sunflag" vbProcedure="false">#REF!</definedName>
    <definedName function="false" hidden="false" name="suryapharma" vbProcedure="false">#REF!</definedName>
    <definedName function="false" hidden="false" name="swapna" vbProcedure="false">#REF!</definedName>
    <definedName function="false" hidden="false" name="SWED" vbProcedure="false">#REF!</definedName>
    <definedName function="false" hidden="false" name="SWEDEN" vbProcedure="false">#REF!</definedName>
    <definedName function="false" hidden="false" name="sweet" vbProcedure="false">#REF!</definedName>
    <definedName function="false" hidden="false" name="SWIT" vbProcedure="false">#REF!</definedName>
    <definedName function="false" hidden="false" name="SWITZERLAND" vbProcedure="false">#REF!</definedName>
    <definedName function="false" hidden="false" name="S_AcctDes" vbProcedure="false">#REF!</definedName>
    <definedName function="false" hidden="false" name="S_Adjust" vbProcedure="false">#REF!</definedName>
    <definedName function="false" hidden="false" name="S_Adjust_GT" vbProcedure="false">#REF!</definedName>
    <definedName function="false" hidden="false" name="S_AJE_Tot" vbProcedure="false">#REF!</definedName>
    <definedName function="false" hidden="false" name="S_AJE_Tot_GT" vbProcedure="false">#REF!</definedName>
    <definedName function="false" hidden="false" name="S_CompNum" vbProcedure="false">#REF!</definedName>
    <definedName function="false" hidden="false" name="S_CY_Beg" vbProcedure="false">#REF!</definedName>
    <definedName function="false" hidden="false" name="S_CY_End" vbProcedure="false">#REF!</definedName>
    <definedName function="false" hidden="false" name="S_CY_End_GT" vbProcedure="false">#REF!</definedName>
    <definedName function="false" hidden="false" name="S_Diff_Amt" vbProcedure="false">#REF!</definedName>
    <definedName function="false" hidden="false" name="S_Diff_Pct" vbProcedure="false">#REF!</definedName>
    <definedName function="false" hidden="false" name="S_Dogra" vbProcedure="false">#REF!</definedName>
    <definedName function="false" hidden="false" name="S_Gentela" vbProcedure="false">#REF!</definedName>
    <definedName function="false" hidden="false" name="S_GrpNum" vbProcedure="false">#REF!</definedName>
    <definedName function="false" hidden="false" name="S_Headings" vbProcedure="false">#REF!</definedName>
    <definedName function="false" hidden="false" name="S_KeyValue" vbProcedure="false">#REF!</definedName>
    <definedName function="false" hidden="false" name="S_Negi" vbProcedure="false">#REF!</definedName>
    <definedName function="false" hidden="false" name="S_Pal" vbProcedure="false">#REF!</definedName>
    <definedName function="false" hidden="false" name="S_PY_End" vbProcedure="false">#REF!</definedName>
    <definedName function="false" hidden="false" name="S_PY_End_GT" vbProcedure="false">#REF!</definedName>
    <definedName function="false" hidden="false" name="S_RJE_Tot" vbProcedure="false">#REF!</definedName>
    <definedName function="false" hidden="false" name="S_RJE_Tot_GT" vbProcedure="false">#REF!</definedName>
    <definedName function="false" hidden="false" name="S_RowNum" vbProcedure="false">#REF!</definedName>
    <definedName function="false" hidden="false" name="ta" vbProcedure="false">#REF!</definedName>
    <definedName function="false" hidden="false" name="TAFName_13" vbProcedure="false">#REF!</definedName>
    <definedName function="false" hidden="false" name="TAFName_4" vbProcedure="false">#REF!</definedName>
    <definedName function="false" hidden="false" name="tally" vbProcedure="false">#REF!</definedName>
    <definedName function="false" hidden="false" name="TAMNo_13" vbProcedure="false">#REF!</definedName>
    <definedName function="false" hidden="false" name="TAMNo_4" vbProcedure="false">#REF!</definedName>
    <definedName function="false" hidden="false" name="TAName_13" vbProcedure="false">#REF!</definedName>
    <definedName function="false" hidden="false" name="TAName_4" vbProcedure="false">#REF!</definedName>
    <definedName function="false" hidden="false" name="tanrtot" vbProcedure="false">#REF!</definedName>
    <definedName function="false" hidden="false" name="taperc" vbProcedure="false">#REF!</definedName>
    <definedName function="false" hidden="false" name="TAPlace_13" vbProcedure="false">#REF!</definedName>
    <definedName function="false" hidden="false" name="TAPlace_4" vbProcedure="false">#REF!</definedName>
    <definedName function="false" hidden="false" name="taptot" vbProcedure="false">#REF!</definedName>
    <definedName function="false" hidden="false" name="Target_IRR_L" vbProcedure="false">[1]IRR!$I$62</definedName>
    <definedName function="false" hidden="false" name="Target_IRR_U" vbProcedure="false">[1]IRR!$I$47</definedName>
    <definedName function="false" hidden="false" name="Task_Table" vbProcedure="false">#REF!</definedName>
    <definedName function="false" hidden="false" name="tatachemical" vbProcedure="false">#REF!</definedName>
    <definedName function="false" hidden="false" name="Tax" vbProcedure="false">#REF!</definedName>
    <definedName function="false" hidden="false" name="TaxAudAdd_13" vbProcedure="false">#REF!</definedName>
    <definedName function="false" hidden="false" name="TaxAudAdd_4" vbProcedure="false">#REF!</definedName>
    <definedName function="false" hidden="false" name="TaxAuditDate_13" vbProcedure="false">#REF!</definedName>
    <definedName function="false" hidden="false" name="TaxAuditDate_4" vbProcedure="false">#REF!</definedName>
    <definedName function="false" hidden="false" name="Tax_Diff" vbProcedure="false">[1]Tax!$I$53</definedName>
    <definedName function="false" hidden="false" name="TAX_MEDICAL" vbProcedure="false">#REF!</definedName>
    <definedName function="false" hidden="false" name="TB" vbProcedure="false">#REF!</definedName>
    <definedName function="false" hidden="false" name="tb17.04" vbProcedure="false">#REF!</definedName>
    <definedName function="false" hidden="false" name="TBFINAL" vbProcedure="false">#REF!</definedName>
    <definedName function="false" hidden="false" name="tcs" vbProcedure="false">#REF!</definedName>
    <definedName function="false" hidden="false" name="td" vbProcedure="false">#REF!</definedName>
    <definedName function="false" hidden="false" name="TDS" vbProcedure="false">#REF!</definedName>
    <definedName function="false" hidden="false" name="TDSCERTICATES" vbProcedure="false">#REF!</definedName>
    <definedName function="false" hidden="false" name="TENDAY" vbProcedure="false">#REF!</definedName>
    <definedName function="false" hidden="false" name="teptot" vbProcedure="false">#REF!</definedName>
    <definedName function="false" hidden="false" name="TEST" vbProcedure="false">#REF!</definedName>
    <definedName function="false" hidden="false" name="TEST0" vbProcedure="false">#REF!</definedName>
    <definedName function="false" hidden="false" name="TEST1" vbProcedure="false">#REF!</definedName>
    <definedName function="false" hidden="false" name="TEST2" vbProcedure="false">#REF!</definedName>
    <definedName function="false" hidden="false" name="TEST3" vbProcedure="false">#REF!</definedName>
    <definedName function="false" hidden="false" name="TEST4" vbProcedure="false">#REF!</definedName>
    <definedName function="false" hidden="false" name="TEST5" vbProcedure="false">#REF!</definedName>
    <definedName function="false" hidden="false" name="TEST6" vbProcedure="false">#REF!</definedName>
    <definedName function="false" hidden="false" name="TESTHKEY" vbProcedure="false">#REF!</definedName>
    <definedName function="false" hidden="false" name="TESTKEYS" vbProcedure="false">#REF!</definedName>
    <definedName function="false" hidden="false" name="TESTVKEY" vbProcedure="false">#REF!</definedName>
    <definedName function="false" hidden="false" name="TextRefCopy1" vbProcedure="false">#REF!</definedName>
    <definedName function="false" hidden="false" name="TextRefCopy13" vbProcedure="false">#REF!</definedName>
    <definedName function="false" hidden="false" name="TextRefCopy14" vbProcedure="false">#REF!</definedName>
    <definedName function="false" hidden="false" name="TextRefCopy15" vbProcedure="false">#REF!</definedName>
    <definedName function="false" hidden="false" name="TextRefCopy2" vbProcedure="false">#REF!</definedName>
    <definedName function="false" hidden="false" name="TextRefCopy3" vbProcedure="false">#REF!</definedName>
    <definedName function="false" hidden="false" name="TextRefCopy4" vbProcedure="false">#REF!</definedName>
    <definedName function="false" hidden="false" name="TextRefCopy5" vbProcedure="false">#REF!</definedName>
    <definedName function="false" hidden="false" name="TextRefCopy6" vbProcedure="false">#REF!</definedName>
    <definedName function="false" hidden="false" name="TextRefCopy7" vbProcedure="false">#REF!</definedName>
    <definedName function="false" hidden="false" name="THAI_PLASTIC_in_KUSD" vbProcedure="false">#REF!</definedName>
    <definedName function="false" hidden="false" name="THAI_PLASTIC_in_KUSD_4" vbProcedure="false">#REF!</definedName>
    <definedName function="false" hidden="false" name="Therma" vbProcedure="false">#REF!</definedName>
    <definedName function="false" hidden="false" name="Thousand" vbProcedure="false">'[1]Project Inputs'!$G$24</definedName>
    <definedName function="false" hidden="false" name="THREEDAY" vbProcedure="false">#REF!</definedName>
    <definedName function="false" hidden="false" name="ThreeMonthsBefore" vbProcedure="false">#REF!</definedName>
    <definedName function="false" hidden="false" name="tisco" vbProcedure="false">#REF!</definedName>
    <definedName function="false" hidden="false" name="TITLE_1" vbProcedure="false">#REF!</definedName>
    <definedName function="false" hidden="false" name="TITLE_2" vbProcedure="false">#REF!</definedName>
    <definedName function="false" hidden="false" name="TITLE_3" vbProcedure="false">#REF!</definedName>
    <definedName function="false" hidden="false" name="TITLE_4" vbProcedure="false">#REF!</definedName>
    <definedName function="false" hidden="false" name="TITLE_5" vbProcedure="false">#REF!</definedName>
    <definedName function="false" hidden="false" name="TITLE_6" vbProcedure="false">#REF!</definedName>
    <definedName function="false" hidden="false" name="TITLE_7" vbProcedure="false">#REF!</definedName>
    <definedName function="false" hidden="false" name="tlsrtot" vbProcedure="false">#REF!</definedName>
    <definedName function="false" hidden="false" name="TLT" vbProcedure="false">#REF!</definedName>
    <definedName function="false" hidden="false" name="tmperc" vbProcedure="false">#REF!</definedName>
    <definedName function="false" hidden="false" name="TOT" vbProcedure="false">#REF!</definedName>
    <definedName function="false" hidden="false" name="Total" vbProcedure="false">#REF!</definedName>
    <definedName function="false" hidden="false" name="TotalCommitted" vbProcedure="false">#REF!</definedName>
    <definedName function="false" hidden="false" name="TotalExpectedTotalExpenditure" vbProcedure="false">#REF!</definedName>
    <definedName function="false" hidden="false" name="TotalExpenditureToDate" vbProcedure="false">#REF!</definedName>
    <definedName function="false" hidden="false" name="TotalLocal" vbProcedure="false">#REF!</definedName>
    <definedName function="false" hidden="false" name="TotalLocal_13" vbProcedure="false">#REF!</definedName>
    <definedName function="false" hidden="false" name="TotalLocal_4" vbProcedure="false">#REF!</definedName>
    <definedName function="false" hidden="false" name="TotalLocal_7" vbProcedure="false">#REF!</definedName>
    <definedName function="false" hidden="false" name="TotalPercentSanctioned" vbProcedure="false">#REF!</definedName>
    <definedName function="false" hidden="false" name="TotalSanctioned" vbProcedure="false">#REF!</definedName>
    <definedName function="false" hidden="false" name="TotalStmFlw" vbProcedure="false">#REF!</definedName>
    <definedName function="false" hidden="false" name="TotalUSD" vbProcedure="false">#REF!</definedName>
    <definedName function="false" hidden="false" name="TotalUSD_13" vbProcedure="false">#REF!</definedName>
    <definedName function="false" hidden="false" name="TotalUSD_4" vbProcedure="false">#REF!</definedName>
    <definedName function="false" hidden="false" name="TotalUSD_7" vbProcedure="false">#REF!</definedName>
    <definedName function="false" hidden="false" name="Total_13" vbProcedure="false">#REF!</definedName>
    <definedName function="false" hidden="false" name="Total_4" vbProcedure="false">#REF!</definedName>
    <definedName function="false" hidden="false" name="Total_7" vbProcedure="false">#REF!</definedName>
    <definedName function="false" hidden="false" name="TOTINSURANCE" vbProcedure="false">#REF!</definedName>
    <definedName function="false" hidden="false" name="tp1perc" vbProcedure="false">#REF!</definedName>
    <definedName function="false" hidden="false" name="tp2perc" vbProcedure="false">#REF!</definedName>
    <definedName function="false" hidden="false" name="tp3perc" vbProcedure="false">#REF!</definedName>
    <definedName function="false" hidden="false" name="tp4perc" vbProcedure="false">#REF!</definedName>
    <definedName function="false" hidden="false" name="tp5perc" vbProcedure="false">#REF!</definedName>
    <definedName function="false" hidden="false" name="tp6perc" vbProcedure="false">#REF!</definedName>
    <definedName function="false" hidden="false" name="Travelling___Conveyance__Office" vbProcedure="false">#REF!</definedName>
    <definedName function="false" hidden="false" name="TREASURY" vbProcedure="false">#REF!</definedName>
    <definedName function="false" hidden="false" name="Treshold" vbProcedure="false">#REF!</definedName>
    <definedName function="false" hidden="false" name="TRIA" vbProcedure="false">#REF!</definedName>
    <definedName function="false" hidden="false" name="TRIAL" vbProcedure="false">#REF!</definedName>
    <definedName function="false" hidden="false" name="trnbp" vbProcedure="false">#REF!</definedName>
    <definedName function="false" hidden="false" name="trnbr" vbProcedure="false">#REF!</definedName>
    <definedName function="false" hidden="false" name="trncv" vbProcedure="false">#REF!</definedName>
    <definedName function="false" hidden="false" name="trndo" vbProcedure="false">#REF!</definedName>
    <definedName function="false" hidden="false" name="trnmd" vbProcedure="false">#REF!</definedName>
    <definedName function="false" hidden="false" name="trnpm" vbProcedure="false">#REF!</definedName>
    <definedName function="false" hidden="false" name="trnpt" vbProcedure="false">#REF!</definedName>
    <definedName function="false" hidden="false" name="trnrd" vbProcedure="false">#REF!</definedName>
    <definedName function="false" hidden="false" name="trnta" vbProcedure="false">#REF!</definedName>
    <definedName function="false" hidden="false" name="trnte" vbProcedure="false">#REF!</definedName>
    <definedName function="false" hidden="false" name="trntr" vbProcedure="false">#REF!</definedName>
    <definedName function="false" hidden="false" name="trptot" vbProcedure="false">#REF!</definedName>
    <definedName function="false" hidden="false" name="trrtot" vbProcedure="false">#REF!</definedName>
    <definedName function="false" hidden="false" name="TRS2Q2" vbProcedure="false">#REF!</definedName>
    <definedName function="false" hidden="false" name="TRS3Q2" vbProcedure="false">#REF!</definedName>
    <definedName function="false" hidden="false" name="Trvdpr" vbProcedure="false">#REF!</definedName>
    <definedName function="false" hidden="false" name="tsrtot" vbProcedure="false">#REF!</definedName>
    <definedName function="false" hidden="false" name="TwoMonthsBefore" vbProcedure="false">#REF!</definedName>
    <definedName function="false" hidden="false" name="twrtot" vbProcedure="false">#REF!</definedName>
    <definedName function="false" hidden="false" name="t_b_round_off" vbProcedure="false">#REF!</definedName>
    <definedName function="false" hidden="false" name="U" vbProcedure="false">#REF!</definedName>
    <definedName function="false" hidden="false" name="ubi" vbProcedure="false">#REF!</definedName>
    <definedName function="false" hidden="false" name="UER" vbProcedure="false">#REF!</definedName>
    <definedName function="false" hidden="false" name="un" vbProcedure="false">#REF!</definedName>
    <definedName function="false" hidden="false" name="unasrtot" vbProcedure="false">#REF!</definedName>
    <definedName function="false" hidden="false" name="unit" vbProcedure="false">#REF!</definedName>
    <definedName function="false" hidden="false" name="UnitName" vbProcedure="false">#REF!</definedName>
    <definedName function="false" hidden="false" name="unnamed" vbProcedure="false">#REF!</definedName>
    <definedName function="false" hidden="false" name="unnamed3" vbProcedure="false">#REF!</definedName>
    <definedName function="false" hidden="false" name="unnamed_0" vbProcedure="false">#REF!</definedName>
    <definedName function="false" hidden="false" name="unnamed_0_20" vbProcedure="false">#REF!</definedName>
    <definedName function="false" hidden="false" name="unnamed_0_23" vbProcedure="false">#REF!</definedName>
    <definedName function="false" hidden="false" name="unnamed_0_5" vbProcedure="false">#REF!</definedName>
    <definedName function="false" hidden="false" name="unnamed_1" vbProcedure="false">#REF!</definedName>
    <definedName function="false" hidden="false" name="unnamed_1_20" vbProcedure="false">#REF!</definedName>
    <definedName function="false" hidden="false" name="unnamed_1_23" vbProcedure="false">#REF!</definedName>
    <definedName function="false" hidden="false" name="unnamed_1_5" vbProcedure="false">#REF!</definedName>
    <definedName function="false" hidden="false" name="unnamed_2" vbProcedure="false">#REF!</definedName>
    <definedName function="false" hidden="false" name="unnamed_2_20" vbProcedure="false">#REF!</definedName>
    <definedName function="false" hidden="false" name="unnamed_2_23" vbProcedure="false">#REF!</definedName>
    <definedName function="false" hidden="false" name="unnamed_2_5" vbProcedure="false">#REF!</definedName>
    <definedName function="false" hidden="false" name="unnamed_3" vbProcedure="false">#REF!</definedName>
    <definedName function="false" hidden="false" name="unnamed_3_20" vbProcedure="false">#REF!</definedName>
    <definedName function="false" hidden="false" name="unnamed_3_23" vbProcedure="false">#REF!</definedName>
    <definedName function="false" hidden="false" name="unnamed_3_5" vbProcedure="false">#REF!</definedName>
    <definedName function="false" hidden="false" name="unnamed_4" vbProcedure="false">#REF!</definedName>
    <definedName function="false" hidden="false" name="unnamed_5" vbProcedure="false">#REF!</definedName>
    <definedName function="false" hidden="false" name="unnamed_5_20" vbProcedure="false">#REF!</definedName>
    <definedName function="false" hidden="false" name="unnamed_5_23" vbProcedure="false">#REF!</definedName>
    <definedName function="false" hidden="false" name="unnamed_5_5" vbProcedure="false">#REF!</definedName>
    <definedName function="false" hidden="false" name="unnamed_6" vbProcedure="false">#REF!</definedName>
    <definedName function="false" hidden="false" name="unnamed_7" vbProcedure="false">#REF!</definedName>
    <definedName function="false" hidden="false" name="unnamed_8" vbProcedure="false">#REF!</definedName>
    <definedName function="false" hidden="false" name="unnamed_8_20" vbProcedure="false">#REF!</definedName>
    <definedName function="false" hidden="false" name="unnamed_8_23" vbProcedure="false">#REF!</definedName>
    <definedName function="false" hidden="false" name="unnamed_8_5" vbProcedure="false">#REF!</definedName>
    <definedName function="false" hidden="false" name="unsecured" vbProcedure="false">#REF!</definedName>
    <definedName function="false" hidden="false" name="USA" vbProcedure="false">#REF!</definedName>
    <definedName function="false" hidden="false" name="USD" vbProcedure="false">#REF!</definedName>
    <definedName function="false" hidden="false" name="USD.A" vbProcedure="false">#REF!</definedName>
    <definedName function="false" hidden="false" name="USD.A_4" vbProcedure="false">#REF!</definedName>
    <definedName function="false" hidden="false" name="USD.E" vbProcedure="false">#REF!</definedName>
    <definedName function="false" hidden="false" name="USD.E_4" vbProcedure="false">#REF!</definedName>
    <definedName function="false" hidden="false" name="USD_B" vbProcedure="false">#REF!</definedName>
    <definedName function="false" hidden="false" name="USD_B_13" vbProcedure="false">#REF!</definedName>
    <definedName function="false" hidden="false" name="USD_B_4" vbProcedure="false">#REF!</definedName>
    <definedName function="false" hidden="false" name="Usercount" vbProcedure="false">#REF!</definedName>
    <definedName function="false" hidden="false" name="usrtot" vbProcedure="false">#REF!</definedName>
    <definedName function="false" hidden="false" name="v" vbProcedure="false">#REF!</definedName>
    <definedName function="false" hidden="false" name="VALTHSALA" vbProcedure="false">#REF!</definedName>
    <definedName function="false" hidden="false" name="varalakshmi" vbProcedure="false">#REF!</definedName>
    <definedName function="false" hidden="false" name="vasavi" vbProcedure="false">#REF!</definedName>
    <definedName function="false" hidden="false" name="VEH" vbProcedure="false">#REF!</definedName>
    <definedName function="false" hidden="false" name="vi" vbProcedure="false">#REF!</definedName>
    <definedName function="false" hidden="false" name="videsh" vbProcedure="false">#REF!</definedName>
    <definedName function="false" hidden="false" name="VINOD_GAWADE" vbProcedure="false">#REF!</definedName>
    <definedName function="false" hidden="false" name="Vivek" vbProcedure="false">#REF!</definedName>
    <definedName function="false" hidden="false" name="vlook" vbProcedure="false">#REF!</definedName>
    <definedName function="false" hidden="false" name="Vlookup" vbProcedure="false">#REF!</definedName>
    <definedName function="false" hidden="false" name="Vlook_BS" vbProcedure="false">#REF!</definedName>
    <definedName function="false" hidden="false" name="VOLVO_INDIA_PRIVATE_LIMITED" vbProcedure="false">#REF!</definedName>
    <definedName function="false" hidden="false" name="Voucher_No" vbProcedure="false">#REF!</definedName>
    <definedName function="false" hidden="false" name="V_Gawade" vbProcedure="false">#REF!</definedName>
    <definedName function="false" hidden="false" name="v_LYN" vbProcedure="false">#REF!</definedName>
    <definedName function="false" hidden="false" name="v_OPR" vbProcedure="false">#REF!</definedName>
    <definedName function="false" hidden="false" name="v_PED" vbProcedure="false">#REF!</definedName>
    <definedName function="false" hidden="false" name="v_RBK" vbProcedure="false">#REF!</definedName>
    <definedName function="false" hidden="false" name="v_RBN" vbProcedure="false">#REF!</definedName>
    <definedName function="false" hidden="false" name="v_RBU" vbProcedure="false">#REF!</definedName>
    <definedName function="false" hidden="false" name="v_RID" vbProcedure="false">#REF!</definedName>
    <definedName function="false" hidden="false" name="v_SCN" vbProcedure="false">#REF!</definedName>
    <definedName function="false" hidden="false" name="v_SFD" vbProcedure="false">#REF!</definedName>
    <definedName function="false" hidden="false" name="v_SFV" vbProcedure="false">#REF!</definedName>
    <definedName function="false" hidden="false" name="W" vbProcedure="false">#REF!</definedName>
    <definedName function="false" hidden="false" name="wages" vbProcedure="false">#REF!</definedName>
    <definedName function="false" hidden="false" name="wcperc" vbProcedure="false">#REF!</definedName>
    <definedName function="false" hidden="false" name="we" vbProcedure="false">#REF!</definedName>
    <definedName function="false" hidden="false" name="weee" vbProcedure="false">#REF!</definedName>
    <definedName function="false" hidden="false" name="weperc" vbProcedure="false">#REF!</definedName>
    <definedName function="false" hidden="false" name="weqw" vbProcedure="false">#REF!</definedName>
    <definedName function="false" hidden="false" name="WGJDFHJ" vbProcedure="false">#REF!</definedName>
    <definedName function="false" hidden="false" name="wipperc" vbProcedure="false">#REF!</definedName>
    <definedName function="false" hidden="false" name="wmpcomp" vbProcedure="false">#REF!</definedName>
    <definedName function="false" hidden="false" name="wmpctl" vbProcedure="false">#REF!</definedName>
    <definedName function="false" hidden="false" name="wmpphs" vbProcedure="false">#REF!</definedName>
    <definedName function="false" hidden="false" name="wmpphscomp" vbProcedure="false">#REF!</definedName>
    <definedName function="false" hidden="false" name="wmpplan" vbProcedure="false">#REF!</definedName>
    <definedName function="false" hidden="false" name="wmptot" vbProcedure="false">#REF!</definedName>
    <definedName function="false" hidden="false" name="wng" vbProcedure="false">#REF!</definedName>
    <definedName function="false" hidden="false" name="WORKING" vbProcedure="false">#REF!</definedName>
    <definedName function="false" hidden="false" name="WR.ALS" vbProcedure="false">#REF!</definedName>
    <definedName function="false" hidden="false" name="WR.AS" vbProcedure="false">#REF!</definedName>
    <definedName function="false" hidden="false" name="WR.ASSP" vbProcedure="false">#REF!</definedName>
    <definedName function="false" hidden="false" name="WR.BA" vbProcedure="false">#REF!</definedName>
    <definedName function="false" hidden="false" name="WR.BLM" vbProcedure="false">#REF!</definedName>
    <definedName function="false" hidden="false" name="WR.CE" vbProcedure="false">#REF!</definedName>
    <definedName function="false" hidden="false" name="WR.CMS" vbProcedure="false">#REF!</definedName>
    <definedName function="false" hidden="false" name="WR.CPM" vbProcedure="false">#REF!</definedName>
    <definedName function="false" hidden="false" name="WR.CS" vbProcedure="false">#REF!</definedName>
    <definedName function="false" hidden="false" name="WR.CSM" vbProcedure="false">#REF!</definedName>
    <definedName function="false" hidden="false" name="WR.DBA" vbProcedure="false">#REF!</definedName>
    <definedName function="false" hidden="false" name="WR.DD" vbProcedure="false">#REF!</definedName>
    <definedName function="false" hidden="false" name="WR.DV" vbProcedure="false">#REF!</definedName>
    <definedName function="false" hidden="false" name="WR.FC" vbProcedure="false">#REF!</definedName>
    <definedName function="false" hidden="false" name="WR.HSP" vbProcedure="false">#REF!</definedName>
    <definedName function="false" hidden="false" name="WR.ISM" vbProcedure="false">#REF!</definedName>
    <definedName function="false" hidden="false" name="WR.KU" vbProcedure="false">#REF!</definedName>
    <definedName function="false" hidden="false" name="WR.NA" vbProcedure="false">#REF!</definedName>
    <definedName function="false" hidden="false" name="WR.ODS" vbProcedure="false">#REF!</definedName>
    <definedName function="false" hidden="false" name="WR.PM" vbProcedure="false">#REF!</definedName>
    <definedName function="false" hidden="false" name="WR.PMD" vbProcedure="false">#REF!</definedName>
    <definedName function="false" hidden="false" name="WR.PS" vbProcedure="false">#REF!</definedName>
    <definedName function="false" hidden="false" name="WR.PSS" vbProcedure="false">#REF!</definedName>
    <definedName function="false" hidden="false" name="WR.QA" vbProcedure="false">#REF!</definedName>
    <definedName function="false" hidden="false" name="WR.QM" vbProcedure="false">#REF!</definedName>
    <definedName function="false" hidden="false" name="WR.SA" vbProcedure="false">#REF!</definedName>
    <definedName function="false" hidden="false" name="WR.SAD" vbProcedure="false">#REF!</definedName>
    <definedName function="false" hidden="false" name="WR.SCM" vbProcedure="false">#REF!</definedName>
    <definedName function="false" hidden="false" name="WR.SMS" vbProcedure="false">#REF!</definedName>
    <definedName function="false" hidden="false" name="WR.TAN" vbProcedure="false">#REF!</definedName>
    <definedName function="false" hidden="false" name="WR.TLS" vbProcedure="false">#REF!</definedName>
    <definedName function="false" hidden="false" name="WR.TR" vbProcedure="false">#REF!</definedName>
    <definedName function="false" hidden="false" name="WR.TS" vbProcedure="false">#REF!</definedName>
    <definedName function="false" hidden="false" name="WR.TW" vbProcedure="false">#REF!</definedName>
    <definedName function="false" hidden="false" name="WR.UNAS" vbProcedure="false">#REF!</definedName>
    <definedName function="false" hidden="false" name="WR.US" vbProcedure="false">#REF!</definedName>
    <definedName function="false" hidden="false" name="wrkperc" vbProcedure="false">#REF!</definedName>
    <definedName function="false" hidden="false" name="wrn.Aging._.and._.Trend._.Analysis." vbProcedure="false">#REF!</definedName>
    <definedName function="false" hidden="false" name="wrn.ANZ._.Report." vbProcedure="false">#REF!</definedName>
    <definedName function="false" hidden="false" name="wrn.CMR_TOP." vbProcedure="false">#REF!</definedName>
    <definedName function="false" hidden="false" name="wrn.CMR_TREND." vbProcedure="false">#REF!</definedName>
    <definedName function="false" hidden="false" name="wrn.FORM1." vbProcedure="false">#REF!</definedName>
    <definedName function="false" hidden="false" name="wrn.FORNDV." vbProcedure="false">#REF!</definedName>
    <definedName function="false" hidden="true" name="wrn.Full._.Report." vbProcedure="fals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function="false" hidden="false" name="wsperc" vbProcedure="false">#REF!</definedName>
    <definedName function="false" hidden="false" name="WT.A.AP.010" vbProcedure="false">#REF!</definedName>
    <definedName function="false" hidden="false" name="WT.A.AP.020" vbProcedure="false">#REF!</definedName>
    <definedName function="false" hidden="false" name="WT.A.AP.030" vbProcedure="false">#REF!</definedName>
    <definedName function="false" hidden="false" name="WT.A.AP.040" vbProcedure="false">#REF!</definedName>
    <definedName function="false" hidden="false" name="WT.A.AP.050" vbProcedure="false">#REF!</definedName>
    <definedName function="false" hidden="false" name="WT.A.AP.060" vbProcedure="false">#REF!</definedName>
    <definedName function="false" hidden="false" name="WT.A.AP.070" vbProcedure="false">#REF!</definedName>
    <definedName function="false" hidden="false" name="WT.A.AP.080" vbProcedure="false">#REF!</definedName>
    <definedName function="false" hidden="false" name="WT.A.BP.010" vbProcedure="false">#REF!</definedName>
    <definedName function="false" hidden="false" name="WT.A.BP.020" vbProcedure="false">#REF!</definedName>
    <definedName function="false" hidden="false" name="WT.A.BP.030" vbProcedure="false">#REF!</definedName>
    <definedName function="false" hidden="false" name="WT.A.BP.040" vbProcedure="false">#REF!</definedName>
    <definedName function="false" hidden="false" name="WT.A.BP.050" vbProcedure="false">#REF!</definedName>
    <definedName function="false" hidden="false" name="WT.A.BP.060" vbProcedure="false">#REF!</definedName>
    <definedName function="false" hidden="false" name="WT.A.BP.070" vbProcedure="false">#REF!</definedName>
    <definedName function="false" hidden="false" name="WT.A.CV.010" vbProcedure="false">#REF!</definedName>
    <definedName function="false" hidden="false" name="WT.A.DO.010" vbProcedure="false">#REF!</definedName>
    <definedName function="false" hidden="false" name="WT.A.DO.020" vbProcedure="false">#REF!</definedName>
    <definedName function="false" hidden="false" name="WT.A.DO.030" vbProcedure="false">#REF!</definedName>
    <definedName function="false" hidden="false" name="WT.A.MD.010" vbProcedure="false">#REF!</definedName>
    <definedName function="false" hidden="false" name="WT.A.PT.010" vbProcedure="false">#REF!</definedName>
    <definedName function="false" hidden="false" name="WT.A.RD.010" vbProcedure="false">#REF!</definedName>
    <definedName function="false" hidden="false" name="WT.A.RD.020" vbProcedure="false">#REF!</definedName>
    <definedName function="false" hidden="false" name="WT.A.TA.010" vbProcedure="false">#REF!</definedName>
    <definedName function="false" hidden="false" name="WT.A.TA.020" vbProcedure="false">#REF!</definedName>
    <definedName function="false" hidden="false" name="WT.A.TA.030" vbProcedure="false">#REF!</definedName>
    <definedName function="false" hidden="false" name="WT.A.TE.010" vbProcedure="false">#REF!</definedName>
    <definedName function="false" hidden="false" name="WT.B.BP.080" vbProcedure="false">#REF!</definedName>
    <definedName function="false" hidden="false" name="WT.B.RD.030" vbProcedure="false">#REF!</definedName>
    <definedName function="false" hidden="false" name="WT.B.RD.040" vbProcedure="false">#REF!</definedName>
    <definedName function="false" hidden="false" name="WT.B.RD.050" vbProcedure="false">#REF!</definedName>
    <definedName function="false" hidden="false" name="WT.B.RD.060" vbProcedure="false">#REF!</definedName>
    <definedName function="false" hidden="false" name="WT.B.RD.070" vbProcedure="false">#REF!</definedName>
    <definedName function="false" hidden="false" name="WT.B.RD.080" vbProcedure="false">#REF!</definedName>
    <definedName function="false" hidden="false" name="ww" vbProcedure="false">#REF!</definedName>
    <definedName function="false" hidden="false" name="X2DefTax" vbProcedure="false">#REF!</definedName>
    <definedName function="false" hidden="false" name="Xge_Rate" vbProcedure="false">#REF!</definedName>
    <definedName function="false" hidden="false" name="Xge_Rate_March" vbProcedure="false">#REF!</definedName>
    <definedName function="false" hidden="false" name="XRefActiveRow" vbProcedure="false">#REF!</definedName>
    <definedName function="false" hidden="false" name="XRefCopy1" vbProcedure="false">#REF!</definedName>
    <definedName function="false" hidden="false" name="XRefCopy2" vbProcedure="false">#REF!</definedName>
    <definedName function="false" hidden="false" name="XRefCopy4" vbProcedure="false">#REF!</definedName>
    <definedName function="false" hidden="false" name="XRefCopy4Row" vbProcedure="false">#REF!</definedName>
    <definedName function="false" hidden="false" name="XRefPaste1" vbProcedure="false">#REF!</definedName>
    <definedName function="false" hidden="false" name="XRefPaste2Row" vbProcedure="false">#REF!</definedName>
    <definedName function="false" hidden="false" name="XREF_COLUMN_1" vbProcedure="false">#REF!</definedName>
    <definedName function="false" hidden="false" name="XREF_COLUMN_2" vbProcedure="false">#REF!</definedName>
    <definedName function="false" hidden="false" name="xx" vbProcedure="false">#REF!</definedName>
    <definedName function="false" hidden="false" name="xxnn" vbProcedure="false">#REF!</definedName>
    <definedName function="false" hidden="false" name="xyz" vbProcedure="false">#REF!</definedName>
    <definedName function="false" hidden="false" name="Y" vbProcedure="false">#REF!</definedName>
    <definedName function="false" hidden="false" name="ytd" vbProcedure="false">#REF!</definedName>
    <definedName function="false" hidden="false" name="z" vbProcedure="false">#REF!</definedName>
    <definedName function="false" hidden="false" name="zz" vbProcedure="false">#REF!</definedName>
    <definedName function="false" hidden="true" name="Z_302D6222_A45C_4115_851F_722ADC80CC31_.wvu.FilterData" vbProcedure="false">#REF!</definedName>
    <definedName function="false" hidden="true" name="Z_CCC9F4A9_ABF4_4E6C_95EC_9AD66CB799CC_.wvu.FilterData" vbProcedure="false">#REF!</definedName>
    <definedName function="false" hidden="false" name="_" vbProcedure="false">#REF!</definedName>
    <definedName function="false" hidden="false" name="_10lkjdsf" vbProcedure="false">#REF!</definedName>
    <definedName function="false" hidden="false" name="_10MIS_C" vbProcedure="false">#REF!</definedName>
    <definedName function="false" hidden="false" name="_10_9_BTU_ANNUA" vbProcedure="false">#REF!</definedName>
    <definedName function="false" hidden="false" name="_10_9_BTU_APRIL" vbProcedure="false">#REF!</definedName>
    <definedName function="false" hidden="false" name="_10_9_BTU_AUGUS" vbProcedure="false">#REF!</definedName>
    <definedName function="false" hidden="false" name="_10_9_BTU_JANUA" vbProcedure="false">#REF!</definedName>
    <definedName function="false" hidden="false" name="_10_9_BTU_JULY" vbProcedure="false">#REF!</definedName>
    <definedName function="false" hidden="false" name="_10_9_BTU_JUNE" vbProcedure="false">#REF!</definedName>
    <definedName function="false" hidden="false" name="_10_9_BTU_MARCH" vbProcedure="false">#REF!</definedName>
    <definedName function="false" hidden="false" name="_10_9_BTU_MAY" vbProcedure="false">#REF!</definedName>
    <definedName function="false" hidden="false" name="_10_9_BTU_OCTOB" vbProcedure="false">#REF!</definedName>
    <definedName function="false" hidden="false" name="_10_9_BT_DECEMB" vbProcedure="false">#REF!</definedName>
    <definedName function="false" hidden="false" name="_10_9_BT_december" vbProcedure="false">#REF!</definedName>
    <definedName function="false" hidden="false" name="_10_9_BT_FEBRUA" vbProcedure="false">#REF!</definedName>
    <definedName function="false" hidden="false" name="_10_9_BT_NOVEMB" vbProcedure="false">#REF!</definedName>
    <definedName function="false" hidden="false" name="_10_9_BT_SEPTEM" vbProcedure="false">#REF!</definedName>
    <definedName function="false" hidden="false" name="_115JAA" vbProcedure="false">#REF!</definedName>
    <definedName function="false" hidden="false" name="_12PROJECT_O" vbProcedure="false">#REF!</definedName>
    <definedName function="false" hidden="false" name="_1ANNEX_C_1" vbProcedure="false">#REF!</definedName>
    <definedName function="false" hidden="false" name="_1BENEF" vbProcedure="false">#REF!</definedName>
    <definedName function="false" hidden="false" name="_1_115JAA" vbProcedure="false">#REF!</definedName>
    <definedName function="false" hidden="false" name="_1_FULL" vbProcedure="false">#REF!</definedName>
    <definedName function="false" hidden="false" name="_25" vbProcedure="false">#REF!</definedName>
    <definedName function="false" hidden="false" name="_26" vbProcedure="false">#REF!</definedName>
    <definedName function="false" hidden="false" name="_2BENEFIT" vbProcedure="false">#REF!</definedName>
    <definedName function="false" hidden="false" name="_2B_9" vbProcedure="false">#REF!</definedName>
    <definedName function="false" hidden="false" name="_2_29B_STT2" vbProcedure="false">#REF!</definedName>
    <definedName function="false" hidden="false" name="_3BENEFITS" vbProcedure="false">#REF!</definedName>
    <definedName function="false" hidden="false" name="_3_35_2AA" vbProcedure="false">#REF!</definedName>
    <definedName function="false" hidden="false" name="_4Chargeba" vbProcedure="false">#REF!</definedName>
    <definedName function="false" hidden="false" name="_4_35_2AB_SUMM" vbProcedure="false">#REF!</definedName>
    <definedName function="false" hidden="false" name="_5300" vbProcedure="false">#REF!</definedName>
    <definedName function="false" hidden="false" name="_5ANNEX_C_1" vbProcedure="false">#REF!</definedName>
    <definedName function="false" hidden="false" name="_5CAP_GAIN" vbProcedure="false">#REF!</definedName>
    <definedName function="false" hidden="false" name="_5CO" vbProcedure="false">#REF!</definedName>
    <definedName function="false" hidden="false" name="_6CAP_GAIN" vbProcedure="false">#REF!</definedName>
    <definedName function="false" hidden="false" name="_6COS" vbProcedure="false">#REF!</definedName>
    <definedName function="false" hidden="false" name="_6FORM_29B" vbProcedure="false">#REF!</definedName>
    <definedName function="false" hidden="false" name="_7COST" vbProcedure="false">#REF!</definedName>
    <definedName function="false" hidden="false" name="_7FORM_29B" vbProcedure="false">#REF!</definedName>
    <definedName function="false" hidden="false" name="_7PAGE_4" vbProcedure="false">#REF!</definedName>
    <definedName function="false" hidden="false" name="_80HHC" vbProcedure="false">#REF!</definedName>
    <definedName function="false" hidden="false" name="_8COST_BENEF" vbProcedure="false">#REF!</definedName>
    <definedName function="false" hidden="false" name="_8PAGE_4" vbProcedure="false">#REF!</definedName>
    <definedName function="false" hidden="false" name="_a" vbProcedure="false">#REF!</definedName>
    <definedName function="false" hidden="false" name="_A65536" vbProcedure="false">#REF!</definedName>
    <definedName function="false" hidden="false" name="_A65537" vbProcedure="false">#REF!</definedName>
    <definedName function="false" hidden="false" name="_a665536" vbProcedure="false">#REF!</definedName>
    <definedName function="false" hidden="false" name="_ACK1" vbProcedure="false">#REF!</definedName>
    <definedName function="false" hidden="false" name="_a_1" vbProcedure="false">#REF!</definedName>
    <definedName function="false" hidden="false" name="_C" vbProcedure="false">#REF!</definedName>
    <definedName function="false" hidden="false" name="_col1" vbProcedure="false">#REF!</definedName>
    <definedName function="false" hidden="false" name="_col10" vbProcedure="false">#REF!</definedName>
    <definedName function="false" hidden="false" name="_col11" vbProcedure="false">#REF!</definedName>
    <definedName function="false" hidden="false" name="_col12" vbProcedure="false">#REF!</definedName>
    <definedName function="false" hidden="false" name="_col13" vbProcedure="false">#REF!</definedName>
    <definedName function="false" hidden="false" name="_col2" vbProcedure="false">#REF!</definedName>
    <definedName function="false" hidden="false" name="_col3" vbProcedure="false">#REF!</definedName>
    <definedName function="false" hidden="false" name="_col4" vbProcedure="false">#REF!</definedName>
    <definedName function="false" hidden="false" name="_col5" vbProcedure="false">#REF!</definedName>
    <definedName function="false" hidden="false" name="_col6" vbProcedure="false">#REF!</definedName>
    <definedName function="false" hidden="false" name="_col7" vbProcedure="false">#REF!</definedName>
    <definedName function="false" hidden="false" name="_col8" vbProcedure="false">#REF!</definedName>
    <definedName function="false" hidden="false" name="_col9" vbProcedure="false">#REF!</definedName>
    <definedName function="false" hidden="false" name="_DAT1" vbProcedure="false">#REF!</definedName>
    <definedName function="false" hidden="false" name="_DAT10" vbProcedure="false">#REF!</definedName>
    <definedName function="false" hidden="false" name="_DAT11" vbProcedure="false">#REF!</definedName>
    <definedName function="false" hidden="false" name="_DAT12" vbProcedure="false">#REF!</definedName>
    <definedName function="false" hidden="false" name="_DAT13" vbProcedure="false">#REF!</definedName>
    <definedName function="false" hidden="false" name="_DAT14" vbProcedure="false">#REF!</definedName>
    <definedName function="false" hidden="false" name="_DAT15" vbProcedure="false">#REF!</definedName>
    <definedName function="false" hidden="false" name="_DAT16" vbProcedure="false">#REF!</definedName>
    <definedName function="false" hidden="false" name="_DAT17" vbProcedure="false">#REF!</definedName>
    <definedName function="false" hidden="false" name="_DAT18" vbProcedure="false">#REF!</definedName>
    <definedName function="false" hidden="false" name="_DAT19" vbProcedure="false">#REF!</definedName>
    <definedName function="false" hidden="false" name="_DAT2" vbProcedure="false">#REF!</definedName>
    <definedName function="false" hidden="false" name="_DAT20" vbProcedure="false">#REF!</definedName>
    <definedName function="false" hidden="false" name="_DAT21" vbProcedure="false">#REF!</definedName>
    <definedName function="false" hidden="false" name="_DAT22" vbProcedure="false">#REF!</definedName>
    <definedName function="false" hidden="false" name="_DAT23" vbProcedure="false">#REF!</definedName>
    <definedName function="false" hidden="false" name="_DAT24" vbProcedure="false">#REF!</definedName>
    <definedName function="false" hidden="false" name="_DAT25" vbProcedure="false">#REF!</definedName>
    <definedName function="false" hidden="false" name="_DAT26" vbProcedure="false">#REF!</definedName>
    <definedName function="false" hidden="false" name="_DAT27" vbProcedure="false">#REF!</definedName>
    <definedName function="false" hidden="false" name="_DAT28" vbProcedure="false">#REF!</definedName>
    <definedName function="false" hidden="false" name="_DAT29" vbProcedure="false">#REF!</definedName>
    <definedName function="false" hidden="false" name="_DAT3" vbProcedure="false">#REF!</definedName>
    <definedName function="false" hidden="false" name="_DAT30" vbProcedure="false">#REF!</definedName>
    <definedName function="false" hidden="false" name="_DAT31" vbProcedure="false">#REF!</definedName>
    <definedName function="false" hidden="false" name="_DAT32" vbProcedure="false">#REF!</definedName>
    <definedName function="false" hidden="false" name="_DAT33" vbProcedure="false">#REF!</definedName>
    <definedName function="false" hidden="false" name="_DAT34" vbProcedure="false">#REF!</definedName>
    <definedName function="false" hidden="false" name="_DAT35" vbProcedure="false">#REF!</definedName>
    <definedName function="false" hidden="false" name="_DAT36" vbProcedure="false">#REF!</definedName>
    <definedName function="false" hidden="false" name="_DAT37" vbProcedure="false">#REF!</definedName>
    <definedName function="false" hidden="false" name="_DAT38" vbProcedure="false">#REF!</definedName>
    <definedName function="false" hidden="false" name="_DAT39" vbProcedure="false">#REF!</definedName>
    <definedName function="false" hidden="false" name="_DAT4" vbProcedure="false">#REF!</definedName>
    <definedName function="false" hidden="false" name="_DAT40" vbProcedure="false">#REF!</definedName>
    <definedName function="false" hidden="false" name="_DAT41" vbProcedure="false">#REF!</definedName>
    <definedName function="false" hidden="false" name="_DAT42" vbProcedure="false">#REF!</definedName>
    <definedName function="false" hidden="false" name="_DAT43" vbProcedure="false">#REF!</definedName>
    <definedName function="false" hidden="false" name="_DAT44" vbProcedure="false">#REF!</definedName>
    <definedName function="false" hidden="false" name="_DAT45" vbProcedure="false">#REF!</definedName>
    <definedName function="false" hidden="false" name="_DAT46" vbProcedure="false">#REF!</definedName>
    <definedName function="false" hidden="false" name="_DAT47" vbProcedure="false">#REF!</definedName>
    <definedName function="false" hidden="false" name="_DAT48" vbProcedure="false">#REF!</definedName>
    <definedName function="false" hidden="false" name="_DAT49" vbProcedure="false">#REF!</definedName>
    <definedName function="false" hidden="false" name="_DAT5" vbProcedure="false">#REF!</definedName>
    <definedName function="false" hidden="false" name="_DAT50" vbProcedure="false">#REF!</definedName>
    <definedName function="false" hidden="false" name="_DAT51" vbProcedure="false">#REF!</definedName>
    <definedName function="false" hidden="false" name="_DAT52" vbProcedure="false">#REF!</definedName>
    <definedName function="false" hidden="false" name="_DAT53" vbProcedure="false">#REF!</definedName>
    <definedName function="false" hidden="false" name="_DAT54" vbProcedure="false">#REF!</definedName>
    <definedName function="false" hidden="false" name="_DAT55" vbProcedure="false">#REF!</definedName>
    <definedName function="false" hidden="false" name="_DAT56" vbProcedure="false">#REF!</definedName>
    <definedName function="false" hidden="false" name="_DAT57" vbProcedure="false">#REF!</definedName>
    <definedName function="false" hidden="false" name="_DAT58" vbProcedure="false">#REF!</definedName>
    <definedName function="false" hidden="false" name="_DAT59" vbProcedure="false">#REF!</definedName>
    <definedName function="false" hidden="false" name="_DAT6" vbProcedure="false">#REF!</definedName>
    <definedName function="false" hidden="false" name="_DAT60" vbProcedure="false">#REF!</definedName>
    <definedName function="false" hidden="false" name="_DAT61" vbProcedure="false">#REF!</definedName>
    <definedName function="false" hidden="false" name="_DAT62" vbProcedure="false">#REF!</definedName>
    <definedName function="false" hidden="false" name="_DAT63" vbProcedure="false">#REF!</definedName>
    <definedName function="false" hidden="false" name="_DAT64" vbProcedure="false">#REF!</definedName>
    <definedName function="false" hidden="false" name="_DAT65" vbProcedure="false">#REF!</definedName>
    <definedName function="false" hidden="false" name="_DAT66" vbProcedure="false">#REF!</definedName>
    <definedName function="false" hidden="false" name="_DAT67" vbProcedure="false">#REF!</definedName>
    <definedName function="false" hidden="false" name="_DAT68" vbProcedure="false">#REF!</definedName>
    <definedName function="false" hidden="false" name="_DAT69" vbProcedure="false">#REF!</definedName>
    <definedName function="false" hidden="false" name="_DAT7" vbProcedure="false">#REF!</definedName>
    <definedName function="false" hidden="false" name="_DAT70" vbProcedure="false">#REF!</definedName>
    <definedName function="false" hidden="false" name="_DAT71" vbProcedure="false">#REF!</definedName>
    <definedName function="false" hidden="false" name="_DAT8" vbProcedure="false">#REF!</definedName>
    <definedName function="false" hidden="false" name="_DAT9" vbProcedure="false">#REF!</definedName>
    <definedName function="false" hidden="false" name="_Dist_Bin" vbProcedure="false">#REF!</definedName>
    <definedName function="false" hidden="false" name="_Dist_Values" vbProcedure="false">#REF!</definedName>
    <definedName function="false" hidden="false" name="_Fill" vbProcedure="false">#REF!</definedName>
    <definedName function="false" hidden="false" name="_FS1" vbProcedure="false">#REF!</definedName>
    <definedName function="false" hidden="false" name="_Grp12" vbProcedure="false">#REF!</definedName>
    <definedName function="false" hidden="false" name="_Grp13" vbProcedure="false">#REF!</definedName>
    <definedName function="false" hidden="false" name="_Grp14" vbProcedure="false">#REF!</definedName>
    <definedName function="false" hidden="false" name="_Grp15" vbProcedure="false">#REF!</definedName>
    <definedName function="false" hidden="false" name="_Grp2" vbProcedure="false">#REF!</definedName>
    <definedName function="false" hidden="false" name="_JAI1" vbProcedure="false">#REF!</definedName>
    <definedName function="false" hidden="false" name="_JAI2" vbProcedure="false">#REF!</definedName>
    <definedName function="false" hidden="false" name="_JAI3" vbProcedure="false">#REF!</definedName>
    <definedName function="false" hidden="false" name="_Key1" vbProcedure="false">#REF!</definedName>
    <definedName function="false" hidden="false" name="_KJ1" vbProcedure="false">#REF!</definedName>
    <definedName function="false" hidden="false" name="_KJ2" vbProcedure="false">#REF!</definedName>
    <definedName function="false" hidden="false" name="_KJ3" vbProcedure="false">#REF!</definedName>
    <definedName function="false" hidden="false" name="_KJ4" vbProcedure="false">#REF!</definedName>
    <definedName function="false" hidden="false" name="_KJ5" vbProcedure="false">#REF!</definedName>
    <definedName function="false" hidden="false" name="_KSR2" vbProcedure="false">#REF!</definedName>
    <definedName function="false" hidden="false" name="_ma67" vbProcedure="false">#REF!</definedName>
    <definedName function="false" hidden="false" name="_ma71" vbProcedure="false">#REF!</definedName>
    <definedName function="false" hidden="false" name="_ma74" vbProcedure="false">#REF!</definedName>
    <definedName function="false" hidden="false" name="_MAR9091" vbProcedure="false">#REF!</definedName>
    <definedName function="false" hidden="false" name="_MKT1" vbProcedure="false">#REF!</definedName>
    <definedName function="false" hidden="false" name="_MKT10" vbProcedure="false">#REF!</definedName>
    <definedName function="false" hidden="false" name="_MKT11" vbProcedure="false">#REF!</definedName>
    <definedName function="false" hidden="false" name="_MKT2" vbProcedure="false">#REF!</definedName>
    <definedName function="false" hidden="false" name="_MKT3" vbProcedure="false">#REF!</definedName>
    <definedName function="false" hidden="false" name="_MKT4" vbProcedure="false">#REF!</definedName>
    <definedName function="false" hidden="false" name="_MKT5" vbProcedure="false">#REF!</definedName>
    <definedName function="false" hidden="false" name="_MKT6" vbProcedure="false">#REF!</definedName>
    <definedName function="false" hidden="false" name="_MKT7" vbProcedure="false">#REF!</definedName>
    <definedName function="false" hidden="false" name="_MKT8" vbProcedure="false">#REF!</definedName>
    <definedName function="false" hidden="false" name="_MKT9" vbProcedure="false">#REF!</definedName>
    <definedName function="false" hidden="false" name="_mmm10" vbProcedure="false">#REF!</definedName>
    <definedName function="false" hidden="false" name="_mp1" vbProcedure="false">#REF!</definedName>
    <definedName function="false" hidden="false" name="_New1" vbProcedure="false">#REF!</definedName>
    <definedName function="false" hidden="false" name="_OP1" vbProcedure="false">#REF!</definedName>
    <definedName function="false" hidden="false" name="_OP2" vbProcedure="false">#REF!</definedName>
    <definedName function="false" hidden="false" name="_OP3" vbProcedure="false">#REF!</definedName>
    <definedName function="false" hidden="false" name="_OP4" vbProcedure="false">#REF!</definedName>
    <definedName function="false" hidden="true" name="_Order1" vbProcedure="false">0</definedName>
    <definedName function="false" hidden="false" name="_p" vbProcedure="false">#REF!</definedName>
    <definedName function="false" hidden="false" name="_P1" vbProcedure="false">#REF!</definedName>
    <definedName function="false" hidden="false" name="_Parse_In" vbProcedure="false">#REF!</definedName>
    <definedName function="false" hidden="false" name="_Parse_Out" vbProcedure="false">#REF!</definedName>
    <definedName function="false" hidden="false" name="_PG1" vbProcedure="false">#REF!</definedName>
    <definedName function="false" hidden="false" name="_PG10" vbProcedure="false">#REF!</definedName>
    <definedName function="false" hidden="false" name="_PG11" vbProcedure="false">#REF!</definedName>
    <definedName function="false" hidden="false" name="_PG13" vbProcedure="false">#REF!</definedName>
    <definedName function="false" hidden="false" name="_PG2" vbProcedure="false">#REF!</definedName>
    <definedName function="false" hidden="false" name="_PG3" vbProcedure="false">#REF!</definedName>
    <definedName function="false" hidden="false" name="_PG4" vbProcedure="false">#REF!</definedName>
    <definedName function="false" hidden="false" name="_PG5" vbProcedure="false">#REF!</definedName>
    <definedName function="false" hidden="false" name="_PG6" vbProcedure="false">#REF!</definedName>
    <definedName function="false" hidden="false" name="_PG7" vbProcedure="false">#REF!</definedName>
    <definedName function="false" hidden="false" name="_PG8" vbProcedure="false">#REF!</definedName>
    <definedName function="false" hidden="false" name="_ram2" vbProcedure="false">#REF!</definedName>
    <definedName function="false" hidden="false" name="_sb1" vbProcedure="false">#REF!</definedName>
    <definedName function="false" hidden="false" name="_SC1" vbProcedure="false">#REF!</definedName>
    <definedName function="false" hidden="false" name="_SC10" vbProcedure="false">#REF!</definedName>
    <definedName function="false" hidden="false" name="_SC11" vbProcedure="false">#REF!</definedName>
    <definedName function="false" hidden="false" name="_SC12" vbProcedure="false">#REF!</definedName>
    <definedName function="false" hidden="false" name="_SC13" vbProcedure="false">#REF!</definedName>
    <definedName function="false" hidden="false" name="_SC15" vbProcedure="false">#REF!</definedName>
    <definedName function="false" hidden="false" name="_SC16" vbProcedure="false">#REF!</definedName>
    <definedName function="false" hidden="false" name="_SC18" vbProcedure="false">#REF!</definedName>
    <definedName function="false" hidden="false" name="_SC2" vbProcedure="false">#REF!</definedName>
    <definedName function="false" hidden="false" name="_SC3" vbProcedure="false">#REF!</definedName>
    <definedName function="false" hidden="false" name="_SC4" vbProcedure="false">#REF!</definedName>
    <definedName function="false" hidden="false" name="_SC5" vbProcedure="false">#REF!</definedName>
    <definedName function="false" hidden="false" name="_SC6" vbProcedure="false">#REF!</definedName>
    <definedName function="false" hidden="false" name="_SC7" vbProcedure="false">#REF!</definedName>
    <definedName function="false" hidden="false" name="_SC8" vbProcedure="false">#REF!</definedName>
    <definedName function="false" hidden="false" name="_SC9" vbProcedure="false">#REF!</definedName>
    <definedName function="false" hidden="false" name="_Sch10" vbProcedure="false">#REF!</definedName>
    <definedName function="false" hidden="false" name="_Sch11" vbProcedure="false">#REF!</definedName>
    <definedName function="false" hidden="false" name="_Sch12" vbProcedure="false">#REF!</definedName>
    <definedName function="false" hidden="false" name="_Sch13" vbProcedure="false">#REF!</definedName>
    <definedName function="false" hidden="false" name="_Sch14" vbProcedure="false">#REF!</definedName>
    <definedName function="false" hidden="false" name="_Sch15" vbProcedure="false">#REF!</definedName>
    <definedName function="false" hidden="false" name="_Sch2" vbProcedure="false">#REF!</definedName>
    <definedName function="false" hidden="false" name="_Sch4" vbProcedure="false">#REF!</definedName>
    <definedName function="false" hidden="false" name="_Sch5" vbProcedure="false">#REF!</definedName>
    <definedName function="false" hidden="false" name="_Sch6" vbProcedure="false">#REF!</definedName>
    <definedName function="false" hidden="false" name="_Sch7" vbProcedure="false">#REF!</definedName>
    <definedName function="false" hidden="false" name="_Sch8" vbProcedure="false">#REF!</definedName>
    <definedName function="false" hidden="false" name="_Sch9" vbProcedure="false">#REF!</definedName>
    <definedName function="false" hidden="false" name="_sep97" vbProcedure="false">#REF!</definedName>
    <definedName function="false" hidden="false" name="_sht1" vbProcedure="false">#REF!</definedName>
    <definedName function="false" hidden="false" name="_Sort" vbProcedure="false">#REF!</definedName>
    <definedName function="false" hidden="false" name="_sum1" vbProcedure="false">#REF!</definedName>
    <definedName function="false" hidden="false" name="_sum3" vbProcedure="false">#REF!</definedName>
    <definedName function="false" hidden="false" name="_tb05" vbProcedure="false">#REF!</definedName>
    <definedName function="false" hidden="false" name="_tb1" vbProcedure="false">#REF!</definedName>
    <definedName function="false" hidden="false" name="_TB2004" vbProcedure="false">#REF!</definedName>
    <definedName function="false" hidden="false" name="_zx3" vbProcedure="false">#REF!</definedName>
    <definedName function="false" hidden="false" name="_ZZ150" vbProcedure="false">#REF!</definedName>
    <definedName function="false" hidden="false" name="__123Graph_A" vbProcedure="false">#REF!</definedName>
    <definedName function="false" hidden="false" name="__123Graph_B" vbProcedure="false">#REF!</definedName>
    <definedName function="false" hidden="false" name="__123Graph_BCURRENT" vbProcedure="false">#REF!</definedName>
    <definedName function="false" hidden="false" name="__123Graph_CCURRENT" vbProcedure="false">#REF!</definedName>
    <definedName function="false" hidden="false" name="__123Graph_D" vbProcedure="false">#REF!</definedName>
    <definedName function="false" hidden="false" name="__123Graph_DCURRENT" vbProcedure="false">#REF!</definedName>
    <definedName function="false" hidden="false" name="__123Graph_ECURRENT" vbProcedure="false">#REF!</definedName>
    <definedName function="false" hidden="false" name="__123Graph_X" vbProcedure="false">#REF!</definedName>
    <definedName function="false" hidden="false" name="__A65536" vbProcedure="false">#REF!</definedName>
    <definedName function="false" hidden="false" name="__A65537" vbProcedure="false">#REF!</definedName>
    <definedName function="false" hidden="false" name="__a665536" vbProcedure="false">#REF!</definedName>
    <definedName function="false" hidden="false" name="__ACK1" vbProcedure="false">#REF!</definedName>
    <definedName function="false" hidden="false" name="__C" vbProcedure="false">#REF!</definedName>
    <definedName function="false" hidden="false" name="__col1" vbProcedure="false">#REF!</definedName>
    <definedName function="false" hidden="false" name="__col10" vbProcedure="false">#REF!</definedName>
    <definedName function="false" hidden="false" name="__col11" vbProcedure="false">#REF!</definedName>
    <definedName function="false" hidden="false" name="__col12" vbProcedure="false">#REF!</definedName>
    <definedName function="false" hidden="false" name="__col13" vbProcedure="false">#REF!</definedName>
    <definedName function="false" hidden="false" name="__col2" vbProcedure="false">#REF!</definedName>
    <definedName function="false" hidden="false" name="__col3" vbProcedure="false">#REF!</definedName>
    <definedName function="false" hidden="false" name="__col4" vbProcedure="false">#REF!</definedName>
    <definedName function="false" hidden="false" name="__col5" vbProcedure="false">#REF!</definedName>
    <definedName function="false" hidden="false" name="__col6" vbProcedure="false">#REF!</definedName>
    <definedName function="false" hidden="false" name="__col7" vbProcedure="false">#REF!</definedName>
    <definedName function="false" hidden="false" name="__col8" vbProcedure="false">#REF!</definedName>
    <definedName function="false" hidden="false" name="__col9" vbProcedure="false">#REF!</definedName>
    <definedName function="false" hidden="false" name="__DAT1" vbProcedure="false">#REF!</definedName>
    <definedName function="false" hidden="false" name="__DAT10" vbProcedure="false">#REF!</definedName>
    <definedName function="false" hidden="false" name="__DAT11" vbProcedure="false">#REF!</definedName>
    <definedName function="false" hidden="false" name="__DAT12" vbProcedure="false">#REF!</definedName>
    <definedName function="false" hidden="false" name="__DAT13" vbProcedure="false">#REF!</definedName>
    <definedName function="false" hidden="false" name="__DAT14" vbProcedure="false">#REF!</definedName>
    <definedName function="false" hidden="false" name="__DAT15" vbProcedure="false">#REF!</definedName>
    <definedName function="false" hidden="false" name="__DAT16" vbProcedure="false">#REF!</definedName>
    <definedName function="false" hidden="false" name="__DAT17" vbProcedure="false">#REF!</definedName>
    <definedName function="false" hidden="false" name="__DAT18" vbProcedure="false">#REF!</definedName>
    <definedName function="false" hidden="false" name="__DAT19" vbProcedure="false">#REF!</definedName>
    <definedName function="false" hidden="false" name="__DAT2" vbProcedure="false">#REF!</definedName>
    <definedName function="false" hidden="false" name="__DAT20" vbProcedure="false">#REF!</definedName>
    <definedName function="false" hidden="false" name="__DAT21" vbProcedure="false">#REF!</definedName>
    <definedName function="false" hidden="false" name="__DAT22" vbProcedure="false">#REF!</definedName>
    <definedName function="false" hidden="false" name="__DAT23" vbProcedure="false">#REF!</definedName>
    <definedName function="false" hidden="false" name="__DAT24" vbProcedure="false">#REF!</definedName>
    <definedName function="false" hidden="false" name="__DAT25" vbProcedure="false">#REF!</definedName>
    <definedName function="false" hidden="false" name="__DAT26" vbProcedure="false">#REF!</definedName>
    <definedName function="false" hidden="false" name="__DAT27" vbProcedure="false">#REF!</definedName>
    <definedName function="false" hidden="false" name="__DAT28" vbProcedure="false">#REF!</definedName>
    <definedName function="false" hidden="false" name="__DAT29" vbProcedure="false">#REF!</definedName>
    <definedName function="false" hidden="false" name="__DAT3" vbProcedure="false">#REF!</definedName>
    <definedName function="false" hidden="false" name="__DAT30" vbProcedure="false">#REF!</definedName>
    <definedName function="false" hidden="false" name="__DAT31" vbProcedure="false">#REF!</definedName>
    <definedName function="false" hidden="false" name="__DAT32" vbProcedure="false">#REF!</definedName>
    <definedName function="false" hidden="false" name="__DAT33" vbProcedure="false">#REF!</definedName>
    <definedName function="false" hidden="false" name="__DAT34" vbProcedure="false">#REF!</definedName>
    <definedName function="false" hidden="false" name="__DAT35" vbProcedure="false">#REF!</definedName>
    <definedName function="false" hidden="false" name="__DAT36" vbProcedure="false">#REF!</definedName>
    <definedName function="false" hidden="false" name="__DAT37" vbProcedure="false">#REF!</definedName>
    <definedName function="false" hidden="false" name="__DAT38" vbProcedure="false">#REF!</definedName>
    <definedName function="false" hidden="false" name="__DAT39" vbProcedure="false">#REF!</definedName>
    <definedName function="false" hidden="false" name="__DAT4" vbProcedure="false">#REF!</definedName>
    <definedName function="false" hidden="false" name="__DAT40" vbProcedure="false">#REF!</definedName>
    <definedName function="false" hidden="false" name="__DAT41" vbProcedure="false">#REF!</definedName>
    <definedName function="false" hidden="false" name="__DAT42" vbProcedure="false">#REF!</definedName>
    <definedName function="false" hidden="false" name="__DAT43" vbProcedure="false">#REF!</definedName>
    <definedName function="false" hidden="false" name="__DAT44" vbProcedure="false">#REF!</definedName>
    <definedName function="false" hidden="false" name="__DAT45" vbProcedure="false">#REF!</definedName>
    <definedName function="false" hidden="false" name="__DAT46" vbProcedure="false">#REF!</definedName>
    <definedName function="false" hidden="false" name="__DAT47" vbProcedure="false">#REF!</definedName>
    <definedName function="false" hidden="false" name="__DAT48" vbProcedure="false">#REF!</definedName>
    <definedName function="false" hidden="false" name="__DAT49" vbProcedure="false">#REF!</definedName>
    <definedName function="false" hidden="false" name="__DAT5" vbProcedure="false">#REF!</definedName>
    <definedName function="false" hidden="false" name="__DAT50" vbProcedure="false">#REF!</definedName>
    <definedName function="false" hidden="false" name="__DAT51" vbProcedure="false">#REF!</definedName>
    <definedName function="false" hidden="false" name="__DAT52" vbProcedure="false">#REF!</definedName>
    <definedName function="false" hidden="false" name="__DAT53" vbProcedure="false">#REF!</definedName>
    <definedName function="false" hidden="false" name="__DAT54" vbProcedure="false">#REF!</definedName>
    <definedName function="false" hidden="false" name="__DAT55" vbProcedure="false">#REF!</definedName>
    <definedName function="false" hidden="false" name="__DAT56" vbProcedure="false">#REF!</definedName>
    <definedName function="false" hidden="false" name="__DAT57" vbProcedure="false">#REF!</definedName>
    <definedName function="false" hidden="false" name="__DAT58" vbProcedure="false">#REF!</definedName>
    <definedName function="false" hidden="false" name="__DAT59" vbProcedure="false">#REF!</definedName>
    <definedName function="false" hidden="false" name="__DAT6" vbProcedure="false">#REF!</definedName>
    <definedName function="false" hidden="false" name="__DAT60" vbProcedure="false">#REF!</definedName>
    <definedName function="false" hidden="false" name="__DAT61" vbProcedure="false">#REF!</definedName>
    <definedName function="false" hidden="false" name="__DAT62" vbProcedure="false">#REF!</definedName>
    <definedName function="false" hidden="false" name="__DAT63" vbProcedure="false">#REF!</definedName>
    <definedName function="false" hidden="false" name="__DAT64" vbProcedure="false">#REF!</definedName>
    <definedName function="false" hidden="false" name="__DAT65" vbProcedure="false">#REF!</definedName>
    <definedName function="false" hidden="false" name="__DAT66" vbProcedure="false">#REF!</definedName>
    <definedName function="false" hidden="false" name="__DAT67" vbProcedure="false">#REF!</definedName>
    <definedName function="false" hidden="false" name="__DAT68" vbProcedure="false">#REF!</definedName>
    <definedName function="false" hidden="false" name="__DAT69" vbProcedure="false">#REF!</definedName>
    <definedName function="false" hidden="false" name="__DAT7" vbProcedure="false">#REF!</definedName>
    <definedName function="false" hidden="false" name="__DAT70" vbProcedure="false">#REF!</definedName>
    <definedName function="false" hidden="false" name="__DAT71" vbProcedure="false">#REF!</definedName>
    <definedName function="false" hidden="false" name="__DAT8" vbProcedure="false">#REF!</definedName>
    <definedName function="false" hidden="false" name="__DAT9" vbProcedure="false">#REF!</definedName>
    <definedName function="false" hidden="false" name="__FS1" vbProcedure="false">#REF!</definedName>
    <definedName function="false" hidden="false" name="__Grp12" vbProcedure="false">#REF!</definedName>
    <definedName function="false" hidden="false" name="__Grp13" vbProcedure="false">#REF!</definedName>
    <definedName function="false" hidden="false" name="__Grp14" vbProcedure="false">#REF!</definedName>
    <definedName function="false" hidden="false" name="__Grp15" vbProcedure="false">#REF!</definedName>
    <definedName function="false" hidden="false" name="__Grp2" vbProcedure="false">#REF!</definedName>
    <definedName function="false" hidden="true" name="__IntlFixup" vbProcedure="false">TRUE()</definedName>
    <definedName function="false" hidden="false" name="__JAI1" vbProcedure="false">#REF!</definedName>
    <definedName function="false" hidden="false" name="__JAI2" vbProcedure="false">#REF!</definedName>
    <definedName function="false" hidden="false" name="__JAI3" vbProcedure="false">#REF!</definedName>
    <definedName function="false" hidden="false" name="__KJ1" vbProcedure="false">#REF!</definedName>
    <definedName function="false" hidden="false" name="__KJ2" vbProcedure="false">#REF!</definedName>
    <definedName function="false" hidden="false" name="__KJ3" vbProcedure="false">#REF!</definedName>
    <definedName function="false" hidden="false" name="__KJ4" vbProcedure="false">#REF!</definedName>
    <definedName function="false" hidden="false" name="__KJ5" vbProcedure="false">#REF!</definedName>
    <definedName function="false" hidden="false" name="__KSR2" vbProcedure="false">#REF!</definedName>
    <definedName function="false" hidden="false" name="__ma67" vbProcedure="false">#REF!</definedName>
    <definedName function="false" hidden="false" name="__ma71" vbProcedure="false">#REF!</definedName>
    <definedName function="false" hidden="false" name="__ma74" vbProcedure="false">#REF!</definedName>
    <definedName function="false" hidden="false" name="__MAR9091" vbProcedure="false">#REF!</definedName>
    <definedName function="false" hidden="false" name="__MKT1" vbProcedure="false">#REF!</definedName>
    <definedName function="false" hidden="false" name="__MKT10" vbProcedure="false">#REF!</definedName>
    <definedName function="false" hidden="false" name="__MKT11" vbProcedure="false">#REF!</definedName>
    <definedName function="false" hidden="false" name="__MKT2" vbProcedure="false">#REF!</definedName>
    <definedName function="false" hidden="false" name="__MKT3" vbProcedure="false">#REF!</definedName>
    <definedName function="false" hidden="false" name="__MKT4" vbProcedure="false">#REF!</definedName>
    <definedName function="false" hidden="false" name="__MKT5" vbProcedure="false">#REF!</definedName>
    <definedName function="false" hidden="false" name="__MKT6" vbProcedure="false">#REF!</definedName>
    <definedName function="false" hidden="false" name="__MKT7" vbProcedure="false">#REF!</definedName>
    <definedName function="false" hidden="false" name="__MKT8" vbProcedure="false">#REF!</definedName>
    <definedName function="false" hidden="false" name="__MKT9" vbProcedure="false">#REF!</definedName>
    <definedName function="false" hidden="false" name="__mmm10" vbProcedure="false">#REF!</definedName>
    <definedName function="false" hidden="false" name="__mp1" vbProcedure="false">#REF!</definedName>
    <definedName function="false" hidden="false" name="__New1" vbProcedure="false">#REF!</definedName>
    <definedName function="false" hidden="false" name="__OP1" vbProcedure="false">#REF!</definedName>
    <definedName function="false" hidden="false" name="__OP2" vbProcedure="false">#REF!</definedName>
    <definedName function="false" hidden="false" name="__OP3" vbProcedure="false">#REF!</definedName>
    <definedName function="false" hidden="false" name="__OP4" vbProcedure="false">#REF!</definedName>
    <definedName function="false" hidden="false" name="__P1" vbProcedure="false">#REF!</definedName>
    <definedName function="false" hidden="false" name="__Pg1" vbProcedure="false">#REF!</definedName>
    <definedName function="false" hidden="false" name="__PG10" vbProcedure="false">#REF!</definedName>
    <definedName function="false" hidden="false" name="__PG11" vbProcedure="false">#REF!</definedName>
    <definedName function="false" hidden="false" name="__PG13" vbProcedure="false">#REF!</definedName>
    <definedName function="false" hidden="false" name="__PG2" vbProcedure="false">#REF!</definedName>
    <definedName function="false" hidden="false" name="__PG3" vbProcedure="false">#REF!</definedName>
    <definedName function="false" hidden="false" name="__PG4" vbProcedure="false">#REF!</definedName>
    <definedName function="false" hidden="false" name="__PG5" vbProcedure="false">#REF!</definedName>
    <definedName function="false" hidden="false" name="__PG6" vbProcedure="false">#REF!</definedName>
    <definedName function="false" hidden="false" name="__PG7" vbProcedure="false">#REF!</definedName>
    <definedName function="false" hidden="false" name="__PG8" vbProcedure="false">#REF!</definedName>
    <definedName function="false" hidden="false" name="__ram2" vbProcedure="false">#REF!</definedName>
    <definedName function="false" hidden="false" name="__SC1" vbProcedure="false">#REF!</definedName>
    <definedName function="false" hidden="false" name="__SC10" vbProcedure="false">#REF!</definedName>
    <definedName function="false" hidden="false" name="__SC11" vbProcedure="false">#REF!</definedName>
    <definedName function="false" hidden="false" name="__SC12" vbProcedure="false">#REF!</definedName>
    <definedName function="false" hidden="false" name="__SC13" vbProcedure="false">#REF!</definedName>
    <definedName function="false" hidden="false" name="__SC15" vbProcedure="false">#REF!</definedName>
    <definedName function="false" hidden="false" name="__SC16" vbProcedure="false">#REF!</definedName>
    <definedName function="false" hidden="false" name="__SC18" vbProcedure="false">#REF!</definedName>
    <definedName function="false" hidden="false" name="__SC2" vbProcedure="false">#REF!</definedName>
    <definedName function="false" hidden="false" name="__SC3" vbProcedure="false">#REF!</definedName>
    <definedName function="false" hidden="false" name="__SC4" vbProcedure="false">#REF!</definedName>
    <definedName function="false" hidden="false" name="__SC5" vbProcedure="false">#REF!</definedName>
    <definedName function="false" hidden="false" name="__SC6" vbProcedure="false">#REF!</definedName>
    <definedName function="false" hidden="false" name="__SC7" vbProcedure="false">#REF!</definedName>
    <definedName function="false" hidden="false" name="__SC8" vbProcedure="false">#REF!</definedName>
    <definedName function="false" hidden="false" name="__SC9" vbProcedure="false">#REF!</definedName>
    <definedName function="false" hidden="false" name="__Sch10" vbProcedure="false">#REF!</definedName>
    <definedName function="false" hidden="false" name="__Sch11" vbProcedure="false">#REF!</definedName>
    <definedName function="false" hidden="false" name="__Sch12" vbProcedure="false">#REF!</definedName>
    <definedName function="false" hidden="false" name="__Sch13" vbProcedure="false">#REF!</definedName>
    <definedName function="false" hidden="false" name="__Sch14" vbProcedure="false">#REF!</definedName>
    <definedName function="false" hidden="false" name="__Sch15" vbProcedure="false">#REF!</definedName>
    <definedName function="false" hidden="false" name="__Sch2" vbProcedure="false">#REF!</definedName>
    <definedName function="false" hidden="false" name="__Sch4" vbProcedure="false">#REF!</definedName>
    <definedName function="false" hidden="false" name="__Sch5" vbProcedure="false">#REF!</definedName>
    <definedName function="false" hidden="false" name="__Sch6" vbProcedure="false">#REF!</definedName>
    <definedName function="false" hidden="false" name="__Sch7" vbProcedure="false">#REF!</definedName>
    <definedName function="false" hidden="false" name="__Sch8" vbProcedure="false">#REF!</definedName>
    <definedName function="false" hidden="false" name="__Sch9" vbProcedure="false">#REF!</definedName>
    <definedName function="false" hidden="false" name="__sep97" vbProcedure="false">#REF!</definedName>
    <definedName function="false" hidden="false" name="__sht1" vbProcedure="false">#REF!</definedName>
    <definedName function="false" hidden="false" name="__tb1" vbProcedure="false">#REF!</definedName>
    <definedName function="false" hidden="false" name="__TB2004" vbProcedure="false">#REF!</definedName>
    <definedName function="false" hidden="false" name="__zx3" vbProcedure="false">#REF!</definedName>
    <definedName function="false" hidden="false" name="__ZZ150" vbProcedure="false">#REF!</definedName>
    <definedName function="false" hidden="false" name="___A65536" vbProcedure="false">#REF!</definedName>
    <definedName function="false" hidden="false" name="___A65537" vbProcedure="false">#REF!</definedName>
    <definedName function="false" hidden="false" name="___a665536" vbProcedure="false">#REF!</definedName>
    <definedName function="false" hidden="false" name="___ACK1" vbProcedure="false">#REF!</definedName>
    <definedName function="false" hidden="false" name="___col1" vbProcedure="false">#REF!</definedName>
    <definedName function="false" hidden="false" name="___col10" vbProcedure="false">#REF!</definedName>
    <definedName function="false" hidden="false" name="___col11" vbProcedure="false">#REF!</definedName>
    <definedName function="false" hidden="false" name="___col12" vbProcedure="false">#REF!</definedName>
    <definedName function="false" hidden="false" name="___col13" vbProcedure="false">#REF!</definedName>
    <definedName function="false" hidden="false" name="___col2" vbProcedure="false">#REF!</definedName>
    <definedName function="false" hidden="false" name="___col3" vbProcedure="false">#REF!</definedName>
    <definedName function="false" hidden="false" name="___col4" vbProcedure="false">#REF!</definedName>
    <definedName function="false" hidden="false" name="___col5" vbProcedure="false">#REF!</definedName>
    <definedName function="false" hidden="false" name="___col6" vbProcedure="false">#REF!</definedName>
    <definedName function="false" hidden="false" name="___col7" vbProcedure="false">#REF!</definedName>
    <definedName function="false" hidden="false" name="___col8" vbProcedure="false">#REF!</definedName>
    <definedName function="false" hidden="false" name="___col9" vbProcedure="false">#REF!</definedName>
    <definedName function="false" hidden="false" name="___DAT1" vbProcedure="false">#REF!</definedName>
    <definedName function="false" hidden="false" name="___DAT10" vbProcedure="false">#REF!</definedName>
    <definedName function="false" hidden="false" name="___DAT11" vbProcedure="false">#REF!</definedName>
    <definedName function="false" hidden="false" name="___DAT12" vbProcedure="false">#REF!</definedName>
    <definedName function="false" hidden="false" name="___DAT13" vbProcedure="false">#REF!</definedName>
    <definedName function="false" hidden="false" name="___DAT14" vbProcedure="false">#REF!</definedName>
    <definedName function="false" hidden="false" name="___DAT15" vbProcedure="false">#REF!</definedName>
    <definedName function="false" hidden="false" name="___DAT16" vbProcedure="false">#REF!</definedName>
    <definedName function="false" hidden="false" name="___DAT17" vbProcedure="false">#REF!</definedName>
    <definedName function="false" hidden="false" name="___DAT18" vbProcedure="false">#REF!</definedName>
    <definedName function="false" hidden="false" name="___DAT19" vbProcedure="false">#REF!</definedName>
    <definedName function="false" hidden="false" name="___DAT2" vbProcedure="false">#REF!</definedName>
    <definedName function="false" hidden="false" name="___DAT20" vbProcedure="false">#REF!</definedName>
    <definedName function="false" hidden="false" name="___DAT21" vbProcedure="false">#REF!</definedName>
    <definedName function="false" hidden="false" name="___DAT22" vbProcedure="false">#REF!</definedName>
    <definedName function="false" hidden="false" name="___DAT23" vbProcedure="false">#REF!</definedName>
    <definedName function="false" hidden="false" name="___DAT24" vbProcedure="false">#REF!</definedName>
    <definedName function="false" hidden="false" name="___DAT25" vbProcedure="false">#REF!</definedName>
    <definedName function="false" hidden="false" name="___DAT26" vbProcedure="false">#REF!</definedName>
    <definedName function="false" hidden="false" name="___DAT27" vbProcedure="false">#REF!</definedName>
    <definedName function="false" hidden="false" name="___DAT28" vbProcedure="false">#REF!</definedName>
    <definedName function="false" hidden="false" name="___DAT29" vbProcedure="false">#REF!</definedName>
    <definedName function="false" hidden="false" name="___DAT3" vbProcedure="false">#REF!</definedName>
    <definedName function="false" hidden="false" name="___DAT30" vbProcedure="false">#REF!</definedName>
    <definedName function="false" hidden="false" name="___DAT31" vbProcedure="false">#REF!</definedName>
    <definedName function="false" hidden="false" name="___DAT32" vbProcedure="false">#REF!</definedName>
    <definedName function="false" hidden="false" name="___DAT33" vbProcedure="false">#REF!</definedName>
    <definedName function="false" hidden="false" name="___DAT34" vbProcedure="false">#REF!</definedName>
    <definedName function="false" hidden="false" name="___DAT35" vbProcedure="false">#REF!</definedName>
    <definedName function="false" hidden="false" name="___DAT36" vbProcedure="false">#REF!</definedName>
    <definedName function="false" hidden="false" name="___DAT37" vbProcedure="false">#REF!</definedName>
    <definedName function="false" hidden="false" name="___DAT38" vbProcedure="false">#REF!</definedName>
    <definedName function="false" hidden="false" name="___DAT39" vbProcedure="false">#REF!</definedName>
    <definedName function="false" hidden="false" name="___DAT4" vbProcedure="false">#REF!</definedName>
    <definedName function="false" hidden="false" name="___DAT40" vbProcedure="false">#REF!</definedName>
    <definedName function="false" hidden="false" name="___DAT41" vbProcedure="false">#REF!</definedName>
    <definedName function="false" hidden="false" name="___DAT42" vbProcedure="false">#REF!</definedName>
    <definedName function="false" hidden="false" name="___DAT43" vbProcedure="false">#REF!</definedName>
    <definedName function="false" hidden="false" name="___DAT44" vbProcedure="false">#REF!</definedName>
    <definedName function="false" hidden="false" name="___DAT45" vbProcedure="false">#REF!</definedName>
    <definedName function="false" hidden="false" name="___DAT46" vbProcedure="false">#REF!</definedName>
    <definedName function="false" hidden="false" name="___DAT47" vbProcedure="false">#REF!</definedName>
    <definedName function="false" hidden="false" name="___DAT48" vbProcedure="false">#REF!</definedName>
    <definedName function="false" hidden="false" name="___DAT49" vbProcedure="false">#REF!</definedName>
    <definedName function="false" hidden="false" name="___DAT5" vbProcedure="false">#REF!</definedName>
    <definedName function="false" hidden="false" name="___DAT50" vbProcedure="false">#REF!</definedName>
    <definedName function="false" hidden="false" name="___DAT51" vbProcedure="false">#REF!</definedName>
    <definedName function="false" hidden="false" name="___DAT52" vbProcedure="false">#REF!</definedName>
    <definedName function="false" hidden="false" name="___DAT53" vbProcedure="false">#REF!</definedName>
    <definedName function="false" hidden="false" name="___DAT54" vbProcedure="false">#REF!</definedName>
    <definedName function="false" hidden="false" name="___DAT55" vbProcedure="false">#REF!</definedName>
    <definedName function="false" hidden="false" name="___DAT56" vbProcedure="false">#REF!</definedName>
    <definedName function="false" hidden="false" name="___DAT57" vbProcedure="false">#REF!</definedName>
    <definedName function="false" hidden="false" name="___DAT58" vbProcedure="false">#REF!</definedName>
    <definedName function="false" hidden="false" name="___DAT59" vbProcedure="false">#REF!</definedName>
    <definedName function="false" hidden="false" name="___DAT6" vbProcedure="false">#REF!</definedName>
    <definedName function="false" hidden="false" name="___DAT60" vbProcedure="false">#REF!</definedName>
    <definedName function="false" hidden="false" name="___DAT61" vbProcedure="false">#REF!</definedName>
    <definedName function="false" hidden="false" name="___DAT62" vbProcedure="false">#REF!</definedName>
    <definedName function="false" hidden="false" name="___DAT63" vbProcedure="false">#REF!</definedName>
    <definedName function="false" hidden="false" name="___DAT64" vbProcedure="false">#REF!</definedName>
    <definedName function="false" hidden="false" name="___DAT65" vbProcedure="false">#REF!</definedName>
    <definedName function="false" hidden="false" name="___DAT66" vbProcedure="false">#REF!</definedName>
    <definedName function="false" hidden="false" name="___DAT67" vbProcedure="false">#REF!</definedName>
    <definedName function="false" hidden="false" name="___DAT68" vbProcedure="false">#REF!</definedName>
    <definedName function="false" hidden="false" name="___DAT69" vbProcedure="false">#REF!</definedName>
    <definedName function="false" hidden="false" name="___DAT7" vbProcedure="false">#REF!</definedName>
    <definedName function="false" hidden="false" name="___DAT70" vbProcedure="false">#REF!</definedName>
    <definedName function="false" hidden="false" name="___DAT71" vbProcedure="false">#REF!</definedName>
    <definedName function="false" hidden="false" name="___DAT8" vbProcedure="false">#REF!</definedName>
    <definedName function="false" hidden="false" name="___DAT9" vbProcedure="false">#REF!</definedName>
    <definedName function="false" hidden="false" name="___FS1" vbProcedure="false">#REF!</definedName>
    <definedName function="false" hidden="false" name="___INDEX_SHEET___ASAP_Utilities" vbProcedure="false">#REF!</definedName>
    <definedName function="false" hidden="false" name="___ma67" vbProcedure="false">#REF!</definedName>
    <definedName function="false" hidden="false" name="___ma71" vbProcedure="false">#REF!</definedName>
    <definedName function="false" hidden="false" name="___ma74" vbProcedure="false">#REF!</definedName>
    <definedName function="false" hidden="false" name="___MAR9091" vbProcedure="false">#REF!</definedName>
    <definedName function="false" hidden="false" name="___MKT1" vbProcedure="false">#REF!</definedName>
    <definedName function="false" hidden="false" name="___MKT10" vbProcedure="false">#REF!</definedName>
    <definedName function="false" hidden="false" name="___MKT11" vbProcedure="false">#REF!</definedName>
    <definedName function="false" hidden="false" name="___MKT2" vbProcedure="false">#REF!</definedName>
    <definedName function="false" hidden="false" name="___MKT3" vbProcedure="false">#REF!</definedName>
    <definedName function="false" hidden="false" name="___MKT4" vbProcedure="false">#REF!</definedName>
    <definedName function="false" hidden="false" name="___MKT5" vbProcedure="false">#REF!</definedName>
    <definedName function="false" hidden="false" name="___MKT6" vbProcedure="false">#REF!</definedName>
    <definedName function="false" hidden="false" name="___MKT7" vbProcedure="false">#REF!</definedName>
    <definedName function="false" hidden="false" name="___MKT8" vbProcedure="false">#REF!</definedName>
    <definedName function="false" hidden="false" name="___MKT9" vbProcedure="false">#REF!</definedName>
    <definedName function="false" hidden="false" name="___mmm10" vbProcedure="false">#REF!</definedName>
    <definedName function="false" hidden="false" name="___New1" vbProcedure="false">#REF!</definedName>
    <definedName function="false" hidden="false" name="___OP1" vbProcedure="false">#REF!</definedName>
    <definedName function="false" hidden="false" name="___OP2" vbProcedure="false">#REF!</definedName>
    <definedName function="false" hidden="false" name="___OP3" vbProcedure="false">#REF!</definedName>
    <definedName function="false" hidden="false" name="___OP4" vbProcedure="false">#REF!</definedName>
    <definedName function="false" hidden="false" name="___P1" vbProcedure="false">#REF!</definedName>
    <definedName function="false" hidden="false" name="___Pg1" vbProcedure="false">#REF!</definedName>
    <definedName function="false" hidden="false" name="___PG2" vbProcedure="false">#REF!</definedName>
    <definedName function="false" hidden="false" name="___PG3" vbProcedure="false">#REF!</definedName>
    <definedName function="false" hidden="false" name="___PG4" vbProcedure="false">#REF!</definedName>
    <definedName function="false" hidden="false" name="___PG5" vbProcedure="false">#REF!</definedName>
    <definedName function="false" hidden="false" name="___PG6" vbProcedure="false">#REF!</definedName>
    <definedName function="false" hidden="false" name="___PG7" vbProcedure="false">#REF!</definedName>
    <definedName function="false" hidden="false" name="___ram2" vbProcedure="false">#REF!</definedName>
    <definedName function="false" hidden="false" name="___sep97" vbProcedure="false">#REF!</definedName>
    <definedName function="false" hidden="false" name="___tb1" vbProcedure="false">#REF!</definedName>
    <definedName function="false" hidden="false" name="___zx3" vbProcedure="false">#REF!</definedName>
    <definedName function="false" hidden="false" name="___ZZ150" vbProcedure="false">#REF!</definedName>
    <definedName function="false" hidden="false" name="____A65536" vbProcedure="false">#REF!</definedName>
    <definedName function="false" hidden="false" name="____A65537" vbProcedure="false">#REF!</definedName>
    <definedName function="false" hidden="false" name="____a665536" vbProcedure="false">#REF!</definedName>
    <definedName function="false" hidden="false" name="____col1" vbProcedure="false">#REF!</definedName>
    <definedName function="false" hidden="false" name="____col10" vbProcedure="false">#REF!</definedName>
    <definedName function="false" hidden="false" name="____col11" vbProcedure="false">#REF!</definedName>
    <definedName function="false" hidden="false" name="____col12" vbProcedure="false">#REF!</definedName>
    <definedName function="false" hidden="false" name="____col13" vbProcedure="false">#REF!</definedName>
    <definedName function="false" hidden="false" name="____col2" vbProcedure="false">#REF!</definedName>
    <definedName function="false" hidden="false" name="____col3" vbProcedure="false">#REF!</definedName>
    <definedName function="false" hidden="false" name="____col4" vbProcedure="false">#REF!</definedName>
    <definedName function="false" hidden="false" name="____col5" vbProcedure="false">#REF!</definedName>
    <definedName function="false" hidden="false" name="____col6" vbProcedure="false">#REF!</definedName>
    <definedName function="false" hidden="false" name="____col7" vbProcedure="false">#REF!</definedName>
    <definedName function="false" hidden="false" name="____col8" vbProcedure="false">#REF!</definedName>
    <definedName function="false" hidden="false" name="____col9" vbProcedure="false">#REF!</definedName>
    <definedName function="false" hidden="false" name="____DAT1" vbProcedure="false">#REF!</definedName>
    <definedName function="false" hidden="false" name="____DAT10" vbProcedure="false">#REF!</definedName>
    <definedName function="false" hidden="false" name="____DAT11" vbProcedure="false">#REF!</definedName>
    <definedName function="false" hidden="false" name="____DAT12" vbProcedure="false">#REF!</definedName>
    <definedName function="false" hidden="false" name="____DAT13" vbProcedure="false">#REF!</definedName>
    <definedName function="false" hidden="false" name="____DAT14" vbProcedure="false">#REF!</definedName>
    <definedName function="false" hidden="false" name="____DAT15" vbProcedure="false">#REF!</definedName>
    <definedName function="false" hidden="false" name="____DAT2" vbProcedure="false">#REF!</definedName>
    <definedName function="false" hidden="false" name="____DAT3" vbProcedure="false">#REF!</definedName>
    <definedName function="false" hidden="false" name="____DAT4" vbProcedure="false">#REF!</definedName>
    <definedName function="false" hidden="false" name="____DAT5" vbProcedure="false">#REF!</definedName>
    <definedName function="false" hidden="false" name="____DAT6" vbProcedure="false">#REF!</definedName>
    <definedName function="false" hidden="false" name="____DAT7" vbProcedure="false">#REF!</definedName>
    <definedName function="false" hidden="false" name="____DAT8" vbProcedure="false">#REF!</definedName>
    <definedName function="false" hidden="false" name="____DAT9" vbProcedure="false">#REF!</definedName>
    <definedName function="false" hidden="false" name="____ma67" vbProcedure="false">#REF!</definedName>
    <definedName function="false" hidden="false" name="____ma71" vbProcedure="false">#REF!</definedName>
    <definedName function="false" hidden="false" name="____ma74" vbProcedure="false">#REF!</definedName>
    <definedName function="false" hidden="false" name="____MAR9091" vbProcedure="false">#REF!</definedName>
    <definedName function="false" hidden="false" name="____MKT1" vbProcedure="false">#REF!</definedName>
    <definedName function="false" hidden="false" name="____MKT10" vbProcedure="false">#REF!</definedName>
    <definedName function="false" hidden="false" name="____MKT11" vbProcedure="false">#REF!</definedName>
    <definedName function="false" hidden="false" name="____MKT2" vbProcedure="false">#REF!</definedName>
    <definedName function="false" hidden="false" name="____MKT3" vbProcedure="false">#REF!</definedName>
    <definedName function="false" hidden="false" name="____MKT4" vbProcedure="false">#REF!</definedName>
    <definedName function="false" hidden="false" name="____MKT5" vbProcedure="false">#REF!</definedName>
    <definedName function="false" hidden="false" name="____MKT6" vbProcedure="false">#REF!</definedName>
    <definedName function="false" hidden="false" name="____MKT7" vbProcedure="false">#REF!</definedName>
    <definedName function="false" hidden="false" name="____MKT8" vbProcedure="false">#REF!</definedName>
    <definedName function="false" hidden="false" name="____MKT9" vbProcedure="false">#REF!</definedName>
    <definedName function="false" hidden="false" name="____mmm10" vbProcedure="false">#REF!</definedName>
    <definedName function="false" hidden="false" name="____New1" vbProcedure="false">#REF!</definedName>
    <definedName function="false" hidden="false" name="____ram2" vbProcedure="false">#REF!</definedName>
    <definedName function="false" hidden="false" name="____sep97" vbProcedure="false">#REF!</definedName>
    <definedName function="false" hidden="false" name="____zx3" vbProcedure="false">#REF!</definedName>
    <definedName function="false" hidden="false" name="____ZZ150" vbProcedure="false">#REF!</definedName>
    <definedName function="false" hidden="false" name="_____A65536" vbProcedure="false">#REF!</definedName>
    <definedName function="false" hidden="false" name="_____A65537" vbProcedure="false">#REF!</definedName>
    <definedName function="false" hidden="false" name="_____a665536" vbProcedure="false">#REF!</definedName>
    <definedName function="false" hidden="false" name="_____col1" vbProcedure="false">#REF!</definedName>
    <definedName function="false" hidden="false" name="_____col10" vbProcedure="false">#REF!</definedName>
    <definedName function="false" hidden="false" name="_____col11" vbProcedure="false">#REF!</definedName>
    <definedName function="false" hidden="false" name="_____col12" vbProcedure="false">#REF!</definedName>
    <definedName function="false" hidden="false" name="_____col13" vbProcedure="false">#REF!</definedName>
    <definedName function="false" hidden="false" name="_____col2" vbProcedure="false">#REF!</definedName>
    <definedName function="false" hidden="false" name="_____col3" vbProcedure="false">#REF!</definedName>
    <definedName function="false" hidden="false" name="_____col4" vbProcedure="false">#REF!</definedName>
    <definedName function="false" hidden="false" name="_____col5" vbProcedure="false">#REF!</definedName>
    <definedName function="false" hidden="false" name="_____col6" vbProcedure="false">#REF!</definedName>
    <definedName function="false" hidden="false" name="_____col7" vbProcedure="false">#REF!</definedName>
    <definedName function="false" hidden="false" name="_____col8" vbProcedure="false">#REF!</definedName>
    <definedName function="false" hidden="false" name="_____col9" vbProcedure="false">#REF!</definedName>
    <definedName function="false" hidden="false" name="_____DAT1" vbProcedure="false">#REF!</definedName>
    <definedName function="false" hidden="false" name="_____DAT10" vbProcedure="false">#REF!</definedName>
    <definedName function="false" hidden="false" name="_____DAT11" vbProcedure="false">#REF!</definedName>
    <definedName function="false" hidden="false" name="_____DAT12" vbProcedure="false">#REF!</definedName>
    <definedName function="false" hidden="false" name="_____DAT13" vbProcedure="false">#REF!</definedName>
    <definedName function="false" hidden="false" name="_____DAT14" vbProcedure="false">#REF!</definedName>
    <definedName function="false" hidden="false" name="_____DAT15" vbProcedure="false">#REF!</definedName>
    <definedName function="false" hidden="false" name="_____DAT2" vbProcedure="false">#REF!</definedName>
    <definedName function="false" hidden="false" name="_____DAT3" vbProcedure="false">#REF!</definedName>
    <definedName function="false" hidden="false" name="_____DAT4" vbProcedure="false">#REF!</definedName>
    <definedName function="false" hidden="false" name="_____DAT5" vbProcedure="false">#REF!</definedName>
    <definedName function="false" hidden="false" name="_____DAT6" vbProcedure="false">#REF!</definedName>
    <definedName function="false" hidden="false" name="_____DAT7" vbProcedure="false">#REF!</definedName>
    <definedName function="false" hidden="false" name="_____DAT8" vbProcedure="false">#REF!</definedName>
    <definedName function="false" hidden="false" name="_____DAT9" vbProcedure="false">#REF!</definedName>
    <definedName function="false" hidden="false" name="_____ma67" vbProcedure="false">#REF!</definedName>
    <definedName function="false" hidden="false" name="_____ma71" vbProcedure="false">#REF!</definedName>
    <definedName function="false" hidden="false" name="_____ma74" vbProcedure="false">#REF!</definedName>
    <definedName function="false" hidden="false" name="_____MAR9091" vbProcedure="false">#REF!</definedName>
    <definedName function="false" hidden="false" name="_____MKT1" vbProcedure="false">#REF!</definedName>
    <definedName function="false" hidden="false" name="_____MKT10" vbProcedure="false">#REF!</definedName>
    <definedName function="false" hidden="false" name="_____MKT11" vbProcedure="false">#REF!</definedName>
    <definedName function="false" hidden="false" name="_____MKT2" vbProcedure="false">#REF!</definedName>
    <definedName function="false" hidden="false" name="_____MKT3" vbProcedure="false">#REF!</definedName>
    <definedName function="false" hidden="false" name="_____MKT4" vbProcedure="false">#REF!</definedName>
    <definedName function="false" hidden="false" name="_____MKT5" vbProcedure="false">#REF!</definedName>
    <definedName function="false" hidden="false" name="_____MKT6" vbProcedure="false">#REF!</definedName>
    <definedName function="false" hidden="false" name="_____MKT7" vbProcedure="false">#REF!</definedName>
    <definedName function="false" hidden="false" name="_____MKT8" vbProcedure="false">#REF!</definedName>
    <definedName function="false" hidden="false" name="_____MKT9" vbProcedure="false">#REF!</definedName>
    <definedName function="false" hidden="false" name="_____mmm10" vbProcedure="false">#REF!</definedName>
    <definedName function="false" hidden="false" name="_____New1" vbProcedure="false">#REF!</definedName>
    <definedName function="false" hidden="false" name="_____ram2" vbProcedure="false">#REF!</definedName>
    <definedName function="false" hidden="false" name="_____sep97" vbProcedure="false">#REF!</definedName>
    <definedName function="false" hidden="false" name="_____zx3" vbProcedure="false">#REF!</definedName>
    <definedName function="false" hidden="false" name="_____ZZ150" vbProcedure="false">#REF!</definedName>
    <definedName function="false" hidden="false" name="______A65536" vbProcedure="false">#REF!</definedName>
    <definedName function="false" hidden="false" name="______A65537" vbProcedure="false">#REF!</definedName>
    <definedName function="false" hidden="false" name="______a665536" vbProcedure="false">#REF!</definedName>
    <definedName function="false" hidden="false" name="______col1" vbProcedure="false">#REF!</definedName>
    <definedName function="false" hidden="false" name="______col10" vbProcedure="false">#REF!</definedName>
    <definedName function="false" hidden="false" name="______col11" vbProcedure="false">#REF!</definedName>
    <definedName function="false" hidden="false" name="______col12" vbProcedure="false">#REF!</definedName>
    <definedName function="false" hidden="false" name="______col13" vbProcedure="false">#REF!</definedName>
    <definedName function="false" hidden="false" name="______col2" vbProcedure="false">#REF!</definedName>
    <definedName function="false" hidden="false" name="______col3" vbProcedure="false">#REF!</definedName>
    <definedName function="false" hidden="false" name="______col4" vbProcedure="false">#REF!</definedName>
    <definedName function="false" hidden="false" name="______col5" vbProcedure="false">#REF!</definedName>
    <definedName function="false" hidden="false" name="______col6" vbProcedure="false">#REF!</definedName>
    <definedName function="false" hidden="false" name="______col7" vbProcedure="false">#REF!</definedName>
    <definedName function="false" hidden="false" name="______col8" vbProcedure="false">#REF!</definedName>
    <definedName function="false" hidden="false" name="______col9" vbProcedure="false">#REF!</definedName>
    <definedName function="false" hidden="false" name="______DAT4" vbProcedure="false">#REF!</definedName>
    <definedName function="false" hidden="false" name="______MAR9091" vbProcedure="false">#REF!</definedName>
    <definedName function="false" hidden="false" name="______MKT1" vbProcedure="false">#REF!</definedName>
    <definedName function="false" hidden="false" name="______MKT10" vbProcedure="false">#REF!</definedName>
    <definedName function="false" hidden="false" name="______MKT11" vbProcedure="false">#REF!</definedName>
    <definedName function="false" hidden="false" name="______MKT2" vbProcedure="false">#REF!</definedName>
    <definedName function="false" hidden="false" name="______MKT3" vbProcedure="false">#REF!</definedName>
    <definedName function="false" hidden="false" name="______MKT4" vbProcedure="false">#REF!</definedName>
    <definedName function="false" hidden="false" name="______MKT5" vbProcedure="false">#REF!</definedName>
    <definedName function="false" hidden="false" name="______MKT6" vbProcedure="false">#REF!</definedName>
    <definedName function="false" hidden="false" name="______MKT7" vbProcedure="false">#REF!</definedName>
    <definedName function="false" hidden="false" name="______MKT8" vbProcedure="false">#REF!</definedName>
    <definedName function="false" hidden="false" name="______MKT9" vbProcedure="false">#REF!</definedName>
    <definedName function="false" hidden="false" name="______mmm10" vbProcedure="false">#REF!</definedName>
    <definedName function="false" hidden="false" name="______New1" vbProcedure="false">#REF!</definedName>
    <definedName function="false" hidden="false" name="______ram2" vbProcedure="false">#REF!</definedName>
    <definedName function="false" hidden="false" name="______sep97" vbProcedure="false">#REF!</definedName>
    <definedName function="false" hidden="false" name="_______A65536" vbProcedure="false">#REF!</definedName>
    <definedName function="false" hidden="false" name="_______A65537" vbProcedure="false">#REF!</definedName>
    <definedName function="false" hidden="false" name="_______a665536" vbProcedure="false">#REF!</definedName>
    <definedName function="false" hidden="false" name="_______col1" vbProcedure="false">#REF!</definedName>
    <definedName function="false" hidden="false" name="_______col10" vbProcedure="false">#REF!</definedName>
    <definedName function="false" hidden="false" name="_______col11" vbProcedure="false">#REF!</definedName>
    <definedName function="false" hidden="false" name="_______col12" vbProcedure="false">#REF!</definedName>
    <definedName function="false" hidden="false" name="_______col13" vbProcedure="false">#REF!</definedName>
    <definedName function="false" hidden="false" name="_______col2" vbProcedure="false">#REF!</definedName>
    <definedName function="false" hidden="false" name="_______col3" vbProcedure="false">#REF!</definedName>
    <definedName function="false" hidden="false" name="_______col4" vbProcedure="false">#REF!</definedName>
    <definedName function="false" hidden="false" name="_______col5" vbProcedure="false">#REF!</definedName>
    <definedName function="false" hidden="false" name="_______col6" vbProcedure="false">#REF!</definedName>
    <definedName function="false" hidden="false" name="_______col7" vbProcedure="false">#REF!</definedName>
    <definedName function="false" hidden="false" name="_______col8" vbProcedure="false">#REF!</definedName>
    <definedName function="false" hidden="false" name="_______col9" vbProcedure="false">#REF!</definedName>
    <definedName function="false" hidden="false" name="_______MAR9091" vbProcedure="false">#REF!</definedName>
    <definedName function="false" hidden="false" name="_______MKT1" vbProcedure="false">#REF!</definedName>
    <definedName function="false" hidden="false" name="_______MKT10" vbProcedure="false">#REF!</definedName>
    <definedName function="false" hidden="false" name="_______MKT11" vbProcedure="false">#REF!</definedName>
    <definedName function="false" hidden="false" name="_______MKT2" vbProcedure="false">#REF!</definedName>
    <definedName function="false" hidden="false" name="_______MKT3" vbProcedure="false">#REF!</definedName>
    <definedName function="false" hidden="false" name="_______MKT4" vbProcedure="false">#REF!</definedName>
    <definedName function="false" hidden="false" name="_______MKT5" vbProcedure="false">#REF!</definedName>
    <definedName function="false" hidden="false" name="_______MKT6" vbProcedure="false">#REF!</definedName>
    <definedName function="false" hidden="false" name="_______MKT7" vbProcedure="false">#REF!</definedName>
    <definedName function="false" hidden="false" name="_______MKT8" vbProcedure="false">#REF!</definedName>
    <definedName function="false" hidden="false" name="_______MKT9" vbProcedure="false">#REF!</definedName>
    <definedName function="false" hidden="false" name="_______mmm10" vbProcedure="false">#REF!</definedName>
    <definedName function="false" hidden="false" name="_______New1" vbProcedure="false">#REF!</definedName>
    <definedName function="false" hidden="false" name="_______ram2" vbProcedure="false">#REF!</definedName>
    <definedName function="false" hidden="false" name="_______sep97" vbProcedure="false">#REF!</definedName>
    <definedName function="false" hidden="false" name="________A65536" vbProcedure="false">#REF!</definedName>
    <definedName function="false" hidden="false" name="________A65537" vbProcedure="false">#REF!</definedName>
    <definedName function="false" hidden="false" name="________a665536" vbProcedure="false">#REF!</definedName>
    <definedName function="false" hidden="false" name="________col1" vbProcedure="false">#REF!</definedName>
    <definedName function="false" hidden="false" name="________col10" vbProcedure="false">#REF!</definedName>
    <definedName function="false" hidden="false" name="________col11" vbProcedure="false">#REF!</definedName>
    <definedName function="false" hidden="false" name="________col12" vbProcedure="false">#REF!</definedName>
    <definedName function="false" hidden="false" name="________col13" vbProcedure="false">#REF!</definedName>
    <definedName function="false" hidden="false" name="________col2" vbProcedure="false">#REF!</definedName>
    <definedName function="false" hidden="false" name="________col3" vbProcedure="false">#REF!</definedName>
    <definedName function="false" hidden="false" name="________col4" vbProcedure="false">#REF!</definedName>
    <definedName function="false" hidden="false" name="________col5" vbProcedure="false">#REF!</definedName>
    <definedName function="false" hidden="false" name="________col6" vbProcedure="false">#REF!</definedName>
    <definedName function="false" hidden="false" name="________col7" vbProcedure="false">#REF!</definedName>
    <definedName function="false" hidden="false" name="________col8" vbProcedure="false">#REF!</definedName>
    <definedName function="false" hidden="false" name="________col9" vbProcedure="false">#REF!</definedName>
    <definedName function="false" hidden="false" name="________MAR9091" vbProcedure="false">#REF!</definedName>
    <definedName function="false" hidden="false" name="________MKT1" vbProcedure="false">#REF!</definedName>
    <definedName function="false" hidden="false" name="________MKT10" vbProcedure="false">#REF!</definedName>
    <definedName function="false" hidden="false" name="________MKT11" vbProcedure="false">#REF!</definedName>
    <definedName function="false" hidden="false" name="________MKT2" vbProcedure="false">#REF!</definedName>
    <definedName function="false" hidden="false" name="________MKT3" vbProcedure="false">#REF!</definedName>
    <definedName function="false" hidden="false" name="________MKT4" vbProcedure="false">#REF!</definedName>
    <definedName function="false" hidden="false" name="________MKT5" vbProcedure="false">#REF!</definedName>
    <definedName function="false" hidden="false" name="________MKT6" vbProcedure="false">#REF!</definedName>
    <definedName function="false" hidden="false" name="________MKT7" vbProcedure="false">#REF!</definedName>
    <definedName function="false" hidden="false" name="________MKT8" vbProcedure="false">#REF!</definedName>
    <definedName function="false" hidden="false" name="________MKT9" vbProcedure="false">#REF!</definedName>
    <definedName function="false" hidden="false" name="________mmm10" vbProcedure="false">#REF!</definedName>
    <definedName function="false" hidden="false" name="________New1" vbProcedure="false">#REF!</definedName>
    <definedName function="false" hidden="false" name="________ram2" vbProcedure="false">#REF!</definedName>
    <definedName function="false" hidden="false" name="________sep97" vbProcedure="false">#REF!</definedName>
    <definedName function="false" hidden="false" name="_________A65536" vbProcedure="false">#REF!</definedName>
    <definedName function="false" hidden="false" name="_________A65537" vbProcedure="false">#REF!</definedName>
    <definedName function="false" hidden="false" name="_________a665536" vbProcedure="false">#REF!</definedName>
    <definedName function="false" hidden="false" name="_________col1" vbProcedure="false">#REF!</definedName>
    <definedName function="false" hidden="false" name="_________col10" vbProcedure="false">#REF!</definedName>
    <definedName function="false" hidden="false" name="_________col11" vbProcedure="false">#REF!</definedName>
    <definedName function="false" hidden="false" name="_________col12" vbProcedure="false">#REF!</definedName>
    <definedName function="false" hidden="false" name="_________col13" vbProcedure="false">#REF!</definedName>
    <definedName function="false" hidden="false" name="_________col2" vbProcedure="false">#REF!</definedName>
    <definedName function="false" hidden="false" name="_________col3" vbProcedure="false">#REF!</definedName>
    <definedName function="false" hidden="false" name="_________col4" vbProcedure="false">#REF!</definedName>
    <definedName function="false" hidden="false" name="_________col5" vbProcedure="false">#REF!</definedName>
    <definedName function="false" hidden="false" name="_________col6" vbProcedure="false">#REF!</definedName>
    <definedName function="false" hidden="false" name="_________col7" vbProcedure="false">#REF!</definedName>
    <definedName function="false" hidden="false" name="_________col8" vbProcedure="false">#REF!</definedName>
    <definedName function="false" hidden="false" name="_________col9" vbProcedure="false">#REF!</definedName>
    <definedName function="false" hidden="false" name="_________MAR9091" vbProcedure="false">#REF!</definedName>
    <definedName function="false" hidden="false" name="_________MKT1" vbProcedure="false">#REF!</definedName>
    <definedName function="false" hidden="false" name="_________MKT10" vbProcedure="false">#REF!</definedName>
    <definedName function="false" hidden="false" name="_________MKT11" vbProcedure="false">#REF!</definedName>
    <definedName function="false" hidden="false" name="_________MKT2" vbProcedure="false">#REF!</definedName>
    <definedName function="false" hidden="false" name="_________MKT3" vbProcedure="false">#REF!</definedName>
    <definedName function="false" hidden="false" name="_________MKT4" vbProcedure="false">#REF!</definedName>
    <definedName function="false" hidden="false" name="_________MKT5" vbProcedure="false">#REF!</definedName>
    <definedName function="false" hidden="false" name="_________MKT6" vbProcedure="false">#REF!</definedName>
    <definedName function="false" hidden="false" name="_________MKT7" vbProcedure="false">#REF!</definedName>
    <definedName function="false" hidden="false" name="_________MKT8" vbProcedure="false">#REF!</definedName>
    <definedName function="false" hidden="false" name="_________MKT9" vbProcedure="false">#REF!</definedName>
    <definedName function="false" hidden="false" name="_________mmm10" vbProcedure="false">#REF!</definedName>
    <definedName function="false" hidden="false" name="_________New1" vbProcedure="false">#REF!</definedName>
    <definedName function="false" hidden="false" name="_________ram2" vbProcedure="false">#REF!</definedName>
    <definedName function="false" hidden="false" name="_________sep97" vbProcedure="false">#REF!</definedName>
    <definedName function="false" hidden="false" name="__________A65536" vbProcedure="false">#REF!</definedName>
    <definedName function="false" hidden="false" name="__________A65537" vbProcedure="false">#REF!</definedName>
    <definedName function="false" hidden="false" name="__________a665536" vbProcedure="false">#REF!</definedName>
    <definedName function="false" hidden="false" name="__________col1" vbProcedure="false">#REF!</definedName>
    <definedName function="false" hidden="false" name="__________col10" vbProcedure="false">#REF!</definedName>
    <definedName function="false" hidden="false" name="__________col11" vbProcedure="false">#REF!</definedName>
    <definedName function="false" hidden="false" name="__________col12" vbProcedure="false">#REF!</definedName>
    <definedName function="false" hidden="false" name="__________col13" vbProcedure="false">#REF!</definedName>
    <definedName function="false" hidden="false" name="__________col2" vbProcedure="false">#REF!</definedName>
    <definedName function="false" hidden="false" name="__________col3" vbProcedure="false">#REF!</definedName>
    <definedName function="false" hidden="false" name="__________col4" vbProcedure="false">#REF!</definedName>
    <definedName function="false" hidden="false" name="__________col5" vbProcedure="false">#REF!</definedName>
    <definedName function="false" hidden="false" name="__________col6" vbProcedure="false">#REF!</definedName>
    <definedName function="false" hidden="false" name="__________col7" vbProcedure="false">#REF!</definedName>
    <definedName function="false" hidden="false" name="__________col8" vbProcedure="false">#REF!</definedName>
    <definedName function="false" hidden="false" name="__________col9" vbProcedure="false">#REF!</definedName>
    <definedName function="false" hidden="false" name="__________MAR9091" vbProcedure="false">#REF!</definedName>
    <definedName function="false" hidden="false" name="__________MKT1" vbProcedure="false">#REF!</definedName>
    <definedName function="false" hidden="false" name="__________MKT10" vbProcedure="false">#REF!</definedName>
    <definedName function="false" hidden="false" name="__________MKT11" vbProcedure="false">#REF!</definedName>
    <definedName function="false" hidden="false" name="__________MKT2" vbProcedure="false">#REF!</definedName>
    <definedName function="false" hidden="false" name="__________MKT3" vbProcedure="false">#REF!</definedName>
    <definedName function="false" hidden="false" name="__________MKT4" vbProcedure="false">#REF!</definedName>
    <definedName function="false" hidden="false" name="__________MKT5" vbProcedure="false">#REF!</definedName>
    <definedName function="false" hidden="false" name="__________MKT6" vbProcedure="false">#REF!</definedName>
    <definedName function="false" hidden="false" name="__________MKT7" vbProcedure="false">#REF!</definedName>
    <definedName function="false" hidden="false" name="__________MKT8" vbProcedure="false">#REF!</definedName>
    <definedName function="false" hidden="false" name="__________MKT9" vbProcedure="false">#REF!</definedName>
    <definedName function="false" hidden="false" name="__________mmm10" vbProcedure="false">#REF!</definedName>
    <definedName function="false" hidden="false" name="__________New1" vbProcedure="false">#REF!</definedName>
    <definedName function="false" hidden="false" name="__________ram2" vbProcedure="false">#REF!</definedName>
    <definedName function="false" hidden="false" name="__________sep97" vbProcedure="false">#REF!</definedName>
    <definedName function="false" hidden="false" name="___________A65536" vbProcedure="false">#REF!</definedName>
    <definedName function="false" hidden="false" name="___________A65537" vbProcedure="false">#REF!</definedName>
    <definedName function="false" hidden="false" name="___________a665536" vbProcedure="false">#REF!</definedName>
    <definedName function="false" hidden="false" name="___________col1" vbProcedure="false">#REF!</definedName>
    <definedName function="false" hidden="false" name="___________col10" vbProcedure="false">#REF!</definedName>
    <definedName function="false" hidden="false" name="___________col11" vbProcedure="false">#REF!</definedName>
    <definedName function="false" hidden="false" name="___________col12" vbProcedure="false">#REF!</definedName>
    <definedName function="false" hidden="false" name="___________col13" vbProcedure="false">#REF!</definedName>
    <definedName function="false" hidden="false" name="___________col2" vbProcedure="false">#REF!</definedName>
    <definedName function="false" hidden="false" name="___________col3" vbProcedure="false">#REF!</definedName>
    <definedName function="false" hidden="false" name="___________col4" vbProcedure="false">#REF!</definedName>
    <definedName function="false" hidden="false" name="___________col5" vbProcedure="false">#REF!</definedName>
    <definedName function="false" hidden="false" name="___________col6" vbProcedure="false">#REF!</definedName>
    <definedName function="false" hidden="false" name="___________col7" vbProcedure="false">#REF!</definedName>
    <definedName function="false" hidden="false" name="___________col8" vbProcedure="false">#REF!</definedName>
    <definedName function="false" hidden="false" name="___________col9" vbProcedure="false">#REF!</definedName>
    <definedName function="false" hidden="false" name="___________MAR9091" vbProcedure="false">#REF!</definedName>
    <definedName function="false" hidden="false" name="___________MKT1" vbProcedure="false">#REF!</definedName>
    <definedName function="false" hidden="false" name="___________MKT10" vbProcedure="false">#REF!</definedName>
    <definedName function="false" hidden="false" name="___________MKT11" vbProcedure="false">#REF!</definedName>
    <definedName function="false" hidden="false" name="___________MKT2" vbProcedure="false">#REF!</definedName>
    <definedName function="false" hidden="false" name="___________MKT3" vbProcedure="false">#REF!</definedName>
    <definedName function="false" hidden="false" name="___________MKT4" vbProcedure="false">#REF!</definedName>
    <definedName function="false" hidden="false" name="___________MKT5" vbProcedure="false">#REF!</definedName>
    <definedName function="false" hidden="false" name="___________MKT6" vbProcedure="false">#REF!</definedName>
    <definedName function="false" hidden="false" name="___________MKT7" vbProcedure="false">#REF!</definedName>
    <definedName function="false" hidden="false" name="___________MKT8" vbProcedure="false">#REF!</definedName>
    <definedName function="false" hidden="false" name="___________MKT9" vbProcedure="false">#REF!</definedName>
    <definedName function="false" hidden="false" name="___________mmm10" vbProcedure="false">#REF!</definedName>
    <definedName function="false" hidden="false" name="___________New1" vbProcedure="false">#REF!</definedName>
    <definedName function="false" hidden="false" name="___________ram2" vbProcedure="false">#REF!</definedName>
    <definedName function="false" hidden="false" name="___________sep97" vbProcedure="false">#REF!</definedName>
    <definedName function="false" hidden="false" name="____________ram2" vbProcedure="false">#REF!</definedName>
    <definedName function="false" hidden="false" name="_____________ram2" vbProcedure="false">#REF!</definedName>
    <definedName function="false" hidden="false" name="______________ram2" vbProcedure="false">#REF!</definedName>
    <definedName function="false" hidden="false" name="_______________ram2" vbProcedure="false">#REF!</definedName>
    <definedName function="false" hidden="false" name="________________ram2" vbProcedure="false">#REF!</definedName>
    <definedName function="false" hidden="false" name="_________________ram2" vbProcedure="false">#REF!</definedName>
    <definedName function="false" hidden="false" name="__________________ram2" vbProcedure="false">#REF!</definedName>
    <definedName function="false" hidden="false" name="___________________ram2" vbProcedure="false">#REF!</definedName>
    <definedName function="false" hidden="false" name="____________________ram2" vbProcedure="false">#REF!</definedName>
    <definedName function="false" hidden="false" name="_____________________ram2" vbProcedure="false">#REF!</definedName>
    <definedName function="false" hidden="false" name="______________________ram2" vbProcedure="false">#REF!</definedName>
    <definedName function="false" hidden="false" name="_______________________ram2" vbProcedure="false">#REF!</definedName>
    <definedName function="false" hidden="false" localSheetId="0" name="adv" vbProcedure="false">#REF!</definedName>
    <definedName function="false" hidden="false" localSheetId="0" name="advancetax" vbProcedure="false">#REF!</definedName>
    <definedName function="false" hidden="false" localSheetId="0" name="aefdays" vbProcedure="false">#REF!</definedName>
    <definedName function="false" hidden="false" localSheetId="0" name="Date_of_expense" vbProcedure="false">#REF!</definedName>
    <definedName function="false" hidden="false" localSheetId="0" name="Date_of_Payment" vbProcedure="false">#REF!</definedName>
    <definedName function="false" hidden="false" localSheetId="0" name="dbartot" vbProcedure="false">#REF!</definedName>
    <definedName function="false" hidden="false" localSheetId="0" name="Resi_diff" vbProcedure="false">#REF!</definedName>
    <definedName function="false" hidden="false" localSheetId="0" name="Results" vbProcedure="false">#REF!</definedName>
    <definedName function="false" hidden="false" localSheetId="0" name="Res_diff" vbProcedure="false">#REF!</definedName>
    <definedName function="false" hidden="false" localSheetId="0" name="rrate" vbProcedure="false">#REF!</definedName>
    <definedName function="false" hidden="false" localSheetId="0" name="Rs.2.25" vbProcedure="false">#REF!</definedName>
    <definedName function="false" hidden="false" localSheetId="0" name="RSU_Confirmation_of_Release" vbProcedure="false">#REF!</definedName>
    <definedName function="false" hidden="false" localSheetId="0" name="sum" vbProcedure="false">#REF!</definedName>
    <definedName function="false" hidden="false" localSheetId="0" name="SUM_MIL" vbProcedure="false">#REF!</definedName>
    <definedName function="false" hidden="false" localSheetId="0" name="Sum_of_All" vbProcedure="false">#REF!</definedName>
    <definedName function="false" hidden="false" localSheetId="0" name="_" vbProcedure="false">#REF!</definedName>
    <definedName function="false" hidden="false" localSheetId="0" name="_FS1" vbProcedure="false">#REF!</definedName>
    <definedName function="false" hidden="false" localSheetId="0" name="_Grp12" vbProcedure="false">#REF!</definedName>
    <definedName function="false" hidden="false" localSheetId="0" name="_Grp13" vbProcedure="false">#REF!</definedName>
    <definedName function="false" hidden="false" localSheetId="0" name="_______________________ram2" vbProcedure="false">#REF!</definedName>
    <definedName function="false" hidden="false" localSheetId="1" name="adv" vbProcedure="false">#REF!</definedName>
    <definedName function="false" hidden="false" localSheetId="1" name="advancetax" vbProcedure="false">#REF!</definedName>
    <definedName function="false" hidden="false" localSheetId="1" name="aefdays" vbProcedure="false">#REF!</definedName>
    <definedName function="false" hidden="false" localSheetId="1" name="Date_of_expense" vbProcedure="false">#REF!</definedName>
    <definedName function="false" hidden="false" localSheetId="1" name="Date_of_Payment" vbProcedure="false">#REF!</definedName>
    <definedName function="false" hidden="false" localSheetId="1" name="dbartot" vbProcedure="false">#REF!</definedName>
    <definedName function="false" hidden="false" localSheetId="1" name="Resi_diff" vbProcedure="false">#REF!</definedName>
    <definedName function="false" hidden="false" localSheetId="1" name="Results" vbProcedure="false">#REF!</definedName>
    <definedName function="false" hidden="false" localSheetId="1" name="Res_diff" vbProcedure="false">#REF!</definedName>
    <definedName function="false" hidden="false" localSheetId="1" name="rrate" vbProcedure="false">#REF!</definedName>
    <definedName function="false" hidden="false" localSheetId="1" name="Rs.2.25" vbProcedure="false">#REF!</definedName>
    <definedName function="false" hidden="false" localSheetId="1" name="RSU_Confirmation_of_Release" vbProcedure="false">#REF!</definedName>
    <definedName function="false" hidden="false" localSheetId="1" name="sum" vbProcedure="false">#REF!</definedName>
    <definedName function="false" hidden="false" localSheetId="1" name="SUM_MIL" vbProcedure="false">#REF!</definedName>
    <definedName function="false" hidden="false" localSheetId="1" name="Sum_of_All" vbProcedure="false">#REF!</definedName>
    <definedName function="false" hidden="false" localSheetId="1" name="_" vbProcedure="false">#REF!</definedName>
    <definedName function="false" hidden="false" localSheetId="1" name="_FS1" vbProcedure="false">#REF!</definedName>
    <definedName function="false" hidden="false" localSheetId="1" name="_Grp12" vbProcedure="false">#REF!</definedName>
    <definedName function="false" hidden="false" localSheetId="1" name="_Grp13" vbProcedure="false">#REF!</definedName>
    <definedName function="false" hidden="false" localSheetId="1" name="_______________________ram2" vbProcedure="false">#REF!</definedName>
    <definedName function="false" hidden="false" localSheetId="2" name="adv" vbProcedure="false">#REF!</definedName>
    <definedName function="false" hidden="false" localSheetId="2" name="advancetax" vbProcedure="false">#REF!</definedName>
    <definedName function="false" hidden="false" localSheetId="2" name="aefdays" vbProcedure="false">#REF!</definedName>
    <definedName function="false" hidden="false" localSheetId="2" name="Date_of_expense" vbProcedure="false">#REF!</definedName>
    <definedName function="false" hidden="false" localSheetId="2" name="Date_of_Payment" vbProcedure="false">#REF!</definedName>
    <definedName function="false" hidden="false" localSheetId="2" name="dbartot" vbProcedure="false">#REF!</definedName>
    <definedName function="false" hidden="false" localSheetId="2" name="Resi_diff" vbProcedure="false">#REF!</definedName>
    <definedName function="false" hidden="false" localSheetId="2" name="Results" vbProcedure="false">#REF!</definedName>
    <definedName function="false" hidden="false" localSheetId="2" name="Res_diff" vbProcedure="false">#REF!</definedName>
    <definedName function="false" hidden="false" localSheetId="2" name="rrate" vbProcedure="false">#REF!</definedName>
    <definedName function="false" hidden="false" localSheetId="2" name="Rs.2.25" vbProcedure="false">#REF!</definedName>
    <definedName function="false" hidden="false" localSheetId="2" name="RSU_Confirmation_of_Release" vbProcedure="false">#REF!</definedName>
    <definedName function="false" hidden="false" localSheetId="2" name="sum" vbProcedure="false">#REF!</definedName>
    <definedName function="false" hidden="false" localSheetId="2" name="SUM_MIL" vbProcedure="false">#REF!</definedName>
    <definedName function="false" hidden="false" localSheetId="2" name="Sum_of_All" vbProcedure="false">#REF!</definedName>
    <definedName function="false" hidden="false" localSheetId="2" name="_" vbProcedure="false">#REF!</definedName>
    <definedName function="false" hidden="false" localSheetId="2" name="_FS1" vbProcedure="false">#REF!</definedName>
    <definedName function="false" hidden="false" localSheetId="2" name="_Grp12" vbProcedure="false">#REF!</definedName>
    <definedName function="false" hidden="false" localSheetId="2" name="_Grp13" vbProcedure="false">#REF!</definedName>
    <definedName function="false" hidden="false" localSheetId="2" name="_______________________ram2" vbProcedure="false">#REF!</definedName>
  </definedNames>
  <calcPr iterateCount="100" refMode="A1" iterate="false" iterateDelta="0.0001"/>
  <pivotCaches>
    <pivotCache cacheId="1" r:id="rId19"/>
    <pivotCache cacheId="2" r:id="rId20"/>
    <pivotCache cacheId="3" r:id="rId21"/>
  </pivotCaches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3" authorId="0">
      <text>
        <r>
          <rPr>
            <sz val="10"/>
            <rFont val="Arial"/>
            <family val="2"/>
          </rPr>
          <t xml:space="preserve">======
ID#AAABhgB9rF8
Esha Soni    (2025-03-29 11:27:49)
10% TDS deducted</t>
        </r>
      </text>
    </comment>
    <comment ref="G17" authorId="0">
      <text>
        <r>
          <rPr>
            <sz val="10"/>
            <rFont val="Arial"/>
            <family val="2"/>
          </rPr>
          <t xml:space="preserve">======
ID#AAABf6p9SI8
om    (2025-04-17 11:07:41)
6 months contract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4" authorId="0">
      <text>
        <r>
          <rPr>
            <sz val="10"/>
            <rFont val="Arial"/>
            <family val="2"/>
          </rPr>
          <t xml:space="preserve">======
ID#AAABhgB9rF8
Esha Soni    (2025-03-29 11:27:49)
10% TDS deducted</t>
        </r>
      </text>
    </comment>
    <comment ref="M89" authorId="0">
      <text>
        <r>
          <rPr>
            <sz val="10"/>
            <rFont val="Arial"/>
            <family val="2"/>
          </rPr>
          <t xml:space="preserve">======
ID#AAABhgB9rF8
Esha Soni    (2025-03-29 11:27:49)
10% TDS deducted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00" authorId="0">
      <text>
        <r>
          <rPr>
            <sz val="10"/>
            <rFont val="Arial"/>
            <family val="2"/>
          </rPr>
          <t xml:space="preserve">======
ID#AAABhgB9rF8
Esha Soni    (2025-03-29 11:27:49)
10% TDS deducted</t>
        </r>
      </text>
    </comment>
  </commentList>
</comments>
</file>

<file path=xl/sharedStrings.xml><?xml version="1.0" encoding="utf-8"?>
<sst xmlns="http://schemas.openxmlformats.org/spreadsheetml/2006/main" count="16276" uniqueCount="2233">
  <si>
    <t xml:space="preserve">Coresphere100 Technologies Pvt. Ltd.</t>
  </si>
  <si>
    <t xml:space="preserve">Monthly Recurring Revenue </t>
  </si>
  <si>
    <t xml:space="preserve">From Apr 25 to Oct 25</t>
  </si>
  <si>
    <t xml:space="preserve">Particulars</t>
  </si>
  <si>
    <t xml:space="preserve">For the month ended</t>
  </si>
  <si>
    <t xml:space="preserve">Total monthly revenue from B2B subscribers excluding GST (A)</t>
  </si>
  <si>
    <t xml:space="preserve">Annual Subscription</t>
  </si>
  <si>
    <t xml:space="preserve">Annual- Half Yearly Payment</t>
  </si>
  <si>
    <t xml:space="preserve">Annual subscription, Quarterly upfront</t>
  </si>
  <si>
    <t xml:space="preserve">Annual Upfront</t>
  </si>
  <si>
    <t xml:space="preserve">Annual-Monthly</t>
  </si>
  <si>
    <t xml:space="preserve">2 Year- Upfront</t>
  </si>
  <si>
    <t xml:space="preserve">Other Than Annual Subscriptions</t>
  </si>
  <si>
    <t xml:space="preserve">10 -Days -Upfront</t>
  </si>
  <si>
    <t xml:space="preserve">12 -Days -Upfront</t>
  </si>
  <si>
    <t xml:space="preserve">15 -Days -Upfront</t>
  </si>
  <si>
    <t xml:space="preserve">13 month-Upfront</t>
  </si>
  <si>
    <t xml:space="preserve">19 -Days -Upfront</t>
  </si>
  <si>
    <t xml:space="preserve">38 -Days -Upfront</t>
  </si>
  <si>
    <t xml:space="preserve">1 month-Upfront</t>
  </si>
  <si>
    <t xml:space="preserve">2 months subscription, Monthly</t>
  </si>
  <si>
    <t xml:space="preserve">2 months- Upfront</t>
  </si>
  <si>
    <t xml:space="preserve">2 month &amp; 13 Days-Upfront</t>
  </si>
  <si>
    <t xml:space="preserve">3 months subscription, Monthly</t>
  </si>
  <si>
    <t xml:space="preserve">3 months subscription, upfront</t>
  </si>
  <si>
    <t xml:space="preserve">4 months subscription, Monthly</t>
  </si>
  <si>
    <t xml:space="preserve">5 months subscription, Monthly</t>
  </si>
  <si>
    <t xml:space="preserve">5 month-Upfront</t>
  </si>
  <si>
    <t xml:space="preserve">6 months subscription, Monthly</t>
  </si>
  <si>
    <t xml:space="preserve">6 month-Upfront</t>
  </si>
  <si>
    <t xml:space="preserve">6 months subscription, Quarterly upfront</t>
  </si>
  <si>
    <t xml:space="preserve">8 months subscription, Monthly</t>
  </si>
  <si>
    <t xml:space="preserve">8 months &amp; 23 days - Half Yearly Payment</t>
  </si>
  <si>
    <t xml:space="preserve">9 months subscription, Monthly</t>
  </si>
  <si>
    <t xml:space="preserve">9 months subscription, Upfront</t>
  </si>
  <si>
    <t xml:space="preserve">9 months  &amp; 23 days subscription, Upfront</t>
  </si>
  <si>
    <t xml:space="preserve">10 months</t>
  </si>
  <si>
    <t xml:space="preserve">10 months subscription, upfront</t>
  </si>
  <si>
    <t xml:space="preserve">11 months subscription, Monthly</t>
  </si>
  <si>
    <t xml:space="preserve">18 month-Half Yearly Payment</t>
  </si>
  <si>
    <t xml:space="preserve">Three Installments of 50k</t>
  </si>
  <si>
    <t xml:space="preserve">1 year &amp; 1 months-Monthly</t>
  </si>
  <si>
    <t xml:space="preserve">1year &amp; 6 months - Half Yearly Payment</t>
  </si>
  <si>
    <t xml:space="preserve">Total monthly revenue from B2C subscribers (B)</t>
  </si>
  <si>
    <t xml:space="preserve">Total monthly revenue from B2B and B2C  C=A+B</t>
  </si>
  <si>
    <t xml:space="preserve">Monthly Recurring revenue (excluding one time and others)-B2B</t>
  </si>
  <si>
    <t xml:space="preserve">No. of active subscribers-B2B</t>
  </si>
  <si>
    <t xml:space="preserve">Monthly recurring revenue per subscriber</t>
  </si>
  <si>
    <t xml:space="preserve">Total Annual Recurring revenue (excluding one time and others)-B2B</t>
  </si>
  <si>
    <t xml:space="preserve">Monthly revenue (Accrual)</t>
  </si>
  <si>
    <t xml:space="preserve">Amount in INR</t>
  </si>
  <si>
    <t xml:space="preserve">Total</t>
  </si>
  <si>
    <t xml:space="preserve">Monthly Revenue from B2B subscribers (A)</t>
  </si>
  <si>
    <t xml:space="preserve">Monthly Revenue from B2C subscribers (B)</t>
  </si>
  <si>
    <t xml:space="preserve">Monthly Revenue from B2B and B2C  C=A+B</t>
  </si>
  <si>
    <t xml:space="preserve">Month Wise Customer Churn Out</t>
  </si>
  <si>
    <t xml:space="preserve">Remarks</t>
  </si>
  <si>
    <t xml:space="preserve">No. of active subscriber at beginning of month </t>
  </si>
  <si>
    <t xml:space="preserve">Refer active subscriber and Deletion tab</t>
  </si>
  <si>
    <t xml:space="preserve">Add: New additions</t>
  </si>
  <si>
    <t xml:space="preserve">Less: Deletions</t>
  </si>
  <si>
    <t xml:space="preserve">No. of active subscribers at end of month</t>
  </si>
  <si>
    <t xml:space="preserve">Month Wise</t>
  </si>
  <si>
    <t xml:space="preserve">Data</t>
  </si>
  <si>
    <t xml:space="preserve">Payment Cycle </t>
  </si>
  <si>
    <t xml:space="preserve">Sum of Invoiced amount for April</t>
  </si>
  <si>
    <t xml:space="preserve">Sum of Invoiced amount for MAY</t>
  </si>
  <si>
    <t xml:space="preserve">Sum of June in months</t>
  </si>
  <si>
    <t xml:space="preserve">Sum of July in months</t>
  </si>
  <si>
    <t xml:space="preserve">Sum of Aug Sales in months</t>
  </si>
  <si>
    <t xml:space="preserve">Sum of Sept Sales in months</t>
  </si>
  <si>
    <t xml:space="preserve">Sum of Oct Sales in months</t>
  </si>
  <si>
    <t xml:space="preserve">(empty)</t>
  </si>
  <si>
    <t xml:space="preserve">13 month-Monthly</t>
  </si>
  <si>
    <t xml:space="preserve">3 months- Upfront</t>
  </si>
  <si>
    <t xml:space="preserve">Total Result</t>
  </si>
  <si>
    <t xml:space="preserve">Date wise</t>
  </si>
  <si>
    <t xml:space="preserve">Sum of April Sales (Days Wise)</t>
  </si>
  <si>
    <t xml:space="preserve">Sum of May Sales (Days Wise)</t>
  </si>
  <si>
    <t xml:space="preserve">Sum of June in days</t>
  </si>
  <si>
    <t xml:space="preserve">Sum of July in days</t>
  </si>
  <si>
    <t xml:space="preserve">Sum of Aug Sales in days</t>
  </si>
  <si>
    <t xml:space="preserve">Sum of Sept Sales in days</t>
  </si>
  <si>
    <t xml:space="preserve">Sum of Oct Sales in days</t>
  </si>
  <si>
    <t xml:space="preserve">Contracts expiring within </t>
  </si>
  <si>
    <t xml:space="preserve">Invoices Details</t>
  </si>
  <si>
    <t xml:space="preserve">Contract</t>
  </si>
  <si>
    <t xml:space="preserve">Months</t>
  </si>
  <si>
    <t xml:space="preserve">Customer Name</t>
  </si>
  <si>
    <t xml:space="preserve">Invoice</t>
  </si>
  <si>
    <t xml:space="preserve">Nature of service</t>
  </si>
  <si>
    <t xml:space="preserve">Start Date </t>
  </si>
  <si>
    <t xml:space="preserve">End Date</t>
  </si>
  <si>
    <t xml:space="preserve">Contract Amount</t>
  </si>
  <si>
    <t xml:space="preserve">Invoiced amount for April</t>
  </si>
  <si>
    <t xml:space="preserve">Invoiced amount for MAY</t>
  </si>
  <si>
    <t xml:space="preserve">Contract period</t>
  </si>
  <si>
    <t xml:space="preserve">Days in April</t>
  </si>
  <si>
    <t xml:space="preserve">April Sales (Days Wise)</t>
  </si>
  <si>
    <t xml:space="preserve">Days in May</t>
  </si>
  <si>
    <t xml:space="preserve">May Sales (Days Wise)</t>
  </si>
  <si>
    <t xml:space="preserve">June in months</t>
  </si>
  <si>
    <t xml:space="preserve">Days in June</t>
  </si>
  <si>
    <t xml:space="preserve">June in days</t>
  </si>
  <si>
    <t xml:space="preserve">July in months</t>
  </si>
  <si>
    <t xml:space="preserve">Days in July</t>
  </si>
  <si>
    <t xml:space="preserve">July in days</t>
  </si>
  <si>
    <t xml:space="preserve">Days in Aug</t>
  </si>
  <si>
    <t xml:space="preserve">Aug Sales in months</t>
  </si>
  <si>
    <t xml:space="preserve">Aug Sales in days</t>
  </si>
  <si>
    <t xml:space="preserve">Days in Sept</t>
  </si>
  <si>
    <t xml:space="preserve">Sept Sales in months</t>
  </si>
  <si>
    <t xml:space="preserve">Sept Sales in days</t>
  </si>
  <si>
    <t xml:space="preserve">Days in Oct</t>
  </si>
  <si>
    <t xml:space="preserve">Oct Sales in months</t>
  </si>
  <si>
    <t xml:space="preserve">Oct Sales in days</t>
  </si>
  <si>
    <t xml:space="preserve">Touchstone Partners</t>
  </si>
  <si>
    <t xml:space="preserve">INV-25-26-000001</t>
  </si>
  <si>
    <t xml:space="preserve">subscription based service</t>
  </si>
  <si>
    <t xml:space="preserve">Closed- May 25</t>
  </si>
  <si>
    <t xml:space="preserve">Bimal Rajasekhar</t>
  </si>
  <si>
    <t xml:space="preserve">INV-25-26-000002</t>
  </si>
  <si>
    <t xml:space="preserve">Veritas Legal Advocates and Solicitors</t>
  </si>
  <si>
    <t xml:space="preserve">INV-25-26-000003</t>
  </si>
  <si>
    <t xml:space="preserve">Apr &amp; May 25</t>
  </si>
  <si>
    <t xml:space="preserve">LEGALOGIC CONSULTING LLP</t>
  </si>
  <si>
    <t xml:space="preserve">INV-25-26-000004,104</t>
  </si>
  <si>
    <t xml:space="preserve">VACUITAS COUNSELLOR LLP</t>
  </si>
  <si>
    <t xml:space="preserve">INV-25-26-000005</t>
  </si>
  <si>
    <t xml:space="preserve">Closed-Apr 25</t>
  </si>
  <si>
    <t xml:space="preserve">Tvashta Law</t>
  </si>
  <si>
    <t xml:space="preserve">INV-25-26-000006</t>
  </si>
  <si>
    <t xml:space="preserve">One time work</t>
  </si>
  <si>
    <t xml:space="preserve">U. S. GANDHI &amp; CO.</t>
  </si>
  <si>
    <t xml:space="preserve">INV-25-26-000007</t>
  </si>
  <si>
    <t xml:space="preserve">Credit Note Issue</t>
  </si>
  <si>
    <t xml:space="preserve">Advocate Rohit Jaiswal</t>
  </si>
  <si>
    <t xml:space="preserve">INV-25-26-000009,00107,00177</t>
  </si>
  <si>
    <t xml:space="preserve">Dileep Poolakkot</t>
  </si>
  <si>
    <t xml:space="preserve">INV-25-26-000010</t>
  </si>
  <si>
    <t xml:space="preserve">Utkarsh Joshi</t>
  </si>
  <si>
    <t xml:space="preserve">INV-25-26-000011</t>
  </si>
  <si>
    <t xml:space="preserve">Karan Butalia</t>
  </si>
  <si>
    <t xml:space="preserve">INV-25-26-000012</t>
  </si>
  <si>
    <t xml:space="preserve">Jan &amp; Apr &amp; July &amp; Oct 25</t>
  </si>
  <si>
    <t xml:space="preserve">Agama Law Associates</t>
  </si>
  <si>
    <t xml:space="preserve"> INV- 46, INV-25-26-000013, 277, 483</t>
  </si>
  <si>
    <t xml:space="preserve">RAJANI ASSOCIATES</t>
  </si>
  <si>
    <t xml:space="preserve">INV-25-26-000014</t>
  </si>
  <si>
    <t xml:space="preserve">Venkatesh Dhond</t>
  </si>
  <si>
    <t xml:space="preserve">INV-25-26-000015</t>
  </si>
  <si>
    <t xml:space="preserve">Mar to June 25</t>
  </si>
  <si>
    <t xml:space="preserve">Harshit Malik</t>
  </si>
  <si>
    <t xml:space="preserve">INV-000111, INV-25-26-000016, 0109</t>
  </si>
  <si>
    <t xml:space="preserve">PSN Legal Advocates and Legal Consultants</t>
  </si>
  <si>
    <t xml:space="preserve">INV-25-26-000017</t>
  </si>
  <si>
    <t xml:space="preserve">Apr to July 25</t>
  </si>
  <si>
    <t xml:space="preserve">Swapna Sheshadri</t>
  </si>
  <si>
    <t xml:space="preserve">INV-25-26-000019, 113, 0184, 259</t>
  </si>
  <si>
    <t xml:space="preserve">Vutts &amp; Associates LLP</t>
  </si>
  <si>
    <t xml:space="preserve">INV-25-26-000020</t>
  </si>
  <si>
    <t xml:space="preserve">Feb Apr to Oct 25</t>
  </si>
  <si>
    <t xml:space="preserve">Darius J. Khambata</t>
  </si>
  <si>
    <t xml:space="preserve">INV-000085, INV-25-26-000021,INV-25-26-000022, 148,178, 248, 337, 416, 500</t>
  </si>
  <si>
    <t xml:space="preserve">Miglani Varma &amp; Co.</t>
  </si>
  <si>
    <t xml:space="preserve">INV-25-26-000023</t>
  </si>
  <si>
    <t xml:space="preserve">Venkatesh Mohanraj</t>
  </si>
  <si>
    <t xml:space="preserve">INV-25-26-000024</t>
  </si>
  <si>
    <t xml:space="preserve">Jade Lex Partners</t>
  </si>
  <si>
    <t xml:space="preserve">INV-25-26-000025</t>
  </si>
  <si>
    <t xml:space="preserve">Alankrit Bajpai</t>
  </si>
  <si>
    <t xml:space="preserve">INV-25-26-000026</t>
  </si>
  <si>
    <t xml:space="preserve">Badar Durrez</t>
  </si>
  <si>
    <t xml:space="preserve">INV-25-26-000028</t>
  </si>
  <si>
    <t xml:space="preserve">Rashmikant and Partners</t>
  </si>
  <si>
    <t xml:space="preserve">INV-25-26-000029</t>
  </si>
  <si>
    <t xml:space="preserve">Apr to June 25</t>
  </si>
  <si>
    <t xml:space="preserve">TLH, Advocates &amp; Solicitors</t>
  </si>
  <si>
    <t xml:space="preserve">INV-25-26-000030, 124, 198,271</t>
  </si>
  <si>
    <t xml:space="preserve">Shreeyash Lalit</t>
  </si>
  <si>
    <t xml:space="preserve">INV-25-26-000032</t>
  </si>
  <si>
    <t xml:space="preserve">Dewani Associates</t>
  </si>
  <si>
    <t xml:space="preserve">INV-25-26-000033</t>
  </si>
  <si>
    <t xml:space="preserve">Apr to Oct 25</t>
  </si>
  <si>
    <t xml:space="preserve">R. Vishnu Kumar, Advocate</t>
  </si>
  <si>
    <t xml:space="preserve">INV-25-26-000034, 125, 199, 272, 358, 528</t>
  </si>
  <si>
    <t xml:space="preserve">Mar &amp; Apr 25</t>
  </si>
  <si>
    <t xml:space="preserve">Yash Momaya</t>
  </si>
  <si>
    <t xml:space="preserve">INV-25-26-000035, 0127, 0200</t>
  </si>
  <si>
    <t xml:space="preserve">Chetan Dedhia</t>
  </si>
  <si>
    <t xml:space="preserve">INV-25-26-000036</t>
  </si>
  <si>
    <t xml:space="preserve">NC Legal</t>
  </si>
  <si>
    <t xml:space="preserve">INV-25-26-000037</t>
  </si>
  <si>
    <t xml:space="preserve">Aakash Sharma</t>
  </si>
  <si>
    <t xml:space="preserve">INV-25-26-000038</t>
  </si>
  <si>
    <t xml:space="preserve">Saga Legal</t>
  </si>
  <si>
    <t xml:space="preserve">INV-25-26-000039</t>
  </si>
  <si>
    <t xml:space="preserve">RPV LEGAL</t>
  </si>
  <si>
    <t xml:space="preserve">INV-25-26-000040</t>
  </si>
  <si>
    <t xml:space="preserve">AP &amp; Partners, Advocates</t>
  </si>
  <si>
    <t xml:space="preserve">INV-25-26-000041</t>
  </si>
  <si>
    <t xml:space="preserve">Pranay Chitale</t>
  </si>
  <si>
    <t xml:space="preserve">INV-25-26-000042, 137, 213</t>
  </si>
  <si>
    <t xml:space="preserve">Spark Legal</t>
  </si>
  <si>
    <t xml:space="preserve">INV-25-26-000043</t>
  </si>
  <si>
    <t xml:space="preserve">Bathiya Legal</t>
  </si>
  <si>
    <t xml:space="preserve">INV-25-26-000044</t>
  </si>
  <si>
    <t xml:space="preserve">Justice (Retd.) Kurian Joseph</t>
  </si>
  <si>
    <t xml:space="preserve">INV-25-26-000045</t>
  </si>
  <si>
    <t xml:space="preserve">SINHA &amp; COMPANY
</t>
  </si>
  <si>
    <t xml:space="preserve">INV-25-26-000046</t>
  </si>
  <si>
    <t xml:space="preserve">Darshit Jain</t>
  </si>
  <si>
    <t xml:space="preserve">INV-25-26-000047</t>
  </si>
  <si>
    <t xml:space="preserve">Sagar Ghogre</t>
  </si>
  <si>
    <t xml:space="preserve">INV-25-26-000048</t>
  </si>
  <si>
    <t xml:space="preserve">Chetan shah</t>
  </si>
  <si>
    <t xml:space="preserve">INV-25-26-000049</t>
  </si>
  <si>
    <t xml:space="preserve">Sneha Phene</t>
  </si>
  <si>
    <t xml:space="preserve">INV-25-26-000050</t>
  </si>
  <si>
    <t xml:space="preserve">Gunjan Mangla</t>
  </si>
  <si>
    <t xml:space="preserve">INV-25-26-000051</t>
  </si>
  <si>
    <t xml:space="preserve">Zulfiqar Jariwala</t>
  </si>
  <si>
    <t xml:space="preserve">INV-25-26-000052</t>
  </si>
  <si>
    <t xml:space="preserve">Manjari Shah</t>
  </si>
  <si>
    <t xml:space="preserve">INV-25-26-000053</t>
  </si>
  <si>
    <t xml:space="preserve">Sagar Sheth</t>
  </si>
  <si>
    <t xml:space="preserve">INV-25-26-000054</t>
  </si>
  <si>
    <t xml:space="preserve">Mahek Bookwala</t>
  </si>
  <si>
    <t xml:space="preserve">INV-25-26-000055</t>
  </si>
  <si>
    <t xml:space="preserve">Apr 25 &amp; sept 25</t>
  </si>
  <si>
    <t xml:space="preserve">Pradeep Sancheti</t>
  </si>
  <si>
    <t xml:space="preserve">INV-25-26-000056, CN 25</t>
  </si>
  <si>
    <t xml:space="preserve">AHUJA VALECHA &amp; ASSOCIATES LLP</t>
  </si>
  <si>
    <t xml:space="preserve">INV-25-26-000057</t>
  </si>
  <si>
    <t xml:space="preserve">ICL CORPORATE ADVISORY PRIVATE LIMITED</t>
  </si>
  <si>
    <t xml:space="preserve">INV-25-26-000058</t>
  </si>
  <si>
    <t xml:space="preserve">Argus Partners</t>
  </si>
  <si>
    <t xml:space="preserve">INV-25-26-000059</t>
  </si>
  <si>
    <t xml:space="preserve">Pratik Patnaik</t>
  </si>
  <si>
    <t xml:space="preserve">INV-25-26-000060,144, 230, 333, 382, 468,558</t>
  </si>
  <si>
    <t xml:space="preserve">Jan, Apr &amp; May 25</t>
  </si>
  <si>
    <t xml:space="preserve">Saswat Mohanty</t>
  </si>
  <si>
    <t xml:space="preserve">INV-25-26-000061, 145</t>
  </si>
  <si>
    <t xml:space="preserve">Chambers of Aman Vachher</t>
  </si>
  <si>
    <t xml:space="preserve">INV-25-26-000062</t>
  </si>
  <si>
    <t xml:space="preserve">SK Singhi and Partners</t>
  </si>
  <si>
    <t xml:space="preserve">INV-25-26-000063</t>
  </si>
  <si>
    <t xml:space="preserve">Centre for Law and Policy Research Trust</t>
  </si>
  <si>
    <t xml:space="preserve">INV-25-26-000064</t>
  </si>
  <si>
    <t xml:space="preserve">SKR &amp; associates</t>
  </si>
  <si>
    <t xml:space="preserve">INV-25-26-000065,114,0185, 260, 344, 425, 510</t>
  </si>
  <si>
    <t xml:space="preserve">Apr &amp; Oct 25</t>
  </si>
  <si>
    <t xml:space="preserve">Srivastava &amp; Company</t>
  </si>
  <si>
    <t xml:space="preserve">INV-25-26-000066,564</t>
  </si>
  <si>
    <t xml:space="preserve">Piyush Raheja</t>
  </si>
  <si>
    <t xml:space="preserve">INV-25-26-000067</t>
  </si>
  <si>
    <t xml:space="preserve">⁠Feroze Patel</t>
  </si>
  <si>
    <t xml:space="preserve">INV-25-26-000068</t>
  </si>
  <si>
    <t xml:space="preserve">Kazan Shroff</t>
  </si>
  <si>
    <t xml:space="preserve">INV-25-26-000069</t>
  </si>
  <si>
    <t xml:space="preserve">Kajol Punjabi</t>
  </si>
  <si>
    <t xml:space="preserve">INV-25-26-000070</t>
  </si>
  <si>
    <t xml:space="preserve">Neeta Jain</t>
  </si>
  <si>
    <t xml:space="preserve">INV-25-26-000071</t>
  </si>
  <si>
    <t xml:space="preserve">Amrut Joshi</t>
  </si>
  <si>
    <t xml:space="preserve">INV-25-26-000072</t>
  </si>
  <si>
    <t xml:space="preserve">Jan &amp; Apr 25</t>
  </si>
  <si>
    <t xml:space="preserve">Gaurav Joshi</t>
  </si>
  <si>
    <t xml:space="preserve">INV-25-26-000073</t>
  </si>
  <si>
    <t xml:space="preserve">Kamaljeet Singh</t>
  </si>
  <si>
    <t xml:space="preserve">INV-25-26-000074</t>
  </si>
  <si>
    <t xml:space="preserve">Saraf and Partners</t>
  </si>
  <si>
    <t xml:space="preserve">INV-25-26-000075</t>
  </si>
  <si>
    <t xml:space="preserve">Pioneer Legal</t>
  </si>
  <si>
    <t xml:space="preserve">INV-25-26-000076</t>
  </si>
  <si>
    <t xml:space="preserve">Dua Associates</t>
  </si>
  <si>
    <t xml:space="preserve">INV-25-26-000077</t>
  </si>
  <si>
    <t xml:space="preserve">Nov 24 to Oct 25</t>
  </si>
  <si>
    <t xml:space="preserve">Manish kelker</t>
  </si>
  <si>
    <t xml:space="preserve">40, INV-000088, 0112, INV-25-26-000078, 111,0180, 256, 343, 420, 505</t>
  </si>
  <si>
    <t xml:space="preserve">Dec 24 to Oct 25</t>
  </si>
  <si>
    <t xml:space="preserve">Diwan Law Associates</t>
  </si>
  <si>
    <t xml:space="preserve">INV-000091, 0114, INV-25-26-000079, 115,191, 263,346, 513</t>
  </si>
  <si>
    <t xml:space="preserve">Sept to Sept 25</t>
  </si>
  <si>
    <t xml:space="preserve">SRCO Legal / Salvador Raghav &amp; Co.</t>
  </si>
  <si>
    <t xml:space="preserve">INV-000145,00011, INV-25-26-000080,0106, 0223, 312, 390, 474</t>
  </si>
  <si>
    <t xml:space="preserve">Sarthak Advocates &amp; Solicitors</t>
  </si>
  <si>
    <t xml:space="preserve">INV-25-26-000096</t>
  </si>
  <si>
    <t xml:space="preserve">Gupta Law Associates</t>
  </si>
  <si>
    <t xml:space="preserve">INV-25-26-000097</t>
  </si>
  <si>
    <t xml:space="preserve">INV-25-26-000100</t>
  </si>
  <si>
    <t xml:space="preserve">Kunal Kunango</t>
  </si>
  <si>
    <t xml:space="preserve">INV-25-26-000101</t>
  </si>
  <si>
    <t xml:space="preserve">Divyanshu Rai</t>
  </si>
  <si>
    <t xml:space="preserve">INV-25-26-000102</t>
  </si>
  <si>
    <t xml:space="preserve">May &amp; Aug 25</t>
  </si>
  <si>
    <t xml:space="preserve">Hamza mir</t>
  </si>
  <si>
    <t xml:space="preserve">INV-25-26-000103, 212, 265, 365</t>
  </si>
  <si>
    <t xml:space="preserve">May to Oct 25</t>
  </si>
  <si>
    <t xml:space="preserve">Chambers of Ninad Laud</t>
  </si>
  <si>
    <t xml:space="preserve">INV-25-26-000105,0171, 246, 332,415, CN-00029, 496</t>
  </si>
  <si>
    <t xml:space="preserve">Gera Developments Pvt. Ltd.</t>
  </si>
  <si>
    <t xml:space="preserve">INV-25-26-000106</t>
  </si>
  <si>
    <t xml:space="preserve">Gaurav Mehta</t>
  </si>
  <si>
    <t xml:space="preserve">INV-25-26-000108</t>
  </si>
  <si>
    <t xml:space="preserve">MD&amp;T Partners</t>
  </si>
  <si>
    <t xml:space="preserve">INV-25-26-000110</t>
  </si>
  <si>
    <t xml:space="preserve">Kachwaha &amp; Partners</t>
  </si>
  <si>
    <t xml:space="preserve">INV-25-26-000112</t>
  </si>
  <si>
    <t xml:space="preserve">Zoheb Hossain</t>
  </si>
  <si>
    <t xml:space="preserve">INV-25-26-000116</t>
  </si>
  <si>
    <t xml:space="preserve">Vishal Kanade</t>
  </si>
  <si>
    <t xml:space="preserve">INV-25-26-000117</t>
  </si>
  <si>
    <t xml:space="preserve">Vritti Law Partners</t>
  </si>
  <si>
    <t xml:space="preserve">INV-25-26-000118</t>
  </si>
  <si>
    <t xml:space="preserve">INV-25-26-000119</t>
  </si>
  <si>
    <t xml:space="preserve">C&amp;S Partners</t>
  </si>
  <si>
    <t xml:space="preserve">INV-25-26-000120</t>
  </si>
  <si>
    <t xml:space="preserve">Asahi Legal LLP</t>
  </si>
  <si>
    <t xml:space="preserve">INV-25-26-000121</t>
  </si>
  <si>
    <t xml:space="preserve">Chambers of Moazzam Khan</t>
  </si>
  <si>
    <t xml:space="preserve">INV-25-26-000122</t>
  </si>
  <si>
    <t xml:space="preserve">Vis Legis Law Practice</t>
  </si>
  <si>
    <t xml:space="preserve">INV-25-26-000123</t>
  </si>
  <si>
    <t xml:space="preserve">Phoenix Legal</t>
  </si>
  <si>
    <t xml:space="preserve">INV-25-26-000126</t>
  </si>
  <si>
    <t xml:space="preserve">Nikhil Pai</t>
  </si>
  <si>
    <t xml:space="preserve">INV-25-26-000128</t>
  </si>
  <si>
    <t xml:space="preserve">J INFRATECH LIMITED</t>
  </si>
  <si>
    <t xml:space="preserve">INV-25-26-000129</t>
  </si>
  <si>
    <t xml:space="preserve">Feb 25, May, Aug 25, Oct 25</t>
  </si>
  <si>
    <t xml:space="preserve">Vesta Legal</t>
  </si>
  <si>
    <t xml:space="preserve">INV-25-26-000130, INV-000081, 366, CN-00037</t>
  </si>
  <si>
    <t xml:space="preserve">Vyom Shah</t>
  </si>
  <si>
    <t xml:space="preserve">INV-25-26-000131</t>
  </si>
  <si>
    <t xml:space="preserve">Zubin Behramkamdin</t>
  </si>
  <si>
    <t xml:space="preserve">INV-25-26-000132</t>
  </si>
  <si>
    <t xml:space="preserve">Jennifer Michael</t>
  </si>
  <si>
    <t xml:space="preserve">INV-25-26-000133</t>
  </si>
  <si>
    <t xml:space="preserve">SomÂ Sinha &amp; Associates</t>
  </si>
  <si>
    <t xml:space="preserve">INV-25-26-000134</t>
  </si>
  <si>
    <t xml:space="preserve">MZM Legal LLP</t>
  </si>
  <si>
    <t xml:space="preserve">INV-25-26-000135</t>
  </si>
  <si>
    <t xml:space="preserve">May to Sept 25</t>
  </si>
  <si>
    <t xml:space="preserve">Stride Legal</t>
  </si>
  <si>
    <t xml:space="preserve">INV-25-26-000136, 0210, 292, 372, 457, CN- 30 to 33</t>
  </si>
  <si>
    <t xml:space="preserve">Rithin Rai</t>
  </si>
  <si>
    <t xml:space="preserve">INV-25-26-000138</t>
  </si>
  <si>
    <t xml:space="preserve">INV-25-26-000139</t>
  </si>
  <si>
    <t xml:space="preserve">INV-25-26-000140</t>
  </si>
  <si>
    <t xml:space="preserve">Meghav Gupta</t>
  </si>
  <si>
    <t xml:space="preserve">INV-25-26-000141</t>
  </si>
  <si>
    <t xml:space="preserve">Shashwat Bajpai</t>
  </si>
  <si>
    <t xml:space="preserve">INV-25-26-000142</t>
  </si>
  <si>
    <t xml:space="preserve">Manini Brar</t>
  </si>
  <si>
    <t xml:space="preserve">INV-25-26-000143</t>
  </si>
  <si>
    <t xml:space="preserve">Nitish Raj</t>
  </si>
  <si>
    <t xml:space="preserve">INV-25-26-000146</t>
  </si>
  <si>
    <t xml:space="preserve">Aquilaw</t>
  </si>
  <si>
    <t xml:space="preserve">INV-25-26-000147</t>
  </si>
  <si>
    <t xml:space="preserve">Svarniti Law Offices</t>
  </si>
  <si>
    <t xml:space="preserve">INV-25-26-000150</t>
  </si>
  <si>
    <t xml:space="preserve">Daswani &amp; Daswani</t>
  </si>
  <si>
    <t xml:space="preserve">INV-25-26-000151</t>
  </si>
  <si>
    <t xml:space="preserve">Khaitan Legal Asscoiates</t>
  </si>
  <si>
    <t xml:space="preserve">INV-25-26-000152</t>
  </si>
  <si>
    <t xml:space="preserve">Samya Law Chambers</t>
  </si>
  <si>
    <t xml:space="preserve">INV-25-26-000153</t>
  </si>
  <si>
    <t xml:space="preserve">Shri Venkatesh , SKV law offices</t>
  </si>
  <si>
    <t xml:space="preserve">INV-25-26-000154</t>
  </si>
  <si>
    <t xml:space="preserve">Parakram Legal</t>
  </si>
  <si>
    <t xml:space="preserve">INV-25-26-000155</t>
  </si>
  <si>
    <t xml:space="preserve">IndusLaw</t>
  </si>
  <si>
    <t xml:space="preserve">INV-25-26-000156</t>
  </si>
  <si>
    <t xml:space="preserve">July 25 &amp; Ag 25</t>
  </si>
  <si>
    <t xml:space="preserve">Deep Cover Law- Chirag Narasimiah</t>
  </si>
  <si>
    <t xml:space="preserve">INV-25-26-000313 &amp; CN-00013</t>
  </si>
  <si>
    <t xml:space="preserve">CN</t>
  </si>
  <si>
    <t xml:space="preserve">May &amp; june 25</t>
  </si>
  <si>
    <t xml:space="preserve">INV-25-26-000157,000224,313</t>
  </si>
  <si>
    <t xml:space="preserve">INV-25-26-000158</t>
  </si>
  <si>
    <t xml:space="preserve">NKR Law Offices</t>
  </si>
  <si>
    <t xml:space="preserve">INV-25-26-000160</t>
  </si>
  <si>
    <t xml:space="preserve">Keystone Partners</t>
  </si>
  <si>
    <t xml:space="preserve">INV-000057</t>
  </si>
  <si>
    <t xml:space="preserve">INV-000093</t>
  </si>
  <si>
    <t xml:space="preserve">Prompt Legal (Shared by Jayanth)</t>
  </si>
  <si>
    <t xml:space="preserve">INV-000095</t>
  </si>
  <si>
    <t xml:space="preserve">Justice (Retd.) AK Sikri</t>
  </si>
  <si>
    <t xml:space="preserve">INV-000134</t>
  </si>
  <si>
    <t xml:space="preserve">Closed- Feb</t>
  </si>
  <si>
    <t xml:space="preserve">Amrita Panda / ADP Chambers- 5</t>
  </si>
  <si>
    <t xml:space="preserve">INV-000035</t>
  </si>
  <si>
    <t xml:space="preserve">Amrita Panda / ADP Chambers- 62</t>
  </si>
  <si>
    <t xml:space="preserve">INV-000128</t>
  </si>
  <si>
    <t xml:space="preserve">INV-000098</t>
  </si>
  <si>
    <t xml:space="preserve">Akshat Vachher</t>
  </si>
  <si>
    <t xml:space="preserve">Chambers of Justice Mohit S Shah (Retd.), Former Chief Justice of Bombay and Calcutta High Court</t>
  </si>
  <si>
    <t xml:space="preserve">INV-000141</t>
  </si>
  <si>
    <t xml:space="preserve">Wadia Ghandy &amp; Co.</t>
  </si>
  <si>
    <t xml:space="preserve">INV-000144</t>
  </si>
  <si>
    <t xml:space="preserve">Burgeon Law LLP</t>
  </si>
  <si>
    <t xml:space="preserve">INV-000135</t>
  </si>
  <si>
    <t xml:space="preserve">Eternity Legal</t>
  </si>
  <si>
    <t xml:space="preserve">INV-000125</t>
  </si>
  <si>
    <t xml:space="preserve">Nora Legal Consultants LLP</t>
  </si>
  <si>
    <t xml:space="preserve">INV-000139</t>
  </si>
  <si>
    <t xml:space="preserve">INV-000120</t>
  </si>
  <si>
    <t xml:space="preserve">Innovatus Law</t>
  </si>
  <si>
    <t xml:space="preserve">INV-000124</t>
  </si>
  <si>
    <t xml:space="preserve">Gourab Banreji</t>
  </si>
  <si>
    <t xml:space="preserve">INV-000131</t>
  </si>
  <si>
    <t xml:space="preserve">Solaris Legal</t>
  </si>
  <si>
    <t xml:space="preserve">INV-000126</t>
  </si>
  <si>
    <t xml:space="preserve">MV Law Partners</t>
  </si>
  <si>
    <t xml:space="preserve">INV-000105</t>
  </si>
  <si>
    <t xml:space="preserve">Ratan Kumar Singh</t>
  </si>
  <si>
    <t xml:space="preserve">INV-000018</t>
  </si>
  <si>
    <t xml:space="preserve">Balbir Singh</t>
  </si>
  <si>
    <t xml:space="preserve">INV-000136</t>
  </si>
  <si>
    <t xml:space="preserve">Mr Rohit Gupta</t>
  </si>
  <si>
    <t xml:space="preserve">INV-000147,000479</t>
  </si>
  <si>
    <t xml:space="preserve">INV-000127</t>
  </si>
  <si>
    <t xml:space="preserve">Federal &amp; Company</t>
  </si>
  <si>
    <t xml:space="preserve">INV-000115</t>
  </si>
  <si>
    <t xml:space="preserve">Sanjay Udeshi &amp; Co.</t>
  </si>
  <si>
    <t xml:space="preserve">INV-000101</t>
  </si>
  <si>
    <t xml:space="preserve">Abel Tom Benny // Thomas and Thomas Advocates</t>
  </si>
  <si>
    <t xml:space="preserve">INV-000090</t>
  </si>
  <si>
    <t xml:space="preserve">Farhan Dubash </t>
  </si>
  <si>
    <t xml:space="preserve">INV-000060</t>
  </si>
  <si>
    <t xml:space="preserve">Mustafa S Doctor</t>
  </si>
  <si>
    <t xml:space="preserve">INV-000055</t>
  </si>
  <si>
    <t xml:space="preserve">INV-000050</t>
  </si>
  <si>
    <t xml:space="preserve">Naushad Engineer</t>
  </si>
  <si>
    <t xml:space="preserve">INV-000058</t>
  </si>
  <si>
    <t xml:space="preserve">Shyam Kapadia</t>
  </si>
  <si>
    <t xml:space="preserve">INV-000065</t>
  </si>
  <si>
    <t xml:space="preserve">Closed- Mar</t>
  </si>
  <si>
    <t xml:space="preserve">Aditya Sikka / Tvashta Law</t>
  </si>
  <si>
    <t xml:space="preserve">INV-000033</t>
  </si>
  <si>
    <t xml:space="preserve">INV-000123</t>
  </si>
  <si>
    <t xml:space="preserve">Ish Jain / Regius Partners LLP</t>
  </si>
  <si>
    <t xml:space="preserve">INV-000037</t>
  </si>
  <si>
    <t xml:space="preserve">Dec 24 to June 25</t>
  </si>
  <si>
    <t xml:space="preserve">
The Guild | Advocates &amp; Associate Counsel</t>
  </si>
  <si>
    <t xml:space="preserve">INV-000038,00219</t>
  </si>
  <si>
    <t xml:space="preserve">Dec 24, June 25 &amp; Sept 25</t>
  </si>
  <si>
    <t xml:space="preserve">Abhimanyu Garg / Methodica Legal </t>
  </si>
  <si>
    <t xml:space="preserve">INV-000042, 000183 000218,421</t>
  </si>
  <si>
    <t xml:space="preserve">Mar to Oct 25</t>
  </si>
  <si>
    <t xml:space="preserve">Megha Chandra</t>
  </si>
  <si>
    <t xml:space="preserve">INV-000116, INV-25-26-000099,197,264, 347, 430, 514</t>
  </si>
  <si>
    <t xml:space="preserve">INV-000118</t>
  </si>
  <si>
    <t xml:space="preserve">INV-000079</t>
  </si>
  <si>
    <t xml:space="preserve">Mr. Jehangir Jejeebhoy</t>
  </si>
  <si>
    <t xml:space="preserve">INV-000083</t>
  </si>
  <si>
    <t xml:space="preserve">INV-000064</t>
  </si>
  <si>
    <t xml:space="preserve">Shiraz Rustomjee</t>
  </si>
  <si>
    <t xml:space="preserve">INV-000071</t>
  </si>
  <si>
    <t xml:space="preserve">Dipankar Majumdar</t>
  </si>
  <si>
    <t xml:space="preserve">INV-000099</t>
  </si>
  <si>
    <t xml:space="preserve">Office of ASG (N. Venkatraman)</t>
  </si>
  <si>
    <t xml:space="preserve">INV-000028</t>
  </si>
  <si>
    <t xml:space="preserve">INV-000102</t>
  </si>
  <si>
    <t xml:space="preserve">INV-000132</t>
  </si>
  <si>
    <t xml:space="preserve">Akriti Chaubey</t>
  </si>
  <si>
    <t xml:space="preserve">INV-000142</t>
  </si>
  <si>
    <t xml:space="preserve">GM Legal</t>
  </si>
  <si>
    <t xml:space="preserve">INV-000109</t>
  </si>
  <si>
    <t xml:space="preserve">Prantar</t>
  </si>
  <si>
    <t xml:space="preserve">INV-000068</t>
  </si>
  <si>
    <t xml:space="preserve">INV-000121</t>
  </si>
  <si>
    <t xml:space="preserve">Gourab Banerji</t>
  </si>
  <si>
    <t xml:space="preserve">INV-000048</t>
  </si>
  <si>
    <t xml:space="preserve">Sept to Jan 25</t>
  </si>
  <si>
    <t xml:space="preserve">Kanungo &amp; Co.</t>
  </si>
  <si>
    <t xml:space="preserve">INV-000002,009, 16, INV-000051</t>
  </si>
  <si>
    <t xml:space="preserve">Tejas Bhide</t>
  </si>
  <si>
    <t xml:space="preserve">INV-000072</t>
  </si>
  <si>
    <t xml:space="preserve">Nov, Jan &amp; Feb 25</t>
  </si>
  <si>
    <t xml:space="preserve">ANG</t>
  </si>
  <si>
    <t xml:space="preserve">INV-000077, 080</t>
  </si>
  <si>
    <t xml:space="preserve">Monalisa Kosaria</t>
  </si>
  <si>
    <t xml:space="preserve">INV-000096</t>
  </si>
  <si>
    <t xml:space="preserve">INV-000097</t>
  </si>
  <si>
    <t xml:space="preserve">Rohit Sharma (lex Merita)</t>
  </si>
  <si>
    <t xml:space="preserve">INV-000129</t>
  </si>
  <si>
    <t xml:space="preserve">Mr Sudhanshu Kumar</t>
  </si>
  <si>
    <t xml:space="preserve">INV-000138</t>
  </si>
  <si>
    <t xml:space="preserve">Santosh Kumar</t>
  </si>
  <si>
    <t xml:space="preserve">INV-000148</t>
  </si>
  <si>
    <t xml:space="preserve">NIKHIL DEELIP P</t>
  </si>
  <si>
    <t xml:space="preserve">INV-000149</t>
  </si>
  <si>
    <t xml:space="preserve">Closed- Dec 24</t>
  </si>
  <si>
    <t xml:space="preserve">INV-000005, INV-000014</t>
  </si>
  <si>
    <t xml:space="preserve">Newton School - Incanus Technologies Private Limited</t>
  </si>
  <si>
    <t xml:space="preserve">INV-000007</t>
  </si>
  <si>
    <t xml:space="preserve">Talha Abdul Rahman</t>
  </si>
  <si>
    <t xml:space="preserve">INV-000019</t>
  </si>
  <si>
    <t xml:space="preserve">Oct &amp; Nov 24</t>
  </si>
  <si>
    <t xml:space="preserve">Chambers of Pujari</t>
  </si>
  <si>
    <t xml:space="preserve">INV-000008,0021</t>
  </si>
  <si>
    <t xml:space="preserve">Hiresh Chaudhary</t>
  </si>
  <si>
    <t xml:space="preserve">INV-000151</t>
  </si>
  <si>
    <t xml:space="preserve">Jan to Mar 25</t>
  </si>
  <si>
    <t xml:space="preserve">Victoram Legal / Mr. Sajal Awasthi</t>
  </si>
  <si>
    <t xml:space="preserve">INV-000070,INV-000103, 146</t>
  </si>
  <si>
    <t xml:space="preserve">INV-25-26-000161</t>
  </si>
  <si>
    <t xml:space="preserve">Poovayya &amp; CO</t>
  </si>
  <si>
    <t xml:space="preserve">INV-25-26-000163</t>
  </si>
  <si>
    <t xml:space="preserve">Sajan Poovayya</t>
  </si>
  <si>
    <t xml:space="preserve">INV-25-26-000164</t>
  </si>
  <si>
    <t xml:space="preserve">INV-25-26-000166</t>
  </si>
  <si>
    <t xml:space="preserve">Vardharma Chambers</t>
  </si>
  <si>
    <t xml:space="preserve">INV-25-26-000167</t>
  </si>
  <si>
    <t xml:space="preserve">Birendra Saraf</t>
  </si>
  <si>
    <t xml:space="preserve">INV-25-26-000168</t>
  </si>
  <si>
    <t xml:space="preserve">IRIS LEGAL</t>
  </si>
  <si>
    <t xml:space="preserve">INV-25-26-000169</t>
  </si>
  <si>
    <t xml:space="preserve">JYOT-A Public Trust</t>
  </si>
  <si>
    <t xml:space="preserve">INV-25-26-000172</t>
  </si>
  <si>
    <t xml:space="preserve">Yakshay Chheda</t>
  </si>
  <si>
    <t xml:space="preserve">INV-25-26-000173</t>
  </si>
  <si>
    <t xml:space="preserve">Tipping Mr Pink Private Limited</t>
  </si>
  <si>
    <t xml:space="preserve">INV-25-26-000174</t>
  </si>
  <si>
    <t xml:space="preserve">KUAJ LEGAL</t>
  </si>
  <si>
    <t xml:space="preserve">INV-25-26-000175</t>
  </si>
  <si>
    <t xml:space="preserve">AJNM LAW INDIA LLP</t>
  </si>
  <si>
    <t xml:space="preserve">INV-25-26-000176</t>
  </si>
  <si>
    <t xml:space="preserve">Agraa Legal</t>
  </si>
  <si>
    <t xml:space="preserve">INV-25-26-000181</t>
  </si>
  <si>
    <t xml:space="preserve">KINJAL CIVILCON LLP</t>
  </si>
  <si>
    <t xml:space="preserve">INV-25-26-000182</t>
  </si>
  <si>
    <t xml:space="preserve">Shobit Phutela</t>
  </si>
  <si>
    <t xml:space="preserve">INV-25-26-000186</t>
  </si>
  <si>
    <t xml:space="preserve">Narottam Sharma</t>
  </si>
  <si>
    <t xml:space="preserve">INV-25-26-000187</t>
  </si>
  <si>
    <t xml:space="preserve">INV-25-26-000188</t>
  </si>
  <si>
    <t xml:space="preserve">June &amp; Oct 25</t>
  </si>
  <si>
    <t xml:space="preserve">Rahul Saboo, Advocate</t>
  </si>
  <si>
    <t xml:space="preserve">INV-25-26-000189, 262, 345, 512</t>
  </si>
  <si>
    <t xml:space="preserve">DSK Legal</t>
  </si>
  <si>
    <t xml:space="preserve">INV-25-26-000190</t>
  </si>
  <si>
    <t xml:space="preserve">INV-25-26-000192</t>
  </si>
  <si>
    <t xml:space="preserve">INV-25-26-000193</t>
  </si>
  <si>
    <t xml:space="preserve">Meghna Talwar</t>
  </si>
  <si>
    <t xml:space="preserve">INV-25-26-000194</t>
  </si>
  <si>
    <t xml:space="preserve">INV-25-26-000195</t>
  </si>
  <si>
    <t xml:space="preserve">S Priya</t>
  </si>
  <si>
    <t xml:space="preserve">INV-25-26-000196</t>
  </si>
  <si>
    <t xml:space="preserve">Joy Baxi &amp; Associates</t>
  </si>
  <si>
    <t xml:space="preserve">INV-25-26-000201</t>
  </si>
  <si>
    <t xml:space="preserve">INV-25-26-000202</t>
  </si>
  <si>
    <t xml:space="preserve">Ganesh &amp; Co.</t>
  </si>
  <si>
    <t xml:space="preserve">INV-25-26-000203</t>
  </si>
  <si>
    <t xml:space="preserve">AMS Legal</t>
  </si>
  <si>
    <t xml:space="preserve">INV-25-26-000204</t>
  </si>
  <si>
    <t xml:space="preserve">June &amp; Sept 25</t>
  </si>
  <si>
    <t xml:space="preserve">INV-25-26-000205, 452</t>
  </si>
  <si>
    <t xml:space="preserve">12 days complimentry</t>
  </si>
  <si>
    <t xml:space="preserve">INV-25-26-000206, 453</t>
  </si>
  <si>
    <t xml:space="preserve">July &amp; Aug 25, Oct 25</t>
  </si>
  <si>
    <t xml:space="preserve">Gauri Puri</t>
  </si>
  <si>
    <t xml:space="preserve">INV-25-26-000287,367, 546</t>
  </si>
  <si>
    <t xml:space="preserve">June to Oct 25</t>
  </si>
  <si>
    <t xml:space="preserve">Amit Bhagat</t>
  </si>
  <si>
    <t xml:space="preserve">INV-25-26-000208, 288, 368, 455,547</t>
  </si>
  <si>
    <t xml:space="preserve">INV-25-26-000209</t>
  </si>
  <si>
    <t xml:space="preserve">Sundeep Karnik</t>
  </si>
  <si>
    <t xml:space="preserve">INV-25-26-000211</t>
  </si>
  <si>
    <t xml:space="preserve">Rohan Talwar</t>
  </si>
  <si>
    <t xml:space="preserve">INV-25-26-000214</t>
  </si>
  <si>
    <t xml:space="preserve">ZEUS Law Associates</t>
  </si>
  <si>
    <t xml:space="preserve">INV-25-26-000215</t>
  </si>
  <si>
    <t xml:space="preserve">Aurtus Consulting LLP</t>
  </si>
  <si>
    <t xml:space="preserve">INV-25-26-000216</t>
  </si>
  <si>
    <t xml:space="preserve">INV-25-26-000217</t>
  </si>
  <si>
    <t xml:space="preserve">June  &amp; Aug 25</t>
  </si>
  <si>
    <t xml:space="preserve">Tejeshwar Singh</t>
  </si>
  <si>
    <t xml:space="preserve">INV-25-26-000220 &amp; CN-00012</t>
  </si>
  <si>
    <t xml:space="preserve">Apoorv Kurup</t>
  </si>
  <si>
    <t xml:space="preserve">INV-25-26-000221</t>
  </si>
  <si>
    <t xml:space="preserve">Elixir Legal Services</t>
  </si>
  <si>
    <t xml:space="preserve">INV-25-26-000222</t>
  </si>
  <si>
    <t xml:space="preserve">INV-25-26-000225</t>
  </si>
  <si>
    <t xml:space="preserve">June &amp; July</t>
  </si>
  <si>
    <t xml:space="preserve">Shrey Lodha</t>
  </si>
  <si>
    <t xml:space="preserve">INV-25-26-000165 &amp; CN-00011</t>
  </si>
  <si>
    <t xml:space="preserve">July &amp; Oct 25</t>
  </si>
  <si>
    <t xml:space="preserve">INV-25-26-000226, 481</t>
  </si>
  <si>
    <t xml:space="preserve">Surel Shah</t>
  </si>
  <si>
    <t xml:space="preserve">INV-25-26-000227</t>
  </si>
  <si>
    <t xml:space="preserve">MG Ramachandran</t>
  </si>
  <si>
    <t xml:space="preserve">INV-25-26-000228, 482</t>
  </si>
  <si>
    <t xml:space="preserve">INV-25-26-000233</t>
  </si>
  <si>
    <t xml:space="preserve">Aanchal Basur</t>
  </si>
  <si>
    <t xml:space="preserve">INV-25-26-000234, 485</t>
  </si>
  <si>
    <t xml:space="preserve">RUNWAL ENTERPRISES LIMITED</t>
  </si>
  <si>
    <t xml:space="preserve">INV-25-26-000235</t>
  </si>
  <si>
    <t xml:space="preserve">ANM Global Inc</t>
  </si>
  <si>
    <t xml:space="preserve">INV-25-26-000236</t>
  </si>
  <si>
    <t xml:space="preserve">INV-25-26-000237</t>
  </si>
  <si>
    <t xml:space="preserve">INV-25-26-000238</t>
  </si>
  <si>
    <t xml:space="preserve">INV-25-26-000239</t>
  </si>
  <si>
    <t xml:space="preserve">Vikas Mehta</t>
  </si>
  <si>
    <t xml:space="preserve">INV-25-26-000240</t>
  </si>
  <si>
    <t xml:space="preserve">INV-25-26-000242</t>
  </si>
  <si>
    <t xml:space="preserve">Swapnil Wagh</t>
  </si>
  <si>
    <t xml:space="preserve">INV-25-26-000243</t>
  </si>
  <si>
    <t xml:space="preserve">Arpit Gupta</t>
  </si>
  <si>
    <t xml:space="preserve">INV-25-26-000244</t>
  </si>
  <si>
    <t xml:space="preserve">Jayakar and Partners</t>
  </si>
  <si>
    <t xml:space="preserve">INV-25-26-000245</t>
  </si>
  <si>
    <t xml:space="preserve">INV-25-26-000250</t>
  </si>
  <si>
    <t xml:space="preserve">INV-25-26-000251</t>
  </si>
  <si>
    <t xml:space="preserve">Rohan Shah</t>
  </si>
  <si>
    <t xml:space="preserve">INV-25-26-000252</t>
  </si>
  <si>
    <t xml:space="preserve">INV-25-26-000253</t>
  </si>
  <si>
    <t xml:space="preserve">INV-25-26-000254</t>
  </si>
  <si>
    <t xml:space="preserve">Rajeev K. Virmani</t>
  </si>
  <si>
    <t xml:space="preserve">INV-25-26-000255</t>
  </si>
  <si>
    <t xml:space="preserve">Vaish Associates</t>
  </si>
  <si>
    <t xml:space="preserve">INV-25-26-000257</t>
  </si>
  <si>
    <t xml:space="preserve">Acuity Law LLP</t>
  </si>
  <si>
    <t xml:space="preserve">INV-25-26-000258</t>
  </si>
  <si>
    <t xml:space="preserve">Ujjwal Sharma</t>
  </si>
  <si>
    <t xml:space="preserve">INV-25-26-000261</t>
  </si>
  <si>
    <t xml:space="preserve">Trust Law</t>
  </si>
  <si>
    <t xml:space="preserve">INV-25-26-000266</t>
  </si>
  <si>
    <t xml:space="preserve">Priyanshi Kholia</t>
  </si>
  <si>
    <t xml:space="preserve">INV-25-26-000267</t>
  </si>
  <si>
    <t xml:space="preserve">Khaitan Legal Associates</t>
  </si>
  <si>
    <t xml:space="preserve">INV-25-26-000268</t>
  </si>
  <si>
    <t xml:space="preserve">INV-25-26-000269</t>
  </si>
  <si>
    <t xml:space="preserve">INV-25-26-000270</t>
  </si>
  <si>
    <t xml:space="preserve">Bishwajit Dubey</t>
  </si>
  <si>
    <t xml:space="preserve">INV-25-26-000273</t>
  </si>
  <si>
    <t xml:space="preserve">Krati Gupta</t>
  </si>
  <si>
    <t xml:space="preserve">INV-25-26-000274</t>
  </si>
  <si>
    <t xml:space="preserve">S C Sharada &amp; Associates| Company Secretaries</t>
  </si>
  <si>
    <t xml:space="preserve">INV-25-26-000276</t>
  </si>
  <si>
    <t xml:space="preserve">15 days complimentry</t>
  </si>
  <si>
    <t xml:space="preserve">Hamsaanandini Nanduri</t>
  </si>
  <si>
    <t xml:space="preserve">INV-25-26-000278</t>
  </si>
  <si>
    <t xml:space="preserve">INV-25-26-000279</t>
  </si>
  <si>
    <t xml:space="preserve">INV-25-26-000280</t>
  </si>
  <si>
    <t xml:space="preserve">INV-25-26-000281</t>
  </si>
  <si>
    <t xml:space="preserve">Krishnan Venugopal</t>
  </si>
  <si>
    <t xml:space="preserve">INV-25-26-000282</t>
  </si>
  <si>
    <t xml:space="preserve">July to Oct 25</t>
  </si>
  <si>
    <t xml:space="preserve">INV-25-26-000283, 360,538</t>
  </si>
  <si>
    <t xml:space="preserve">GC Legal</t>
  </si>
  <si>
    <t xml:space="preserve">INV-25-26-000284, 361, 436,539</t>
  </si>
  <si>
    <t xml:space="preserve">Anush Raajan</t>
  </si>
  <si>
    <t xml:space="preserve">INV-25-26-000285</t>
  </si>
  <si>
    <t xml:space="preserve">Philips India Limited</t>
  </si>
  <si>
    <t xml:space="preserve">INV-25-26-000286</t>
  </si>
  <si>
    <t xml:space="preserve">INV-25-26-000207</t>
  </si>
  <si>
    <t xml:space="preserve">Nayana Tara BG</t>
  </si>
  <si>
    <t xml:space="preserve">INV-25-26-000289</t>
  </si>
  <si>
    <t xml:space="preserve">PSP Legal</t>
  </si>
  <si>
    <t xml:space="preserve">INV-25-26-000290</t>
  </si>
  <si>
    <t xml:space="preserve">INV-25-26-000291</t>
  </si>
  <si>
    <t xml:space="preserve">Vivek Anand Anthony Britto</t>
  </si>
  <si>
    <t xml:space="preserve">INV-25-26-000293</t>
  </si>
  <si>
    <t xml:space="preserve">Parinam Law Associates</t>
  </si>
  <si>
    <t xml:space="preserve">INV-25-26-000294</t>
  </si>
  <si>
    <t xml:space="preserve">July</t>
  </si>
  <si>
    <t xml:space="preserve">Roshan Santhalia</t>
  </si>
  <si>
    <t xml:space="preserve">INV-25-26-000295</t>
  </si>
  <si>
    <t xml:space="preserve">RHP Partners</t>
  </si>
  <si>
    <t xml:space="preserve">INV-25-26-000296</t>
  </si>
  <si>
    <t xml:space="preserve">INV-25-26-000297, 373, 458,550</t>
  </si>
  <si>
    <t xml:space="preserve">INV-25-26-000298</t>
  </si>
  <si>
    <t xml:space="preserve">LegaLogic Consulting</t>
  </si>
  <si>
    <t xml:space="preserve">INV-25-26-000299</t>
  </si>
  <si>
    <t xml:space="preserve">Ankit Talsania</t>
  </si>
  <si>
    <t xml:space="preserve">INV-25-26-000300</t>
  </si>
  <si>
    <t xml:space="preserve">ASV Legal LLP</t>
  </si>
  <si>
    <t xml:space="preserve">INV-25-26-000301</t>
  </si>
  <si>
    <t xml:space="preserve">Tarun G Reddy</t>
  </si>
  <si>
    <t xml:space="preserve">INV-25-26-000302</t>
  </si>
  <si>
    <t xml:space="preserve">Karanjawala &amp; Company Advocates</t>
  </si>
  <si>
    <t xml:space="preserve">INV-25-26-000303</t>
  </si>
  <si>
    <t xml:space="preserve">2 Months- Upfront</t>
  </si>
  <si>
    <t xml:space="preserve">INV-25-26-000304, 376, 459,551</t>
  </si>
  <si>
    <t xml:space="preserve">Clavius Legal</t>
  </si>
  <si>
    <t xml:space="preserve">INV-25-26-000305</t>
  </si>
  <si>
    <t xml:space="preserve">Krishna Dev Jagarlamudi</t>
  </si>
  <si>
    <t xml:space="preserve">INV-25-26-000306</t>
  </si>
  <si>
    <t xml:space="preserve">Gaurav Ray, Advocate on Record</t>
  </si>
  <si>
    <t xml:space="preserve">INV-25-26-000307</t>
  </si>
  <si>
    <t xml:space="preserve">Dhruve Liladhar &amp; Co</t>
  </si>
  <si>
    <t xml:space="preserve">INV-25-26-000308</t>
  </si>
  <si>
    <t xml:space="preserve">R. Ginodia &amp; Co. LLP</t>
  </si>
  <si>
    <t xml:space="preserve">INV-25-26-000311</t>
  </si>
  <si>
    <t xml:space="preserve">INV-25-26-000271</t>
  </si>
  <si>
    <t xml:space="preserve">Saurabh Prakash</t>
  </si>
  <si>
    <t xml:space="preserve">INV-25-26-000314</t>
  </si>
  <si>
    <t xml:space="preserve">Ecclesia Advocates and Solicitors</t>
  </si>
  <si>
    <t xml:space="preserve">INV-25-26-000315</t>
  </si>
  <si>
    <t xml:space="preserve">INV-25-26-000316</t>
  </si>
  <si>
    <t xml:space="preserve">Jaiveer Shergil</t>
  </si>
  <si>
    <t xml:space="preserve">INV-25-26-000317</t>
  </si>
  <si>
    <t xml:space="preserve">Devina Sehgal</t>
  </si>
  <si>
    <t xml:space="preserve">INV-25-26-000318</t>
  </si>
  <si>
    <t xml:space="preserve">1 Month-Upfront</t>
  </si>
  <si>
    <t xml:space="preserve">TREELIFE VENTURES SERVICES PRIVATE LIMITED</t>
  </si>
  <si>
    <t xml:space="preserve">INV-25-26-000319</t>
  </si>
  <si>
    <t xml:space="preserve">Mukul Sharma and Company</t>
  </si>
  <si>
    <t xml:space="preserve">INV-25-26-000320</t>
  </si>
  <si>
    <t xml:space="preserve">INV-25-26-000321</t>
  </si>
  <si>
    <t xml:space="preserve">Brijesh Oberoi</t>
  </si>
  <si>
    <t xml:space="preserve">INV-25-26-000322</t>
  </si>
  <si>
    <t xml:space="preserve">INV-25-26-000325</t>
  </si>
  <si>
    <t xml:space="preserve">Pranav Badheka</t>
  </si>
  <si>
    <t xml:space="preserve">INV-25-26-000326</t>
  </si>
  <si>
    <t xml:space="preserve">TRILOK POWER AND CABLES PRIVATE LIMITED</t>
  </si>
  <si>
    <t xml:space="preserve">INV-25-26-000327</t>
  </si>
  <si>
    <t xml:space="preserve">INV-25-26-000328</t>
  </si>
  <si>
    <t xml:space="preserve">Chirag shah, Advocate</t>
  </si>
  <si>
    <t xml:space="preserve">INV-25-26-000329</t>
  </si>
  <si>
    <t xml:space="preserve">Vidhii Partners</t>
  </si>
  <si>
    <t xml:space="preserve">INV-25-26-000330</t>
  </si>
  <si>
    <t xml:space="preserve">Dharma Law Partners</t>
  </si>
  <si>
    <t xml:space="preserve">INV-25-26-000331</t>
  </si>
  <si>
    <t xml:space="preserve">Kevic Setalvad</t>
  </si>
  <si>
    <t xml:space="preserve">INV-25-26-000334</t>
  </si>
  <si>
    <t xml:space="preserve">Giriraj Subramanium</t>
  </si>
  <si>
    <t xml:space="preserve">INV-25-26-000335</t>
  </si>
  <si>
    <t xml:space="preserve">INV-25-26-000339</t>
  </si>
  <si>
    <t xml:space="preserve">Malak Bhatt</t>
  </si>
  <si>
    <t xml:space="preserve">INV-25-26-000340</t>
  </si>
  <si>
    <t xml:space="preserve">INV-25-26-000341</t>
  </si>
  <si>
    <t xml:space="preserve">INV-25-26-000342</t>
  </si>
  <si>
    <t xml:space="preserve">Parul Sharma</t>
  </si>
  <si>
    <t xml:space="preserve">INV-25-26-000348</t>
  </si>
  <si>
    <t xml:space="preserve">Tushar Jarwal</t>
  </si>
  <si>
    <t xml:space="preserve">INV-25-26-000349</t>
  </si>
  <si>
    <t xml:space="preserve">Virmani &amp; Virmani</t>
  </si>
  <si>
    <t xml:space="preserve">INV-25-26-000350</t>
  </si>
  <si>
    <t xml:space="preserve">KATARIYA CONSULTANCY INDIA LLP</t>
  </si>
  <si>
    <t xml:space="preserve">INV-25-26-000351</t>
  </si>
  <si>
    <t xml:space="preserve">Foresight Law Offices</t>
  </si>
  <si>
    <t xml:space="preserve">INV-25-26-000352</t>
  </si>
  <si>
    <t xml:space="preserve">Kushagra Shah</t>
  </si>
  <si>
    <t xml:space="preserve">INV-25-26-000353</t>
  </si>
  <si>
    <t xml:space="preserve">INV-25-26-000354</t>
  </si>
  <si>
    <t xml:space="preserve">SAGA LEGAL</t>
  </si>
  <si>
    <t xml:space="preserve">INV-25-26-000355</t>
  </si>
  <si>
    <t xml:space="preserve">Jain and Talukdar</t>
  </si>
  <si>
    <t xml:space="preserve">INV-25-26-000356</t>
  </si>
  <si>
    <t xml:space="preserve">INV-25-26-000533</t>
  </si>
  <si>
    <t xml:space="preserve">INV-25-26-000431</t>
  </si>
  <si>
    <t xml:space="preserve">Bharat Chugh</t>
  </si>
  <si>
    <t xml:space="preserve">INV-25-26-000362</t>
  </si>
  <si>
    <t xml:space="preserve">Tuli &amp; Co.</t>
  </si>
  <si>
    <t xml:space="preserve">INV-25-26-000363</t>
  </si>
  <si>
    <t xml:space="preserve">Karthik Sundar</t>
  </si>
  <si>
    <t xml:space="preserve">INV-25-26-000364</t>
  </si>
  <si>
    <t xml:space="preserve">Akkash Bhadana</t>
  </si>
  <si>
    <t xml:space="preserve">INV-25-26-000369</t>
  </si>
  <si>
    <t xml:space="preserve">Gaurav Gupta</t>
  </si>
  <si>
    <t xml:space="preserve">INV-25-26-000370</t>
  </si>
  <si>
    <t xml:space="preserve">INV-25-26-000371</t>
  </si>
  <si>
    <t xml:space="preserve">Reliance Corporate Advisors (R)</t>
  </si>
  <si>
    <t xml:space="preserve">INV-25-26-000375</t>
  </si>
  <si>
    <t xml:space="preserve">Amrit Grewal</t>
  </si>
  <si>
    <t xml:space="preserve">INV-25-26-000377</t>
  </si>
  <si>
    <t xml:space="preserve">INV-25-26-000378</t>
  </si>
  <si>
    <t xml:space="preserve">J.R. LADDHA FINANCIAL SERVICES PRIVATE LIMITED</t>
  </si>
  <si>
    <t xml:space="preserve">INV-25-26-000379</t>
  </si>
  <si>
    <t xml:space="preserve">INV-25-26-000380</t>
  </si>
  <si>
    <t xml:space="preserve">INV-25-26-000381</t>
  </si>
  <si>
    <t xml:space="preserve">Shreya Desai</t>
  </si>
  <si>
    <t xml:space="preserve">INV-25-26-000383</t>
  </si>
  <si>
    <t xml:space="preserve">INV-25-26-000384</t>
  </si>
  <si>
    <t xml:space="preserve">INV-25-26-000385</t>
  </si>
  <si>
    <t xml:space="preserve">INV-25-26-000386</t>
  </si>
  <si>
    <t xml:space="preserve">KRISH HOMES</t>
  </si>
  <si>
    <t xml:space="preserve">INV-25-26-000387</t>
  </si>
  <si>
    <t xml:space="preserve">Saqeb Mahbub</t>
  </si>
  <si>
    <t xml:space="preserve">INV-25-26-000389</t>
  </si>
  <si>
    <t xml:space="preserve">JSM Law Partners</t>
  </si>
  <si>
    <t xml:space="preserve">INV-25-26-000391</t>
  </si>
  <si>
    <t xml:space="preserve">INV-25-26-000392</t>
  </si>
  <si>
    <t xml:space="preserve">INV-25-26-000393</t>
  </si>
  <si>
    <t xml:space="preserve">Justice Ravindra Bhat</t>
  </si>
  <si>
    <t xml:space="preserve">INV-25-26-000394</t>
  </si>
  <si>
    <t xml:space="preserve">INV-25-26-000395</t>
  </si>
  <si>
    <t xml:space="preserve">Aug &amp; Oct 25</t>
  </si>
  <si>
    <t xml:space="preserve">INV-25-26- 000388, 000409, 488</t>
  </si>
  <si>
    <t xml:space="preserve">MEESHO LIMITED</t>
  </si>
  <si>
    <t xml:space="preserve">INV-25-26-000396</t>
  </si>
  <si>
    <t xml:space="preserve">INV-25-26-000407</t>
  </si>
  <si>
    <t xml:space="preserve">INV-25-26-000399</t>
  </si>
  <si>
    <t xml:space="preserve">Consera Legal LLP</t>
  </si>
  <si>
    <t xml:space="preserve">INV-25-26-000400</t>
  </si>
  <si>
    <t xml:space="preserve">Udai V. S. Rathore</t>
  </si>
  <si>
    <t xml:space="preserve">INV-25-26-000401</t>
  </si>
  <si>
    <t xml:space="preserve">INV-25-26-000402</t>
  </si>
  <si>
    <t xml:space="preserve">INV-25-26-000403</t>
  </si>
  <si>
    <t xml:space="preserve">INV-25-26-000404</t>
  </si>
  <si>
    <t xml:space="preserve">MDP Legal</t>
  </si>
  <si>
    <t xml:space="preserve">INV-25-26-000405, CN 23</t>
  </si>
  <si>
    <t xml:space="preserve">RRG &amp; Associates</t>
  </si>
  <si>
    <t xml:space="preserve">INV-25-26-000406</t>
  </si>
  <si>
    <t xml:space="preserve">Dhru &amp; Co</t>
  </si>
  <si>
    <t xml:space="preserve">INV-25-26-000411</t>
  </si>
  <si>
    <t xml:space="preserve">INV-25-26-000412</t>
  </si>
  <si>
    <t xml:space="preserve">Hiren Kamod</t>
  </si>
  <si>
    <t xml:space="preserve">INV-25-26-000413</t>
  </si>
  <si>
    <t xml:space="preserve">Pravah Law</t>
  </si>
  <si>
    <t xml:space="preserve">INV-25-26-000414</t>
  </si>
  <si>
    <t xml:space="preserve">INV-25-26-000417</t>
  </si>
  <si>
    <t xml:space="preserve">INV-25-26-000418</t>
  </si>
  <si>
    <t xml:space="preserve">Ajinkya Kurdukar</t>
  </si>
  <si>
    <t xml:space="preserve">INV-25-26-000419</t>
  </si>
  <si>
    <t xml:space="preserve">INV-25-26-000422</t>
  </si>
  <si>
    <t xml:space="preserve">Vijay Manjreka</t>
  </si>
  <si>
    <t xml:space="preserve">INV-25-26-000423</t>
  </si>
  <si>
    <t xml:space="preserve">Sept to Oct 25</t>
  </si>
  <si>
    <t xml:space="preserve">INV-25-26-000424, 486</t>
  </si>
  <si>
    <t xml:space="preserve">Ankur Mahindro</t>
  </si>
  <si>
    <t xml:space="preserve">INV-25-26-000426</t>
  </si>
  <si>
    <t xml:space="preserve">Pragati Law Chambers</t>
  </si>
  <si>
    <t xml:space="preserve">INV-25-26-000428</t>
  </si>
  <si>
    <t xml:space="preserve">INV-25-26-000433</t>
  </si>
  <si>
    <t xml:space="preserve">INV-25-26-000434</t>
  </si>
  <si>
    <t xml:space="preserve">KK &amp; Co</t>
  </si>
  <si>
    <t xml:space="preserve">INV-25-26-000437</t>
  </si>
  <si>
    <t xml:space="preserve">INV-25-26-000438</t>
  </si>
  <si>
    <t xml:space="preserve">INV-25-26-000439</t>
  </si>
  <si>
    <t xml:space="preserve">Aditya Narayan Mahajan</t>
  </si>
  <si>
    <t xml:space="preserve">INV-25-26-000440</t>
  </si>
  <si>
    <t xml:space="preserve">Prateek Rath</t>
  </si>
  <si>
    <t xml:space="preserve">INV-25-26-000441, 540</t>
  </si>
  <si>
    <t xml:space="preserve">INV-25-26-000442</t>
  </si>
  <si>
    <t xml:space="preserve">OASIS REALTY</t>
  </si>
  <si>
    <t xml:space="preserve">INV-25-26-000443</t>
  </si>
  <si>
    <t xml:space="preserve">Jehangir Jeejeebhoy</t>
  </si>
  <si>
    <t xml:space="preserve">INV-25-26-000444</t>
  </si>
  <si>
    <t xml:space="preserve">Samar Bansal</t>
  </si>
  <si>
    <t xml:space="preserve">INV-25-26-000445</t>
  </si>
  <si>
    <t xml:space="preserve">INV-25-26-000446, 542</t>
  </si>
  <si>
    <t xml:space="preserve">Law office of Amrita Sarkar</t>
  </si>
  <si>
    <t xml:space="preserve">INV-25-26-000447, 543</t>
  </si>
  <si>
    <t xml:space="preserve">INV-25-26-000449, 544</t>
  </si>
  <si>
    <t xml:space="preserve">Ankita Sharma</t>
  </si>
  <si>
    <t xml:space="preserve">INV-25-26-000450</t>
  </si>
  <si>
    <t xml:space="preserve">Mihir Desai</t>
  </si>
  <si>
    <t xml:space="preserve">INV-25-26-000451</t>
  </si>
  <si>
    <t xml:space="preserve">Kunal Vaishnav</t>
  </si>
  <si>
    <t xml:space="preserve">INV-25-26-000456, 548</t>
  </si>
  <si>
    <t xml:space="preserve">AKS Advocates</t>
  </si>
  <si>
    <t xml:space="preserve">INV-25-26-000460</t>
  </si>
  <si>
    <t xml:space="preserve">Rajdeep Panda</t>
  </si>
  <si>
    <t xml:space="preserve">INV-25-26-000461</t>
  </si>
  <si>
    <t xml:space="preserve">Hammurabi &amp; Solomon Partner</t>
  </si>
  <si>
    <t xml:space="preserve">INV-25-26-000462</t>
  </si>
  <si>
    <t xml:space="preserve">INV-25-26-000463</t>
  </si>
  <si>
    <t xml:space="preserve">Prerit Goyal</t>
  </si>
  <si>
    <t xml:space="preserve">INV-25-26-000464</t>
  </si>
  <si>
    <t xml:space="preserve">Sept &amp; Oct 25</t>
  </si>
  <si>
    <t xml:space="preserve">S Arjun Suresh</t>
  </si>
  <si>
    <t xml:space="preserve">INV-25-26-000465, 557</t>
  </si>
  <si>
    <t xml:space="preserve">Shamik Sanjanwala</t>
  </si>
  <si>
    <t xml:space="preserve">INV-25-26-000466</t>
  </si>
  <si>
    <t xml:space="preserve">Adarsh Ramakrishnan</t>
  </si>
  <si>
    <t xml:space="preserve">INV-25-26-000467</t>
  </si>
  <si>
    <t xml:space="preserve">Aditya S Puar</t>
  </si>
  <si>
    <t xml:space="preserve">INV-25-26-000470</t>
  </si>
  <si>
    <t xml:space="preserve">Debopriyo Moulik</t>
  </si>
  <si>
    <t xml:space="preserve">INV-25-26-000471</t>
  </si>
  <si>
    <t xml:space="preserve">REMFRY &amp; SAGAR CONSULTANT PVT LTD</t>
  </si>
  <si>
    <t xml:space="preserve">INV-25-26-000472</t>
  </si>
  <si>
    <t xml:space="preserve">Anirban Bhattacharya</t>
  </si>
  <si>
    <t xml:space="preserve">INV-25-26-000473</t>
  </si>
  <si>
    <t xml:space="preserve">Jayant Mehta 
</t>
  </si>
  <si>
    <t xml:space="preserve">INV-25-26-000475</t>
  </si>
  <si>
    <t xml:space="preserve">Sept &amp; oct 25</t>
  </si>
  <si>
    <t xml:space="preserve">Rohit Sharma</t>
  </si>
  <si>
    <t xml:space="preserve">INV-25-26-000476, CN-00036</t>
  </si>
  <si>
    <t xml:space="preserve">Sourish Roy</t>
  </si>
  <si>
    <t xml:space="preserve">INV-25-26-000477</t>
  </si>
  <si>
    <t xml:space="preserve">INV-25-26-000478</t>
  </si>
  <si>
    <t xml:space="preserve">Sarvottam Law Offices</t>
  </si>
  <si>
    <t xml:space="preserve">INV-25-26-000480</t>
  </si>
  <si>
    <t xml:space="preserve">INV-25-26-000469</t>
  </si>
  <si>
    <t xml:space="preserve">Invoice Date</t>
  </si>
  <si>
    <t xml:space="preserve">Invoice Number</t>
  </si>
  <si>
    <t xml:space="preserve">Invoice Status</t>
  </si>
  <si>
    <t xml:space="preserve">Taxable Value</t>
  </si>
  <si>
    <t xml:space="preserve">Total Tax</t>
  </si>
  <si>
    <t xml:space="preserve">Nature</t>
  </si>
  <si>
    <t xml:space="preserve">INV-000027</t>
  </si>
  <si>
    <t xml:space="preserve">Closed</t>
  </si>
  <si>
    <t xml:space="preserve">B2C</t>
  </si>
  <si>
    <t xml:space="preserve">Sum of Taxable Value</t>
  </si>
  <si>
    <t xml:space="preserve">B2B</t>
  </si>
  <si>
    <t xml:space="preserve">INV-000029</t>
  </si>
  <si>
    <t xml:space="preserve">INV-000030</t>
  </si>
  <si>
    <t xml:space="preserve">INV-000031</t>
  </si>
  <si>
    <t xml:space="preserve">INV-000032</t>
  </si>
  <si>
    <t xml:space="preserve">INV-000034</t>
  </si>
  <si>
    <t xml:space="preserve">Amrita Panda / Chambers of Amrita Panda</t>
  </si>
  <si>
    <t xml:space="preserve">INV-000036</t>
  </si>
  <si>
    <t xml:space="preserve">INV-000038</t>
  </si>
  <si>
    <t xml:space="preserve">The Guild | Advocates &amp; Associate Counsel</t>
  </si>
  <si>
    <t xml:space="preserve">INV-000039</t>
  </si>
  <si>
    <t xml:space="preserve">INV-000040</t>
  </si>
  <si>
    <t xml:space="preserve">INV-000041</t>
  </si>
  <si>
    <t xml:space="preserve">INV-000042</t>
  </si>
  <si>
    <t xml:space="preserve">Abhimanyu Garg / Methodica Legal</t>
  </si>
  <si>
    <t xml:space="preserve">INV-000043</t>
  </si>
  <si>
    <t xml:space="preserve">INV-000044</t>
  </si>
  <si>
    <t xml:space="preserve">INV-000045</t>
  </si>
  <si>
    <t xml:space="preserve">INV-000046</t>
  </si>
  <si>
    <t xml:space="preserve">INV-000047</t>
  </si>
  <si>
    <t xml:space="preserve">INV-000049</t>
  </si>
  <si>
    <t xml:space="preserve">INV-000051</t>
  </si>
  <si>
    <t xml:space="preserve">INV-000052</t>
  </si>
  <si>
    <t xml:space="preserve">INV-000053</t>
  </si>
  <si>
    <t xml:space="preserve">INV-000054</t>
  </si>
  <si>
    <t xml:space="preserve">Mustafa S. Doctor</t>
  </si>
  <si>
    <t xml:space="preserve">INV-000056</t>
  </si>
  <si>
    <t xml:space="preserve">Keystone Partners Advocates &amp; Solicitors</t>
  </si>
  <si>
    <t xml:space="preserve">INV-000059</t>
  </si>
  <si>
    <t xml:space="preserve">Farhan Dubash</t>
  </si>
  <si>
    <t xml:space="preserve">INV-000061</t>
  </si>
  <si>
    <t xml:space="preserve">INV-000062</t>
  </si>
  <si>
    <t xml:space="preserve">INV-000063</t>
  </si>
  <si>
    <t xml:space="preserve">INV-000066</t>
  </si>
  <si>
    <t xml:space="preserve">INV-000067</t>
  </si>
  <si>
    <t xml:space="preserve">INV-000069</t>
  </si>
  <si>
    <t xml:space="preserve">INV-000070</t>
  </si>
  <si>
    <t xml:space="preserve">Sajal Awasthi</t>
  </si>
  <si>
    <t xml:space="preserve">INV-000073</t>
  </si>
  <si>
    <t xml:space="preserve">INV-000074</t>
  </si>
  <si>
    <t xml:space="preserve">INV-000075</t>
  </si>
  <si>
    <t xml:space="preserve">INV-000076</t>
  </si>
  <si>
    <t xml:space="preserve">INV-000077</t>
  </si>
  <si>
    <t xml:space="preserve">ANG Partners</t>
  </si>
  <si>
    <t xml:space="preserve">INV-000078</t>
  </si>
  <si>
    <t xml:space="preserve">INV-000080</t>
  </si>
  <si>
    <t xml:space="preserve">INV-000081</t>
  </si>
  <si>
    <t xml:space="preserve">Overdue</t>
  </si>
  <si>
    <t xml:space="preserve">INV-000082</t>
  </si>
  <si>
    <t xml:space="preserve">Jehangir Jejeebhoy</t>
  </si>
  <si>
    <t xml:space="preserve">INV-000084</t>
  </si>
  <si>
    <t xml:space="preserve">INV-000085</t>
  </si>
  <si>
    <t xml:space="preserve">INV-000086</t>
  </si>
  <si>
    <t xml:space="preserve">INV-000087</t>
  </si>
  <si>
    <t xml:space="preserve">INV-000088</t>
  </si>
  <si>
    <t xml:space="preserve">INV-000089</t>
  </si>
  <si>
    <t xml:space="preserve">INV-000091</t>
  </si>
  <si>
    <t xml:space="preserve">INV-000092</t>
  </si>
  <si>
    <t xml:space="preserve">INV-000094</t>
  </si>
  <si>
    <t xml:space="preserve">Prompt Legal</t>
  </si>
  <si>
    <t xml:space="preserve">INV-000100</t>
  </si>
  <si>
    <t xml:space="preserve">Sanjay Udeshi &amp; Co</t>
  </si>
  <si>
    <t xml:space="preserve">INV-000103</t>
  </si>
  <si>
    <t xml:space="preserve">INV-000104</t>
  </si>
  <si>
    <t xml:space="preserve">INV-000106</t>
  </si>
  <si>
    <t xml:space="preserve">INV-000107</t>
  </si>
  <si>
    <t xml:space="preserve">INV-000108</t>
  </si>
  <si>
    <t xml:space="preserve">INV-000110</t>
  </si>
  <si>
    <t xml:space="preserve">INV-000111</t>
  </si>
  <si>
    <t xml:space="preserve">INV-000112</t>
  </si>
  <si>
    <t xml:space="preserve">INV-000113</t>
  </si>
  <si>
    <t xml:space="preserve">INV-000114</t>
  </si>
  <si>
    <t xml:space="preserve">INV-000116</t>
  </si>
  <si>
    <t xml:space="preserve">INV-000117</t>
  </si>
  <si>
    <t xml:space="preserve">INV-000119</t>
  </si>
  <si>
    <t xml:space="preserve">INV-000122</t>
  </si>
  <si>
    <t xml:space="preserve">INV-000130</t>
  </si>
  <si>
    <t xml:space="preserve">INV-000133</t>
  </si>
  <si>
    <t xml:space="preserve">INV-000137</t>
  </si>
  <si>
    <t xml:space="preserve">Sudhanshu Kumar</t>
  </si>
  <si>
    <t xml:space="preserve">INV-000140</t>
  </si>
  <si>
    <t xml:space="preserve">Chambers of Justice Mohit S Shah (Retd.) Former Chief Justice of Bombay and Calcutta High Courts</t>
  </si>
  <si>
    <t xml:space="preserve">INV-000143</t>
  </si>
  <si>
    <t xml:space="preserve">INV-000145</t>
  </si>
  <si>
    <t xml:space="preserve">INV-000146</t>
  </si>
  <si>
    <t xml:space="preserve">INV-000147</t>
  </si>
  <si>
    <t xml:space="preserve">Rohit Gupta</t>
  </si>
  <si>
    <t xml:space="preserve">Santosh</t>
  </si>
  <si>
    <t xml:space="preserve">INV-000150</t>
  </si>
  <si>
    <t xml:space="preserve">INV-25-26-000004</t>
  </si>
  <si>
    <t xml:space="preserve">INV-25-26-000008</t>
  </si>
  <si>
    <t xml:space="preserve">INV-25-26-000009</t>
  </si>
  <si>
    <t xml:space="preserve">INV-25-26-000013</t>
  </si>
  <si>
    <t xml:space="preserve">INV-25-26-000016</t>
  </si>
  <si>
    <t xml:space="preserve">INV-25-26-000019</t>
  </si>
  <si>
    <t xml:space="preserve">Vutts &amp; AssociatesÂ LLP</t>
  </si>
  <si>
    <t xml:space="preserve">INV-25-26-000021</t>
  </si>
  <si>
    <t xml:space="preserve">INV-25-26-000022</t>
  </si>
  <si>
    <t xml:space="preserve">INV-25-26-000030</t>
  </si>
  <si>
    <t xml:space="preserve">Tatva Legal Hyderabad</t>
  </si>
  <si>
    <t xml:space="preserve">INV-25-26-000031</t>
  </si>
  <si>
    <t xml:space="preserve">INV-25-26-000034</t>
  </si>
  <si>
    <t xml:space="preserve">R. Vishnu Kumar Advocate</t>
  </si>
  <si>
    <t xml:space="preserve">INV-25-26-000035</t>
  </si>
  <si>
    <t xml:space="preserve">AP &amp; Partners Advocates</t>
  </si>
  <si>
    <t xml:space="preserve">INV-25-26-000042</t>
  </si>
  <si>
    <t xml:space="preserve">SINHA &amp; COMPANY</t>
  </si>
  <si>
    <t xml:space="preserve">INV-25-26-000056</t>
  </si>
  <si>
    <t xml:space="preserve">IC Legal</t>
  </si>
  <si>
    <t xml:space="preserve">INV-25-26-000060</t>
  </si>
  <si>
    <t xml:space="preserve">INV-25-26-000061</t>
  </si>
  <si>
    <t xml:space="preserve">INV-25-26-000065</t>
  </si>
  <si>
    <t xml:space="preserve">INV-25-26-000066</t>
  </si>
  <si>
    <t xml:space="preserve">Feroze Patel</t>
  </si>
  <si>
    <t xml:space="preserve">INV-25-26-000078</t>
  </si>
  <si>
    <t xml:space="preserve">INV-25-26-000079</t>
  </si>
  <si>
    <t xml:space="preserve">INV-25-26-000080</t>
  </si>
  <si>
    <t xml:space="preserve">INV-25-26-000081</t>
  </si>
  <si>
    <t xml:space="preserve">INV-25-26-000082</t>
  </si>
  <si>
    <t xml:space="preserve">INV-25-26-000089</t>
  </si>
  <si>
    <t xml:space="preserve">INV-25-26-000090</t>
  </si>
  <si>
    <t xml:space="preserve">INV-25-26-000091</t>
  </si>
  <si>
    <t xml:space="preserve">INV-25-26-000092</t>
  </si>
  <si>
    <t xml:space="preserve">INV-25-26-000093</t>
  </si>
  <si>
    <t xml:space="preserve">INV-25-26-000094</t>
  </si>
  <si>
    <t xml:space="preserve">INV-25-26-000095</t>
  </si>
  <si>
    <t xml:space="preserve">INV-25-26-000098</t>
  </si>
  <si>
    <t xml:space="preserve">INV-25-26-000099</t>
  </si>
  <si>
    <t xml:space="preserve">INV-25-26-000103</t>
  </si>
  <si>
    <t xml:space="preserve">INV-25-26-000104</t>
  </si>
  <si>
    <t xml:space="preserve">INV-25-26-000105</t>
  </si>
  <si>
    <t xml:space="preserve">INV-25-26-000107</t>
  </si>
  <si>
    <t xml:space="preserve">INV-25-26-000109</t>
  </si>
  <si>
    <t xml:space="preserve">INV-25-26-000111</t>
  </si>
  <si>
    <t xml:space="preserve">INV-25-26-000113</t>
  </si>
  <si>
    <t xml:space="preserve">INV-25-26-000114</t>
  </si>
  <si>
    <t xml:space="preserve">INV-25-26-000115</t>
  </si>
  <si>
    <t xml:space="preserve">INV-25-26-000124</t>
  </si>
  <si>
    <t xml:space="preserve">INV-25-26-000125</t>
  </si>
  <si>
    <t xml:space="preserve">INV-25-26-000127</t>
  </si>
  <si>
    <t xml:space="preserve">INV-25-26-000130</t>
  </si>
  <si>
    <t xml:space="preserve">SomÂ Sinha &amp; Associates</t>
  </si>
  <si>
    <t xml:space="preserve">INV-25-26-000136</t>
  </si>
  <si>
    <t xml:space="preserve">INV-25-26-000137</t>
  </si>
  <si>
    <t xml:space="preserve">INV-25-26-000144</t>
  </si>
  <si>
    <t xml:space="preserve">INV-25-26-000145</t>
  </si>
  <si>
    <t xml:space="preserve">INV-25-26-000148</t>
  </si>
  <si>
    <t xml:space="preserve">INV-25-26-000149</t>
  </si>
  <si>
    <t xml:space="preserve">Shri Venkatesh SKV law offices</t>
  </si>
  <si>
    <t xml:space="preserve">INV-25-26-000157</t>
  </si>
  <si>
    <t xml:space="preserve">INV-25-26-000159</t>
  </si>
  <si>
    <t xml:space="preserve">CN-00001</t>
  </si>
  <si>
    <t xml:space="preserve">CN-00002</t>
  </si>
  <si>
    <t xml:space="preserve">INV-000001</t>
  </si>
  <si>
    <t xml:space="preserve">INV-000002</t>
  </si>
  <si>
    <t xml:space="preserve">INV-000003</t>
  </si>
  <si>
    <t xml:space="preserve">INV-000004</t>
  </si>
  <si>
    <t xml:space="preserve">INV-000005</t>
  </si>
  <si>
    <t xml:space="preserve">INV-000006</t>
  </si>
  <si>
    <t xml:space="preserve">Incanus Technologies Private Limited</t>
  </si>
  <si>
    <t xml:space="preserve">INV-000008</t>
  </si>
  <si>
    <t xml:space="preserve">INV-000009</t>
  </si>
  <si>
    <t xml:space="preserve">INV-000010</t>
  </si>
  <si>
    <t xml:space="preserve">INV-000011</t>
  </si>
  <si>
    <t xml:space="preserve">INV-000012</t>
  </si>
  <si>
    <t xml:space="preserve">INV-000013</t>
  </si>
  <si>
    <t xml:space="preserve">INV-000014</t>
  </si>
  <si>
    <t xml:space="preserve">INV-000015</t>
  </si>
  <si>
    <t xml:space="preserve">INV-000016</t>
  </si>
  <si>
    <t xml:space="preserve">INV-000017</t>
  </si>
  <si>
    <t xml:space="preserve">INV-000020</t>
  </si>
  <si>
    <t xml:space="preserve">INV-000021</t>
  </si>
  <si>
    <t xml:space="preserve">INV-000022</t>
  </si>
  <si>
    <t xml:space="preserve">INV-000023</t>
  </si>
  <si>
    <t xml:space="preserve">INV-000024</t>
  </si>
  <si>
    <t xml:space="preserve">INV-000025</t>
  </si>
  <si>
    <t xml:space="preserve">INV-000026</t>
  </si>
  <si>
    <t xml:space="preserve">INV-25-26-000162</t>
  </si>
  <si>
    <t xml:space="preserve">INV-25-26-000165</t>
  </si>
  <si>
    <t xml:space="preserve">INV-25-26-000170</t>
  </si>
  <si>
    <t xml:space="preserve">INV-25-26-000171</t>
  </si>
  <si>
    <t xml:space="preserve">INV-25-26-000177</t>
  </si>
  <si>
    <t xml:space="preserve">INV-25-26-000178</t>
  </si>
  <si>
    <t xml:space="preserve">INV-25-26-000179</t>
  </si>
  <si>
    <t xml:space="preserve">INV-25-26-000180</t>
  </si>
  <si>
    <t xml:space="preserve">INV-25-26-000183</t>
  </si>
  <si>
    <t xml:space="preserve">INV-25-26-000184</t>
  </si>
  <si>
    <t xml:space="preserve">INV-25-26-000185</t>
  </si>
  <si>
    <t xml:space="preserve">Narottam  Sharma</t>
  </si>
  <si>
    <t xml:space="preserve">INV-25-26-000189</t>
  </si>
  <si>
    <t xml:space="preserve">INV-25-26-000191</t>
  </si>
  <si>
    <t xml:space="preserve">INV-25-26-000197</t>
  </si>
  <si>
    <t xml:space="preserve">INV-25-26-000198</t>
  </si>
  <si>
    <t xml:space="preserve">INV-25-26-000199</t>
  </si>
  <si>
    <t xml:space="preserve">INV-25-26-000200</t>
  </si>
  <si>
    <t xml:space="preserve">INV-25-26-000205</t>
  </si>
  <si>
    <t xml:space="preserve">INV-25-26-000206</t>
  </si>
  <si>
    <t xml:space="preserve">INV-25-26-000208</t>
  </si>
  <si>
    <t xml:space="preserve">INV-25-26-000210</t>
  </si>
  <si>
    <t xml:space="preserve">INV-25-26-000212</t>
  </si>
  <si>
    <t xml:space="preserve">INV-25-26-000213</t>
  </si>
  <si>
    <t xml:space="preserve">INV-25-26-000218</t>
  </si>
  <si>
    <t xml:space="preserve">INV-25-26-000219</t>
  </si>
  <si>
    <t xml:space="preserve">CN-00003</t>
  </si>
  <si>
    <t xml:space="preserve">CN-00004</t>
  </si>
  <si>
    <t xml:space="preserve">INV-25-26-000220</t>
  </si>
  <si>
    <t xml:space="preserve">INV-25-26-000223</t>
  </si>
  <si>
    <t xml:space="preserve">INV-25-26-000224</t>
  </si>
  <si>
    <t xml:space="preserve">INV-25-26-000226</t>
  </si>
  <si>
    <t xml:space="preserve">INV-25-26-000228</t>
  </si>
  <si>
    <t xml:space="preserve">INV-25-26-000229</t>
  </si>
  <si>
    <t xml:space="preserve">INV-25-26-000230</t>
  </si>
  <si>
    <t xml:space="preserve">INV-25-26-000231</t>
  </si>
  <si>
    <t xml:space="preserve">INV-25-26-000232</t>
  </si>
  <si>
    <t xml:space="preserve">INV-25-26-000234</t>
  </si>
  <si>
    <t xml:space="preserve">INV-25-26-000241</t>
  </si>
  <si>
    <t xml:space="preserve">INV-25-26-000246</t>
  </si>
  <si>
    <t xml:space="preserve">INV-25-26-000248</t>
  </si>
  <si>
    <t xml:space="preserve">INV-25-26-000249</t>
  </si>
  <si>
    <t xml:space="preserve">INV-25-26-000256</t>
  </si>
  <si>
    <t xml:space="preserve">INV-25-26-000259</t>
  </si>
  <si>
    <t xml:space="preserve">INV-25-26-000260</t>
  </si>
  <si>
    <t xml:space="preserve">INV-25-26-000262</t>
  </si>
  <si>
    <t xml:space="preserve">INV-25-26-000263</t>
  </si>
  <si>
    <t xml:space="preserve">INV-25-26-000264</t>
  </si>
  <si>
    <t xml:space="preserve">INV-25-26-000265</t>
  </si>
  <si>
    <t xml:space="preserve">Trust Law Advocate &amp; Solicitors</t>
  </si>
  <si>
    <t xml:space="preserve">INV-25-26-000272</t>
  </si>
  <si>
    <t xml:space="preserve">INV-25-26-000275</t>
  </si>
  <si>
    <t xml:space="preserve">INV-25-26-000277</t>
  </si>
  <si>
    <t xml:space="preserve">INV-25-26-000283</t>
  </si>
  <si>
    <t xml:space="preserve">INV-25-26-000284</t>
  </si>
  <si>
    <t xml:space="preserve">INV-25-26-000287</t>
  </si>
  <si>
    <t xml:space="preserve">INV-25-26-000288</t>
  </si>
  <si>
    <t xml:space="preserve">INV-25-26-000292</t>
  </si>
  <si>
    <t xml:space="preserve">INV-25-26-000297</t>
  </si>
  <si>
    <t xml:space="preserve">INV-25-26-000304</t>
  </si>
  <si>
    <t xml:space="preserve">INV-25-26-000309</t>
  </si>
  <si>
    <t xml:space="preserve">INV-25-26-000310</t>
  </si>
  <si>
    <t xml:space="preserve">INV-25-26-000312</t>
  </si>
  <si>
    <t xml:space="preserve">INV-25-26-000313</t>
  </si>
  <si>
    <t xml:space="preserve">CN-00007</t>
  </si>
  <si>
    <t xml:space="preserve">CN-00008</t>
  </si>
  <si>
    <t xml:space="preserve">CN-00009</t>
  </si>
  <si>
    <t xml:space="preserve">CN-00010</t>
  </si>
  <si>
    <t xml:space="preserve">INV-25-26-000323</t>
  </si>
  <si>
    <t xml:space="preserve">INV-25-26-000324</t>
  </si>
  <si>
    <t xml:space="preserve">INV-25-26-000332</t>
  </si>
  <si>
    <t xml:space="preserve">INV-25-26-000333</t>
  </si>
  <si>
    <t xml:space="preserve">INV-25-26-000336</t>
  </si>
  <si>
    <t xml:space="preserve">INV-25-26-000337</t>
  </si>
  <si>
    <t xml:space="preserve">INV-25-26-000338</t>
  </si>
  <si>
    <t xml:space="preserve">INV-25-26-000343</t>
  </si>
  <si>
    <t xml:space="preserve">INV-25-26-000344</t>
  </si>
  <si>
    <t xml:space="preserve">INV-25-26-000345</t>
  </si>
  <si>
    <t xml:space="preserve">INV-25-26-000346</t>
  </si>
  <si>
    <t xml:space="preserve">INV-25-26-000347</t>
  </si>
  <si>
    <t xml:space="preserve">INV-25-26-000357</t>
  </si>
  <si>
    <t xml:space="preserve">INV-25-26-000358</t>
  </si>
  <si>
    <t xml:space="preserve">INV-25-26-000359</t>
  </si>
  <si>
    <t xml:space="preserve">INV-25-26-000360</t>
  </si>
  <si>
    <t xml:space="preserve">INV-25-26-000361</t>
  </si>
  <si>
    <t xml:space="preserve">INV-25-26-000365</t>
  </si>
  <si>
    <t xml:space="preserve">INV-25-26-000366</t>
  </si>
  <si>
    <t xml:space="preserve">INV-25-26-000367</t>
  </si>
  <si>
    <t xml:space="preserve">INV-25-26-000368</t>
  </si>
  <si>
    <t xml:space="preserve">INV-25-26-000372</t>
  </si>
  <si>
    <t xml:space="preserve">INV-25-26-000373</t>
  </si>
  <si>
    <t xml:space="preserve">INV-25-26-000374</t>
  </si>
  <si>
    <t xml:space="preserve">INV-25-26-000376</t>
  </si>
  <si>
    <t xml:space="preserve">INV-25-26-000382</t>
  </si>
  <si>
    <t xml:space="preserve">INV-25-26-000388</t>
  </si>
  <si>
    <t xml:space="preserve">INV-25-26-000390</t>
  </si>
  <si>
    <t xml:space="preserve">INV-25-26-000397</t>
  </si>
  <si>
    <t xml:space="preserve">INV-25-26-000398</t>
  </si>
  <si>
    <t xml:space="preserve">CN-00012</t>
  </si>
  <si>
    <t xml:space="preserve">CN-00013</t>
  </si>
  <si>
    <t xml:space="preserve">INV-25-26-000405</t>
  </si>
  <si>
    <t xml:space="preserve">CN-00023</t>
  </si>
  <si>
    <t xml:space="preserve">INV-25-26-000409</t>
  </si>
  <si>
    <t xml:space="preserve">INV-25-26-000408</t>
  </si>
  <si>
    <t xml:space="preserve">INV-25-26-000410</t>
  </si>
  <si>
    <t xml:space="preserve">INV-25-26-000415</t>
  </si>
  <si>
    <t xml:space="preserve">INV-25-26-000416</t>
  </si>
  <si>
    <t xml:space="preserve">IndusLaw-ISD</t>
  </si>
  <si>
    <t xml:space="preserve">INV-25-26-000421</t>
  </si>
  <si>
    <t xml:space="preserve">INV-25-26-000420</t>
  </si>
  <si>
    <t xml:space="preserve">INV-25-26-000424</t>
  </si>
  <si>
    <t xml:space="preserve">INV-25-26-000425</t>
  </si>
  <si>
    <t xml:space="preserve">INV-25-26-000427</t>
  </si>
  <si>
    <t xml:space="preserve">INV-25-26-000430</t>
  </si>
  <si>
    <t xml:space="preserve">INV-25-26-000429</t>
  </si>
  <si>
    <t xml:space="preserve">INV-25-26-000432</t>
  </si>
  <si>
    <t xml:space="preserve">INV-25-26-000441</t>
  </si>
  <si>
    <t xml:space="preserve">INV-25-26-000436</t>
  </si>
  <si>
    <t xml:space="preserve">INV-25-26-000435</t>
  </si>
  <si>
    <t xml:space="preserve">CN-00025</t>
  </si>
  <si>
    <t xml:space="preserve">INV-25-26-000446</t>
  </si>
  <si>
    <t xml:space="preserve">INV-25-26-000447</t>
  </si>
  <si>
    <t xml:space="preserve">INV-25-26-000449</t>
  </si>
  <si>
    <t xml:space="preserve">INV-25-26-000448</t>
  </si>
  <si>
    <t xml:space="preserve">INV-25-26-000452</t>
  </si>
  <si>
    <t xml:space="preserve">INV-25-26-000453</t>
  </si>
  <si>
    <t xml:space="preserve">INV-25-26-000455</t>
  </si>
  <si>
    <t xml:space="preserve">INV-25-26-000454</t>
  </si>
  <si>
    <t xml:space="preserve">INV-25-26-000456</t>
  </si>
  <si>
    <t xml:space="preserve">INV-25-26-000457</t>
  </si>
  <si>
    <t xml:space="preserve">INV-25-26-000458</t>
  </si>
  <si>
    <t xml:space="preserve">CN-00027</t>
  </si>
  <si>
    <t xml:space="preserve">CN-00028</t>
  </si>
  <si>
    <t xml:space="preserve">INV-25-26-000459</t>
  </si>
  <si>
    <t xml:space="preserve">INV-25-26-000465</t>
  </si>
  <si>
    <t xml:space="preserve">CN-00029</t>
  </si>
  <si>
    <t xml:space="preserve">INV-25-26-000468</t>
  </si>
  <si>
    <t xml:space="preserve">CN-00030</t>
  </si>
  <si>
    <t xml:space="preserve">CN-00031</t>
  </si>
  <si>
    <t xml:space="preserve">CN-00032</t>
  </si>
  <si>
    <t xml:space="preserve">CN-00033</t>
  </si>
  <si>
    <t xml:space="preserve">INV-25-26-000474</t>
  </si>
  <si>
    <t xml:space="preserve">Jayant Mehta</t>
  </si>
  <si>
    <t xml:space="preserve">INV-25-26-000476</t>
  </si>
  <si>
    <t xml:space="preserve">CN-00034</t>
  </si>
  <si>
    <t xml:space="preserve">CN-00035</t>
  </si>
  <si>
    <t xml:space="preserve">INV-25-26-000479</t>
  </si>
  <si>
    <t xml:space="preserve">INV-25-26-000481</t>
  </si>
  <si>
    <t xml:space="preserve">INV-25-26-000482</t>
  </si>
  <si>
    <t xml:space="preserve">INV-25-26-000483</t>
  </si>
  <si>
    <t xml:space="preserve">INV-25-26-000484</t>
  </si>
  <si>
    <t xml:space="preserve">INV-25-26-000485</t>
  </si>
  <si>
    <t xml:space="preserve">INV-25-26-000486</t>
  </si>
  <si>
    <t xml:space="preserve">INV-25-26-000487</t>
  </si>
  <si>
    <t xml:space="preserve">INV-25-26-000488</t>
  </si>
  <si>
    <t xml:space="preserve">INV-25-26-000489</t>
  </si>
  <si>
    <t xml:space="preserve">SACH &amp; THARAAS ADVOCATES</t>
  </si>
  <si>
    <t xml:space="preserve">INV-25-26-000490</t>
  </si>
  <si>
    <t xml:space="preserve">INV-25-26-000491</t>
  </si>
  <si>
    <t xml:space="preserve">Udyam Law Practice</t>
  </si>
  <si>
    <t xml:space="preserve">INV-25-26-000492</t>
  </si>
  <si>
    <t xml:space="preserve">INV-25-26-000493</t>
  </si>
  <si>
    <t xml:space="preserve">Lzafeer Ahmad B F</t>
  </si>
  <si>
    <t xml:space="preserve">INV-25-26-000494</t>
  </si>
  <si>
    <t xml:space="preserve">INV-25-26-000495</t>
  </si>
  <si>
    <t xml:space="preserve">INV-25-26-000496</t>
  </si>
  <si>
    <t xml:space="preserve">INV-25-26-000497</t>
  </si>
  <si>
    <t xml:space="preserve">Puneet Rathsharma</t>
  </si>
  <si>
    <t xml:space="preserve">INV-25-26-000498</t>
  </si>
  <si>
    <t xml:space="preserve">Aarna Law LLP</t>
  </si>
  <si>
    <t xml:space="preserve">INV-25-26-000499</t>
  </si>
  <si>
    <t xml:space="preserve">INV-25-26-000500</t>
  </si>
  <si>
    <t xml:space="preserve">INV-25-26-000501</t>
  </si>
  <si>
    <t xml:space="preserve">Singularity Legal LLP</t>
  </si>
  <si>
    <t xml:space="preserve">INV-25-26-000502</t>
  </si>
  <si>
    <t xml:space="preserve">Sir Sobha Singh &amp; Sons Pvt Ltd</t>
  </si>
  <si>
    <t xml:space="preserve">INV-25-26-000503</t>
  </si>
  <si>
    <t xml:space="preserve">INV-25-26-000504</t>
  </si>
  <si>
    <t xml:space="preserve">Laksha Kalappa B</t>
  </si>
  <si>
    <t xml:space="preserve">INV-25-26-000505</t>
  </si>
  <si>
    <t xml:space="preserve">INV-25-26-000506</t>
  </si>
  <si>
    <t xml:space="preserve">INV-25-26-000507</t>
  </si>
  <si>
    <t xml:space="preserve">INV-25-26-000508</t>
  </si>
  <si>
    <t xml:space="preserve">INV-25-26-000509</t>
  </si>
  <si>
    <t xml:space="preserve">INV-25-26-000510</t>
  </si>
  <si>
    <t xml:space="preserve">INV-25-26-000511</t>
  </si>
  <si>
    <t xml:space="preserve">INV-25-26-000512</t>
  </si>
  <si>
    <t xml:space="preserve">INV-25-26-000513</t>
  </si>
  <si>
    <t xml:space="preserve">INV-25-26-000514</t>
  </si>
  <si>
    <t xml:space="preserve">INV-25-26-000515</t>
  </si>
  <si>
    <t xml:space="preserve">NINE PILLARS INFRATECH LLP</t>
  </si>
  <si>
    <t xml:space="preserve">INV-25-26-000516</t>
  </si>
  <si>
    <t xml:space="preserve">Dr Sanjay Jain</t>
  </si>
  <si>
    <t xml:space="preserve">INV-25-26-000517</t>
  </si>
  <si>
    <t xml:space="preserve">Arun Kumar P</t>
  </si>
  <si>
    <t xml:space="preserve">INV-25-26-000518</t>
  </si>
  <si>
    <t xml:space="preserve">Ahan Gadkari</t>
  </si>
  <si>
    <t xml:space="preserve">INV-25-26-000519</t>
  </si>
  <si>
    <t xml:space="preserve">ASREC India Ltd</t>
  </si>
  <si>
    <t xml:space="preserve">INV-25-26-000520</t>
  </si>
  <si>
    <t xml:space="preserve">Chavi V Jain</t>
  </si>
  <si>
    <t xml:space="preserve">INV-25-26-000521</t>
  </si>
  <si>
    <t xml:space="preserve">Mahadeshwara. D</t>
  </si>
  <si>
    <t xml:space="preserve">INV-25-26-000522</t>
  </si>
  <si>
    <t xml:space="preserve">Pramit Mohanty</t>
  </si>
  <si>
    <t xml:space="preserve">INV-25-26-000523</t>
  </si>
  <si>
    <t xml:space="preserve">Manaswi Agrawal</t>
  </si>
  <si>
    <t xml:space="preserve">INV-25-26-000524</t>
  </si>
  <si>
    <t xml:space="preserve">Pratap Venugopal, Senior Advocate</t>
  </si>
  <si>
    <t xml:space="preserve">INV-25-26-000525</t>
  </si>
  <si>
    <t xml:space="preserve">Parekh Legal Proprieter Ami Parekh</t>
  </si>
  <si>
    <t xml:space="preserve">INV-25-26-000526</t>
  </si>
  <si>
    <t xml:space="preserve">AKS LAW ASSOCIATES</t>
  </si>
  <si>
    <t xml:space="preserve">INV-25-26-000528</t>
  </si>
  <si>
    <t xml:space="preserve">INV-25-26-000529</t>
  </si>
  <si>
    <t xml:space="preserve">Aravindakshan Nair</t>
  </si>
  <si>
    <t xml:space="preserve">INV-25-26-000530</t>
  </si>
  <si>
    <t xml:space="preserve">Nyayosh Bharucha</t>
  </si>
  <si>
    <t xml:space="preserve">INV-25-26-000531</t>
  </si>
  <si>
    <t xml:space="preserve">Sahil Singh</t>
  </si>
  <si>
    <t xml:space="preserve">INV-25-26-000532</t>
  </si>
  <si>
    <t xml:space="preserve">Mohammed Moin</t>
  </si>
  <si>
    <t xml:space="preserve">INV-25-26-000534</t>
  </si>
  <si>
    <t xml:space="preserve">INV-25-26-000535</t>
  </si>
  <si>
    <t xml:space="preserve">Amicus Lex &amp; Associates</t>
  </si>
  <si>
    <t xml:space="preserve">INV-25-26-000536</t>
  </si>
  <si>
    <t xml:space="preserve">Athena Legal</t>
  </si>
  <si>
    <t xml:space="preserve">INV-25-26-000537</t>
  </si>
  <si>
    <t xml:space="preserve">Arvind Menon</t>
  </si>
  <si>
    <t xml:space="preserve">INV-25-26-000538</t>
  </si>
  <si>
    <t xml:space="preserve">INV-25-26-000539</t>
  </si>
  <si>
    <t xml:space="preserve">INV-25-26-000540</t>
  </si>
  <si>
    <t xml:space="preserve">INV-25-26-000541</t>
  </si>
  <si>
    <t xml:space="preserve">Kaizen Law</t>
  </si>
  <si>
    <t xml:space="preserve">INV-25-26-000542</t>
  </si>
  <si>
    <t xml:space="preserve">INV-25-26-000543</t>
  </si>
  <si>
    <t xml:space="preserve">INV-25-26-000544</t>
  </si>
  <si>
    <t xml:space="preserve">INV-25-26-000545</t>
  </si>
  <si>
    <t xml:space="preserve">Vrinda Taneja</t>
  </si>
  <si>
    <t xml:space="preserve">INV-25-26-000546</t>
  </si>
  <si>
    <t xml:space="preserve">INV-25-26-000547</t>
  </si>
  <si>
    <t xml:space="preserve">INV-25-26-000548</t>
  </si>
  <si>
    <t xml:space="preserve">INV-25-26-000549</t>
  </si>
  <si>
    <t xml:space="preserve">INV-25-26-000550</t>
  </si>
  <si>
    <t xml:space="preserve">INV-25-26-000551</t>
  </si>
  <si>
    <t xml:space="preserve">INV-25-26-000552</t>
  </si>
  <si>
    <t xml:space="preserve">Precinct Legal</t>
  </si>
  <si>
    <t xml:space="preserve">INV-25-26-000553</t>
  </si>
  <si>
    <t xml:space="preserve">Major Nirvikar Singh (Retd.)</t>
  </si>
  <si>
    <t xml:space="preserve">INV-25-26-000554</t>
  </si>
  <si>
    <t xml:space="preserve">INV-25-26-000555</t>
  </si>
  <si>
    <t xml:space="preserve">INV-25-26-000556</t>
  </si>
  <si>
    <t xml:space="preserve">Sandip Agarwal and Co.</t>
  </si>
  <si>
    <t xml:space="preserve">INV-25-26-000557</t>
  </si>
  <si>
    <t xml:space="preserve">INV-25-26-000558</t>
  </si>
  <si>
    <t xml:space="preserve">INV-25-26-000559</t>
  </si>
  <si>
    <t xml:space="preserve">Vinayak Sharma</t>
  </si>
  <si>
    <t xml:space="preserve">INV-25-26-000560</t>
  </si>
  <si>
    <t xml:space="preserve">INV-25-26-000561</t>
  </si>
  <si>
    <t xml:space="preserve">INV-25-26-000562</t>
  </si>
  <si>
    <t xml:space="preserve">Lighthouse Legal</t>
  </si>
  <si>
    <t xml:space="preserve">INV-25-26-000563</t>
  </si>
  <si>
    <t xml:space="preserve">AL- Fanar Closed Joint Stock Company</t>
  </si>
  <si>
    <t xml:space="preserve">INV-25-26-000564</t>
  </si>
  <si>
    <t xml:space="preserve">INV-25-26-000565</t>
  </si>
  <si>
    <t xml:space="preserve">INV-25-26-000566</t>
  </si>
  <si>
    <t xml:space="preserve">Kochhar &amp; Co.</t>
  </si>
  <si>
    <t xml:space="preserve">INV-25-26-000567</t>
  </si>
  <si>
    <t xml:space="preserve">Diya Kapur</t>
  </si>
  <si>
    <t xml:space="preserve">INV-25-26-000568</t>
  </si>
  <si>
    <t xml:space="preserve">INV-25-26-000569</t>
  </si>
  <si>
    <t xml:space="preserve">INV-25-26-000570</t>
  </si>
  <si>
    <t xml:space="preserve">K R Prasad Advocates</t>
  </si>
  <si>
    <t xml:space="preserve">INV-25-26-000571</t>
  </si>
  <si>
    <t xml:space="preserve">Optimus Legal</t>
  </si>
  <si>
    <t xml:space="preserve">INV-25-26-000572</t>
  </si>
  <si>
    <t xml:space="preserve">Vidhittas Legal</t>
  </si>
  <si>
    <t xml:space="preserve">INV-25-26-000573</t>
  </si>
  <si>
    <t xml:space="preserve">Solicitors India Law Offices</t>
  </si>
  <si>
    <t xml:space="preserve">INV-25-26-000574</t>
  </si>
  <si>
    <t xml:space="preserve">Jani &amp; Parikh, Advocates and Solicitors</t>
  </si>
  <si>
    <t xml:space="preserve">INV-25-26-000575</t>
  </si>
  <si>
    <t xml:space="preserve">Siddhant Makkar</t>
  </si>
  <si>
    <t xml:space="preserve">INV-25-26-000576</t>
  </si>
  <si>
    <t xml:space="preserve">Astik Vaid</t>
  </si>
  <si>
    <t xml:space="preserve">INV-25-26-000577</t>
  </si>
  <si>
    <t xml:space="preserve">Anand and Anand</t>
  </si>
  <si>
    <t xml:space="preserve">CN-00036</t>
  </si>
  <si>
    <t xml:space="preserve">CN-00037</t>
  </si>
  <si>
    <t xml:space="preserve">Feb</t>
  </si>
  <si>
    <t xml:space="preserve">Mar</t>
  </si>
  <si>
    <t xml:space="preserve">May</t>
  </si>
  <si>
    <t xml:space="preserve">June</t>
  </si>
  <si>
    <t xml:space="preserve">Sept</t>
  </si>
  <si>
    <t xml:space="preserve">Oct</t>
  </si>
  <si>
    <t xml:space="preserve">List of customer not continiued-Deletions</t>
  </si>
  <si>
    <t xml:space="preserve">S.No.</t>
  </si>
  <si>
    <t xml:space="preserve">List of customer added- Addition</t>
  </si>
  <si>
    <t xml:space="preserve">Invoice ID</t>
  </si>
  <si>
    <t xml:space="preserve">Customer ID</t>
  </si>
  <si>
    <t xml:space="preserve">Place of Supply</t>
  </si>
  <si>
    <t xml:space="preserve">Place of Supply(With State Code)</t>
  </si>
  <si>
    <t xml:space="preserve">GST Treatment</t>
  </si>
  <si>
    <t xml:space="preserve">Is Inclusive Tax</t>
  </si>
  <si>
    <t xml:space="preserve">Due Date</t>
  </si>
  <si>
    <t xml:space="preserve">PurchaseOrder</t>
  </si>
  <si>
    <t xml:space="preserve">Currency Code</t>
  </si>
  <si>
    <t xml:space="preserve">Exchange Rate</t>
  </si>
  <si>
    <t xml:space="preserve">Discount Type</t>
  </si>
  <si>
    <t xml:space="preserve">Is Discount Before Tax</t>
  </si>
  <si>
    <t xml:space="preserve">Template Name</t>
  </si>
  <si>
    <t xml:space="preserve">Entity Discount Percent</t>
  </si>
  <si>
    <t xml:space="preserve">TCS Tax Name</t>
  </si>
  <si>
    <t xml:space="preserve">TCS Percentage</t>
  </si>
  <si>
    <t xml:space="preserve">TDS Calculation Type</t>
  </si>
  <si>
    <t xml:space="preserve">TDS Name</t>
  </si>
  <si>
    <t xml:space="preserve">TDS Percentage</t>
  </si>
  <si>
    <t xml:space="preserve">TDS Section Code</t>
  </si>
  <si>
    <t xml:space="preserve">TDS Section</t>
  </si>
  <si>
    <t xml:space="preserve">TDS Amount</t>
  </si>
  <si>
    <t xml:space="preserve">SubTotal</t>
  </si>
  <si>
    <t xml:space="preserve">Balance</t>
  </si>
  <si>
    <t xml:space="preserve">Adjustment</t>
  </si>
  <si>
    <t xml:space="preserve">Adjustment Description</t>
  </si>
  <si>
    <t xml:space="preserve">Expected Payment Date</t>
  </si>
  <si>
    <t xml:space="preserve">Last Payment Date</t>
  </si>
  <si>
    <t xml:space="preserve">Payment Terms</t>
  </si>
  <si>
    <t xml:space="preserve">Payment Terms Label</t>
  </si>
  <si>
    <t xml:space="preserve">Notes</t>
  </si>
  <si>
    <t xml:space="preserve">Terms &amp; Conditions</t>
  </si>
  <si>
    <t xml:space="preserve">E-WayBill Number</t>
  </si>
  <si>
    <t xml:space="preserve">E-WayBill Generated Time</t>
  </si>
  <si>
    <t xml:space="preserve">E-WayBill Status</t>
  </si>
  <si>
    <t xml:space="preserve">E-WayBill Cancelled Time</t>
  </si>
  <si>
    <t xml:space="preserve">E-WayBill Expired Time</t>
  </si>
  <si>
    <t xml:space="preserve">Transporter Name</t>
  </si>
  <si>
    <t xml:space="preserve">Transporter ID</t>
  </si>
  <si>
    <t xml:space="preserve">TCS Amount</t>
  </si>
  <si>
    <t xml:space="preserve">Invoice Type</t>
  </si>
  <si>
    <t xml:space="preserve">Entity Discount Amount</t>
  </si>
  <si>
    <t xml:space="preserve">Shipping Charge</t>
  </si>
  <si>
    <t xml:space="preserve">Shipping Charge Tax ID</t>
  </si>
  <si>
    <t xml:space="preserve">Shipping Charge Tax Amount</t>
  </si>
  <si>
    <t xml:space="preserve">Shipping Charge Tax Name</t>
  </si>
  <si>
    <t xml:space="preserve">Shipping Charge Tax %</t>
  </si>
  <si>
    <t xml:space="preserve">Shipping Charge Tax Type</t>
  </si>
  <si>
    <t xml:space="preserve">Shipping Charge Tax Exemption Code</t>
  </si>
  <si>
    <t xml:space="preserve">Shipping Charge SAC Code</t>
  </si>
  <si>
    <t xml:space="preserve">Item Name</t>
  </si>
  <si>
    <t xml:space="preserve">Item Desc</t>
  </si>
  <si>
    <t xml:space="preserve">Quantity</t>
  </si>
  <si>
    <t xml:space="preserve">Discount</t>
  </si>
  <si>
    <t xml:space="preserve">Discount Amount</t>
  </si>
  <si>
    <t xml:space="preserve">Item Total</t>
  </si>
  <si>
    <t xml:space="preserve">Usage unit</t>
  </si>
  <si>
    <t xml:space="preserve">Item Price</t>
  </si>
  <si>
    <t xml:space="preserve">Product ID</t>
  </si>
  <si>
    <t xml:space="preserve">Brand</t>
  </si>
  <si>
    <t xml:space="preserve">Sales Order Number</t>
  </si>
  <si>
    <t xml:space="preserve">Expense Reference ID</t>
  </si>
  <si>
    <t xml:space="preserve">Recurrence Name</t>
  </si>
  <si>
    <t xml:space="preserve">Billing Attention</t>
  </si>
  <si>
    <t xml:space="preserve">Billing Address</t>
  </si>
  <si>
    <t xml:space="preserve">Billing Street2</t>
  </si>
  <si>
    <t xml:space="preserve">Billing City</t>
  </si>
  <si>
    <t xml:space="preserve">Billing State</t>
  </si>
  <si>
    <t xml:space="preserve">Billing Country</t>
  </si>
  <si>
    <t xml:space="preserve">Billing Code</t>
  </si>
  <si>
    <t xml:space="preserve">Billing Phone</t>
  </si>
  <si>
    <t xml:space="preserve">Billing Fax</t>
  </si>
  <si>
    <t xml:space="preserve">Shipping Attention</t>
  </si>
  <si>
    <t xml:space="preserve">Shipping Address</t>
  </si>
  <si>
    <t xml:space="preserve">Shipping Street2</t>
  </si>
  <si>
    <t xml:space="preserve">Shipping City</t>
  </si>
  <si>
    <t xml:space="preserve">Shipping State</t>
  </si>
  <si>
    <t xml:space="preserve">Shipping Country</t>
  </si>
  <si>
    <t xml:space="preserve">Shipping Code</t>
  </si>
  <si>
    <t xml:space="preserve">Shipping Fax</t>
  </si>
  <si>
    <t xml:space="preserve">Shipping Phone Number</t>
  </si>
  <si>
    <t xml:space="preserve">Supplier Org Name</t>
  </si>
  <si>
    <t xml:space="preserve">Supplier GST Registration Number</t>
  </si>
  <si>
    <t xml:space="preserve">Supplier Street Address</t>
  </si>
  <si>
    <t xml:space="preserve">Supplier City</t>
  </si>
  <si>
    <t xml:space="preserve">Supplier State</t>
  </si>
  <si>
    <t xml:space="preserve">Supplier Country</t>
  </si>
  <si>
    <t xml:space="preserve">Supplier ZipCode</t>
  </si>
  <si>
    <t xml:space="preserve">Supplier Phone</t>
  </si>
  <si>
    <t xml:space="preserve">Supplier E-Mail</t>
  </si>
  <si>
    <t xml:space="preserve">CGST Rate %</t>
  </si>
  <si>
    <t xml:space="preserve">SGST Rate %</t>
  </si>
  <si>
    <t xml:space="preserve">IGST Rate %</t>
  </si>
  <si>
    <t xml:space="preserve">CESS Rate %</t>
  </si>
  <si>
    <t xml:space="preserve">CGST(FCY)</t>
  </si>
  <si>
    <t xml:space="preserve">SGST(FCY)</t>
  </si>
  <si>
    <t xml:space="preserve">IGST(FCY)</t>
  </si>
  <si>
    <t xml:space="preserve">CESS(FCY)</t>
  </si>
  <si>
    <t xml:space="preserve">CGST</t>
  </si>
  <si>
    <t xml:space="preserve">SGST</t>
  </si>
  <si>
    <t xml:space="preserve">IGST</t>
  </si>
  <si>
    <t xml:space="preserve">CESS</t>
  </si>
  <si>
    <t xml:space="preserve">Reverse Charge Tax Name</t>
  </si>
  <si>
    <t xml:space="preserve">Reverse Charge Tax Rate</t>
  </si>
  <si>
    <t xml:space="preserve">Reverse Charge Tax Type</t>
  </si>
  <si>
    <t xml:space="preserve">Item TDS Name</t>
  </si>
  <si>
    <t xml:space="preserve">Item TDS Percentage</t>
  </si>
  <si>
    <t xml:space="preserve">Item TDS Amount</t>
  </si>
  <si>
    <t xml:space="preserve">Item TDS Section Code</t>
  </si>
  <si>
    <t xml:space="preserve">Item TDS Section</t>
  </si>
  <si>
    <t xml:space="preserve">GST Identification Number (GSTIN)</t>
  </si>
  <si>
    <t xml:space="preserve">Nature Of Collection</t>
  </si>
  <si>
    <t xml:space="preserve">Project ID</t>
  </si>
  <si>
    <t xml:space="preserve">Project Name</t>
  </si>
  <si>
    <t xml:space="preserve">HSN/SAC</t>
  </si>
  <si>
    <t xml:space="preserve">Round Off</t>
  </si>
  <si>
    <t xml:space="preserve">Sales person</t>
  </si>
  <si>
    <t xml:space="preserve">Subject</t>
  </si>
  <si>
    <t xml:space="preserve">Primary Contact EmailID</t>
  </si>
  <si>
    <t xml:space="preserve">Primary Contact Mobile</t>
  </si>
  <si>
    <t xml:space="preserve">Primary Contact Phone</t>
  </si>
  <si>
    <t xml:space="preserve">Estimate Number</t>
  </si>
  <si>
    <t xml:space="preserve">Item Type</t>
  </si>
  <si>
    <t xml:space="preserve">Custom Charges</t>
  </si>
  <si>
    <t xml:space="preserve">Shipping Bill#</t>
  </si>
  <si>
    <t xml:space="preserve">Shipping Bill Date</t>
  </si>
  <si>
    <t xml:space="preserve">Shipping Bill Total</t>
  </si>
  <si>
    <t xml:space="preserve">PortCode</t>
  </si>
  <si>
    <t xml:space="preserve">Reference Invoice#</t>
  </si>
  <si>
    <t xml:space="preserve">Reference Invoice Date</t>
  </si>
  <si>
    <t xml:space="preserve">Reference Invoice Type</t>
  </si>
  <si>
    <t xml:space="preserve">GST Registration Number(Reference Invoice)</t>
  </si>
  <si>
    <t xml:space="preserve">Reason for issuing Debit Note</t>
  </si>
  <si>
    <t xml:space="preserve">E-Commerce Operator Name</t>
  </si>
  <si>
    <t xml:space="preserve">E-Commerce Operator GSTIN</t>
  </si>
  <si>
    <t xml:space="preserve">Account</t>
  </si>
  <si>
    <t xml:space="preserve">Account Code</t>
  </si>
  <si>
    <t xml:space="preserve">Supply Type</t>
  </si>
  <si>
    <t xml:space="preserve">Tax ID</t>
  </si>
  <si>
    <t xml:space="preserve">Item Tax</t>
  </si>
  <si>
    <t xml:space="preserve">Item Tax %</t>
  </si>
  <si>
    <t xml:space="preserve">Item Tax Amount</t>
  </si>
  <si>
    <t xml:space="preserve">Item Tax Type</t>
  </si>
  <si>
    <t xml:space="preserve">Item Tax Exemption Reason</t>
  </si>
  <si>
    <t xml:space="preserve">Kit Combo Item Name</t>
  </si>
  <si>
    <t xml:space="preserve">2297152000000050064</t>
  </si>
  <si>
    <t xml:space="preserve">2297152000000050001</t>
  </si>
  <si>
    <t xml:space="preserve">DL</t>
  </si>
  <si>
    <t xml:space="preserve">07-Delhi</t>
  </si>
  <si>
    <t xml:space="preserve">business_none</t>
  </si>
  <si>
    <t xml:space="preserve">false</t>
  </si>
  <si>
    <t xml:space="preserve">INR</t>
  </si>
  <si>
    <t xml:space="preserve">item_level</t>
  </si>
  <si>
    <t xml:space="preserve">true</t>
  </si>
  <si>
    <t xml:space="preserve">Tax Invoice</t>
  </si>
  <si>
    <t xml:space="preserve">0.00</t>
  </si>
  <si>
    <t xml:space="preserve">entity_level</t>
  </si>
  <si>
    <t xml:space="preserve">Technical Fees (2%)</t>
  </si>
  <si>
    <t xml:space="preserve">2.00</t>
  </si>
  <si>
    <t xml:space="preserve">194J</t>
  </si>
  <si>
    <t xml:space="preserve">Section 194 J</t>
  </si>
  <si>
    <t xml:space="preserve">1200.000</t>
  </si>
  <si>
    <t xml:space="preserve">0</t>
  </si>
  <si>
    <t xml:space="preserve">Due On Receipt</t>
  </si>
  <si>
    <t xml:space="preserve">Thanks for your business.</t>
  </si>
  <si>
    <t xml:space="preserve">0.0</t>
  </si>
  <si>
    <t xml:space="preserve">Jurisphere Enterprise Subscription</t>
  </si>
  <si>
    <t xml:space="preserve">License Period- 1st Apr to 30th June25
Description-
10 licenses for 3 months, at Rs. 2000
each month per license</t>
  </si>
  <si>
    <t xml:space="preserve">pcs</t>
  </si>
  <si>
    <t xml:space="preserve">2297152000000039748</t>
  </si>
  <si>
    <t xml:space="preserve">2nd Floor, Block E, The MIRA Plot 1 &amp; 2,</t>
  </si>
  <si>
    <t xml:space="preserve">Ishwar Nagar, Mathura Road,</t>
  </si>
  <si>
    <t xml:space="preserve">New Delhi</t>
  </si>
  <si>
    <t xml:space="preserve">Delhi</t>
  </si>
  <si>
    <t xml:space="preserve">India</t>
  </si>
  <si>
    <t xml:space="preserve">110065</t>
  </si>
  <si>
    <t xml:space="preserve">09AALCC7037K1Z7</t>
  </si>
  <si>
    <t xml:space="preserve">16026, 16th Floor, Tower Oakwood,</t>
  </si>
  <si>
    <t xml:space="preserve">Greater Noida,</t>
  </si>
  <si>
    <t xml:space="preserve">Uttar Pradesh</t>
  </si>
  <si>
    <t xml:space="preserve">201306</t>
  </si>
  <si>
    <t xml:space="preserve">8928163657</t>
  </si>
  <si>
    <t xml:space="preserve">manas@jurisphere.ai</t>
  </si>
  <si>
    <t xml:space="preserve">18.00</t>
  </si>
  <si>
    <t xml:space="preserve">10800.00</t>
  </si>
  <si>
    <t xml:space="preserve">998313</t>
  </si>
  <si>
    <t xml:space="preserve">service</t>
  </si>
  <si>
    <t xml:space="preserve">Others</t>
  </si>
  <si>
    <t xml:space="preserve">Sales</t>
  </si>
  <si>
    <t xml:space="preserve">Taxable</t>
  </si>
  <si>
    <t xml:space="preserve">2297152000000031111</t>
  </si>
  <si>
    <t xml:space="preserve">IGST18</t>
  </si>
  <si>
    <t xml:space="preserve">ItemAmount</t>
  </si>
  <si>
    <t xml:space="preserve">2297152000000050138</t>
  </si>
  <si>
    <t xml:space="preserve">2297152000000050113</t>
  </si>
  <si>
    <t xml:space="preserve">MH</t>
  </si>
  <si>
    <t xml:space="preserve">27-Maharashtra</t>
  </si>
  <si>
    <t xml:space="preserve">0.000</t>
  </si>
  <si>
    <t xml:space="preserve">1. FLEXIBLE CANCELLATION, WITH PRO-RATED REFUND
2. ALL UPCOMING FEATURES WILL BE INCLUDED IN THE SUBSCRIPTION</t>
  </si>
  <si>
    <t xml:space="preserve"> Period - 1st Apr 25 to 31st May 25
Description- Pilot Access of 5 licenses for 2 months of Rs.15000 per month</t>
  </si>
  <si>
    <t xml:space="preserve">5400.00</t>
  </si>
  <si>
    <t xml:space="preserve">2297152000000050202</t>
  </si>
  <si>
    <t xml:space="preserve">2297152000000050184</t>
  </si>
  <si>
    <t xml:space="preserve">business_registered_composition</t>
  </si>
  <si>
    <t xml:space="preserve">19872.000</t>
  </si>
  <si>
    <t xml:space="preserve">Duration - 6 months Subscriptions
Description- 46 licenses of Rs. 4000 per month per license</t>
  </si>
  <si>
    <t xml:space="preserve">10.00</t>
  </si>
  <si>
    <t xml:space="preserve">110400.000</t>
  </si>
  <si>
    <t xml:space="preserve">Tushar Raut</t>
  </si>
  <si>
    <t xml:space="preserve">1st Floor, Veritas Legal, Forbes Building,</t>
  </si>
  <si>
    <t xml:space="preserve">Charanjit Rai Marg, Azad Maidan, Fort,</t>
  </si>
  <si>
    <t xml:space="preserve">Mumbai</t>
  </si>
  <si>
    <t xml:space="preserve">Maharashtra</t>
  </si>
  <si>
    <t xml:space="preserve">400001</t>
  </si>
  <si>
    <t xml:space="preserve">+91-22-43686700</t>
  </si>
  <si>
    <t xml:space="preserve">178848.00</t>
  </si>
  <si>
    <t xml:space="preserve">27AANFV0524F1Z7</t>
  </si>
  <si>
    <t xml:space="preserve">tushar.raut@veritaslegal.in</t>
  </si>
  <si>
    <t xml:space="preserve">2297152000000051047</t>
  </si>
  <si>
    <t xml:space="preserve">2297152000000051029</t>
  </si>
  <si>
    <t xml:space="preserve">business_gst</t>
  </si>
  <si>
    <t xml:space="preserve">Professional Fees</t>
  </si>
  <si>
    <t xml:space="preserve">3000.000</t>
  </si>
  <si>
    <t xml:space="preserve">Subscription Period : monthly invoice
01 April 2025 to 30 June, 2025
Unlimited Access- Enterprise Tool (for 15 users)</t>
  </si>
  <si>
    <t xml:space="preserve">Unit No.3A, PV House, FP No. 85,</t>
  </si>
  <si>
    <t xml:space="preserve">T.P. Scheme No. 1 55, Damle Road, Erandwane</t>
  </si>
  <si>
    <t xml:space="preserve">Pune</t>
  </si>
  <si>
    <t xml:space="preserve">411004</t>
  </si>
  <si>
    <t xml:space="preserve">27AAFFL6917J1ZZ</t>
  </si>
  <si>
    <t xml:space="preserve">2297152000000051071</t>
  </si>
  <si>
    <t xml:space="preserve">2297152000000051011</t>
  </si>
  <si>
    <t xml:space="preserve">WB</t>
  </si>
  <si>
    <t xml:space="preserve">19-West Bengal</t>
  </si>
  <si>
    <t xml:space="preserve">Subscription Period- 1 year
Description- Unlimited Tool for 2 logins</t>
  </si>
  <si>
    <t xml:space="preserve">6, Brabourne Road,</t>
  </si>
  <si>
    <t xml:space="preserve">Kolkata</t>
  </si>
  <si>
    <t xml:space="preserve">West Bengal</t>
  </si>
  <si>
    <t xml:space="preserve">700001</t>
  </si>
  <si>
    <t xml:space="preserve">17820.00</t>
  </si>
  <si>
    <t xml:space="preserve">19AAVFV8769L1ZO</t>
  </si>
  <si>
    <t xml:space="preserve">2297152000000053035</t>
  </si>
  <si>
    <t xml:space="preserve">2297152000000053017</t>
  </si>
  <si>
    <t xml:space="preserve">Description - 10 credits for MCA of INR 200/credit</t>
  </si>
  <si>
    <t xml:space="preserve">C 36 Lower Ground Floor,</t>
  </si>
  <si>
    <t xml:space="preserve">Mayfair Gardens,</t>
  </si>
  <si>
    <t xml:space="preserve">110019</t>
  </si>
  <si>
    <t xml:space="preserve">360.00</t>
  </si>
  <si>
    <t xml:space="preserve">2297152000000054231</t>
  </si>
  <si>
    <t xml:space="preserve">2297152000000054193</t>
  </si>
  <si>
    <t xml:space="preserve">Description -
Unlimited usage of 1 license for 2 months for Rs.4000/month </t>
  </si>
  <si>
    <t xml:space="preserve">2ND FLOOR, 114, SUNDERVILLA, SV ROAD,</t>
  </si>
  <si>
    <t xml:space="preserve">NEXT TO VIJAY SALES, SANTACRUZ WEST, Mumbai Suburban,</t>
  </si>
  <si>
    <t xml:space="preserve">400054</t>
  </si>
  <si>
    <t xml:space="preserve">1440.00</t>
  </si>
  <si>
    <t xml:space="preserve">27AACFU5143J1Z1</t>
  </si>
  <si>
    <t xml:space="preserve">2297152000000054324</t>
  </si>
  <si>
    <t xml:space="preserve">2297152000000061001</t>
  </si>
  <si>
    <t xml:space="preserve">UP</t>
  </si>
  <si>
    <t xml:space="preserve">09-Uttar Pradesh</t>
  </si>
  <si>
    <t xml:space="preserve">Razorpay B2C sales from 1st Apr to 7th Apr 25</t>
  </si>
  <si>
    <t xml:space="preserve">9.00</t>
  </si>
  <si>
    <t xml:space="preserve">1104.94</t>
  </si>
  <si>
    <t xml:space="preserve">2297152000000031213</t>
  </si>
  <si>
    <t xml:space="preserve">GST18</t>
  </si>
  <si>
    <t xml:space="preserve">Tax Group</t>
  </si>
  <si>
    <t xml:space="preserve">2297152000000054375</t>
  </si>
  <si>
    <t xml:space="preserve">2297152000000054306</t>
  </si>
  <si>
    <t xml:space="preserve">Subscription- Monthly for the period started from April 15, 2025 to April 14, 2026
Description- 1 License for INR 5000</t>
  </si>
  <si>
    <t xml:space="preserve">Lucknow</t>
  </si>
  <si>
    <t xml:space="preserve">450.00</t>
  </si>
  <si>
    <t xml:space="preserve">2297152000000054400</t>
  </si>
  <si>
    <t xml:space="preserve">2297152000000054432</t>
  </si>
  <si>
    <t xml:space="preserve">Subscription- Annual Subscription from 8th April 2025 
Description- 1 License for INR 60000</t>
  </si>
  <si>
    <t xml:space="preserve">14.28</t>
  </si>
  <si>
    <t xml:space="preserve">9996.000</t>
  </si>
  <si>
    <t xml:space="preserve">251, Tower-5,</t>
  </si>
  <si>
    <t xml:space="preserve">Supreme Enclave,
Mayur Vihar-1,</t>
  </si>
  <si>
    <t xml:space="preserve">110091</t>
  </si>
  <si>
    <t xml:space="preserve">10800.72</t>
  </si>
  <si>
    <t xml:space="preserve">2297152000000054492</t>
  </si>
  <si>
    <t xml:space="preserve">2297152000000054474</t>
  </si>
  <si>
    <t xml:space="preserve">Subscription- 2 Months Contract
Description- 1 License for INR 3000/month.
Customer may opt-out out of the contract with a pro-rata refund at anytime during the duration of the contract.</t>
  </si>
  <si>
    <t xml:space="preserve">Ground Floor, S-456,</t>
  </si>
  <si>
    <t xml:space="preserve">GK 2,</t>
  </si>
  <si>
    <t xml:space="preserve">110048</t>
  </si>
  <si>
    <t xml:space="preserve">1080.00</t>
  </si>
  <si>
    <t xml:space="preserve">2297152000000054539</t>
  </si>
  <si>
    <t xml:space="preserve">2297152000000054510</t>
  </si>
  <si>
    <t xml:space="preserve">Subscription Period- 2 months
Description- 1 login of INR 4000 for 2 months, Only for document Review and Research</t>
  </si>
  <si>
    <t xml:space="preserve">75, Qutab View Apartments,</t>
  </si>
  <si>
    <t xml:space="preserve">Katwaria Sarai,</t>
  </si>
  <si>
    <t xml:space="preserve">110016</t>
  </si>
  <si>
    <t xml:space="preserve">720.00</t>
  </si>
  <si>
    <t xml:space="preserve">07AEGPB1913B1ZC</t>
  </si>
  <si>
    <t xml:space="preserve">2297152000000054571</t>
  </si>
  <si>
    <t xml:space="preserve">2297152000000054553</t>
  </si>
  <si>
    <t xml:space="preserve">1355.940</t>
  </si>
  <si>
    <t xml:space="preserve">Subscription Period- 1st April, 2025 to 30th June, 2025</t>
  </si>
  <si>
    <t xml:space="preserve">Nitin Jain</t>
  </si>
  <si>
    <t xml:space="preserve">13th Floor Oppt, MTNL Office, 
Lodha Supremus,</t>
  </si>
  <si>
    <t xml:space="preserve">1301, Saki Vihar Rd,
Tunga Village, Chandivali, Powai,</t>
  </si>
  <si>
    <t xml:space="preserve">400072</t>
  </si>
  <si>
    <t xml:space="preserve">12203.46</t>
  </si>
  <si>
    <t xml:space="preserve">nitin@agamalaw.com</t>
  </si>
  <si>
    <t xml:space="preserve">7506122343</t>
  </si>
  <si>
    <t xml:space="preserve">022-40229129</t>
  </si>
  <si>
    <t xml:space="preserve">2297152000000054775</t>
  </si>
  <si>
    <t xml:space="preserve">2297152000000054757</t>
  </si>
  <si>
    <t xml:space="preserve">Subscription Period- 1 month started from 10th April, 2025 to 9th May, 2025
Description - 3 License for Rs. 7000 each for per month </t>
  </si>
  <si>
    <t xml:space="preserve">RIshi Rajani</t>
  </si>
  <si>
    <t xml:space="preserve">204-207, Krishna Chambers,</t>
  </si>
  <si>
    <t xml:space="preserve">59 New Marine Lines,
Churchgate,</t>
  </si>
  <si>
    <t xml:space="preserve">Mumbai,</t>
  </si>
  <si>
    <t xml:space="preserve">400020</t>
  </si>
  <si>
    <t xml:space="preserve">3780.00</t>
  </si>
  <si>
    <t xml:space="preserve">27AANFR0363C1ZC</t>
  </si>
  <si>
    <t xml:space="preserve">rishi@rajaniassociates.net</t>
  </si>
  <si>
    <t xml:space="preserve">2297152000000060019</t>
  </si>
  <si>
    <t xml:space="preserve">2297152000000060001</t>
  </si>
  <si>
    <t xml:space="preserve">Subscription Period- 28 February , 2025 to 27 August, 2025</t>
  </si>
  <si>
    <t xml:space="preserve">5.00</t>
  </si>
  <si>
    <t xml:space="preserve">4500.000</t>
  </si>
  <si>
    <t xml:space="preserve">7695.00</t>
  </si>
  <si>
    <t xml:space="preserve">2297152000000060073</t>
  </si>
  <si>
    <t xml:space="preserve">2297152000000060055</t>
  </si>
  <si>
    <t xml:space="preserve">Subscription Period- Apr 25 Monthly Subscription started from  9th Mar 2025 to 9th Mar 2026
Description - Monthly payment cycle</t>
  </si>
  <si>
    <t xml:space="preserve">1800.00</t>
  </si>
  <si>
    <t xml:space="preserve">2297152000000061097</t>
  </si>
  <si>
    <t xml:space="preserve">2297152000000061081</t>
  </si>
  <si>
    <t xml:space="preserve">Subscription Period- Annually
Description- 6 licenses with unlimited usage (litigation)</t>
  </si>
  <si>
    <t xml:space="preserve">16.66</t>
  </si>
  <si>
    <t xml:space="preserve">29988.000</t>
  </si>
  <si>
    <t xml:space="preserve">A-3701, 37th Floor, Marathon Futurex,</t>
  </si>
  <si>
    <t xml:space="preserve">Mafatlal Mill Compound, 
N M Joshi Marg, Lower Parel,</t>
  </si>
  <si>
    <t xml:space="preserve">400013</t>
  </si>
  <si>
    <t xml:space="preserve">27002.16</t>
  </si>
  <si>
    <t xml:space="preserve">2297152000000066035</t>
  </si>
  <si>
    <t xml:space="preserve">2297152000000066001</t>
  </si>
  <si>
    <t xml:space="preserve">Subscription Period- 10th Apr 25 to 9th Apr 26
Description- 1 year contract of monthly invoicing for  payment of Rs 10,000</t>
  </si>
  <si>
    <t xml:space="preserve">D-246, Block D,</t>
  </si>
  <si>
    <t xml:space="preserve">Defence Colony,</t>
  </si>
  <si>
    <t xml:space="preserve">110024</t>
  </si>
  <si>
    <t xml:space="preserve">2297152000000068017</t>
  </si>
  <si>
    <t xml:space="preserve">2297152000000068001</t>
  </si>
  <si>
    <t xml:space="preserve">Vutts &amp; Associates LLP</t>
  </si>
  <si>
    <t xml:space="preserve">600.000</t>
  </si>
  <si>
    <t xml:space="preserve">Subscription Period- 2 months
Description- Pilot Project for 2 months of Rs. 15000/month, unlimited usage</t>
  </si>
  <si>
    <t xml:space="preserve">C-5/8, Block C 5,</t>
  </si>
  <si>
    <t xml:space="preserve">Safdarjung Development Area,
Hauz Khas</t>
  </si>
  <si>
    <t xml:space="preserve">2297152000000068067</t>
  </si>
  <si>
    <t xml:space="preserve">2297152000000068029</t>
  </si>
  <si>
    <t xml:space="preserve">Subscription Period- 07/03/2025 - 06/04/2025 
Description- Monthly Invoice for Rs. 20,000</t>
  </si>
  <si>
    <t xml:space="preserve">Darius- 07/03/2025 - 06/04/2025 </t>
  </si>
  <si>
    <t xml:space="preserve">Mulla House 3rd floor 51,</t>
  </si>
  <si>
    <t xml:space="preserve">Mahatma Gandhi Road, Fort,
Near Central Bank</t>
  </si>
  <si>
    <t xml:space="preserve">Mahatma Gandhi Road, Fort,</t>
  </si>
  <si>
    <t xml:space="preserve">3050.85</t>
  </si>
  <si>
    <t xml:space="preserve">2297152000000068112</t>
  </si>
  <si>
    <t xml:space="preserve">Subscription Period- 07/04/2025 - 06/05/2025 
Description- Monthly Invoice for Rs. 20,000</t>
  </si>
  <si>
    <t xml:space="preserve">2297152000000068144</t>
  </si>
  <si>
    <t xml:space="preserve">2297152000000068128</t>
  </si>
  <si>
    <t xml:space="preserve">Subscription Period- 2 months
Description- Pilot Project for 2 months, unlimited usage.</t>
  </si>
  <si>
    <t xml:space="preserve">D - 11 (LGF),</t>
  </si>
  <si>
    <t xml:space="preserve">Gulmohar Park,</t>
  </si>
  <si>
    <t xml:space="preserve">110049</t>
  </si>
  <si>
    <t xml:space="preserve">2700.00</t>
  </si>
  <si>
    <t xml:space="preserve">2297152000000068206</t>
  </si>
  <si>
    <t xml:space="preserve">2297152000000068190</t>
  </si>
  <si>
    <t xml:space="preserve">TN</t>
  </si>
  <si>
    <t xml:space="preserve">33-Tamil Nadu</t>
  </si>
  <si>
    <t xml:space="preserve">Subscription Period- 1 month
Description- 1 license for 1 month of Rs. 5,000</t>
  </si>
  <si>
    <t xml:space="preserve">H 6/12, Coastal Road,
Aishwarya Apartments,</t>
  </si>
  <si>
    <t xml:space="preserve">Kalashetra Colony,
Besant Nagar,</t>
  </si>
  <si>
    <t xml:space="preserve">Chennai</t>
  </si>
  <si>
    <t xml:space="preserve">Tamil Nadu</t>
  </si>
  <si>
    <t xml:space="preserve">600090</t>
  </si>
  <si>
    <t xml:space="preserve">900.00</t>
  </si>
  <si>
    <t xml:space="preserve">2297152000000068376</t>
  </si>
  <si>
    <t xml:space="preserve">2297152000000068360</t>
  </si>
  <si>
    <t xml:space="preserve">Subscription Period - 1 month
Description - 1 month subscription of Rs. 6000</t>
  </si>
  <si>
    <t xml:space="preserve">E 378, LGF,</t>
  </si>
  <si>
    <t xml:space="preserve">GK-1,</t>
  </si>
  <si>
    <t xml:space="preserve">2297152000000068406</t>
  </si>
  <si>
    <t xml:space="preserve">2297152000000068388</t>
  </si>
  <si>
    <t xml:space="preserve">HR</t>
  </si>
  <si>
    <t xml:space="preserve">06-Haryana</t>
  </si>
  <si>
    <t xml:space="preserve">Subscription Period- 1 month</t>
  </si>
  <si>
    <t xml:space="preserve">C-67/A, Sushant Lok-3,</t>
  </si>
  <si>
    <t xml:space="preserve">Sector 57,</t>
  </si>
  <si>
    <t xml:space="preserve">Gurugram</t>
  </si>
  <si>
    <t xml:space="preserve">Haryana</t>
  </si>
  <si>
    <t xml:space="preserve">2297152000000069079</t>
  </si>
  <si>
    <t xml:space="preserve">2297152000000069063</t>
  </si>
  <si>
    <t xml:space="preserve">Subscription Period- 1 month
Description- One month pilot unlimited usage</t>
  </si>
  <si>
    <t xml:space="preserve">2297152000000074017</t>
  </si>
  <si>
    <t xml:space="preserve">2297152000000074001</t>
  </si>
  <si>
    <t xml:space="preserve">4400.020</t>
  </si>
  <si>
    <t xml:space="preserve">Subscription Period- Annual 
Description-  
Translation- 800
List of Downloads- 120
Redline-20
MCA Downloads- 200</t>
  </si>
  <si>
    <t xml:space="preserve">37.20</t>
  </si>
  <si>
    <t xml:space="preserve">41039.040</t>
  </si>
  <si>
    <t xml:space="preserve">1st Floor, Kalpataru Heritage, 1-1, 127,</t>
  </si>
  <si>
    <t xml:space="preserve">Mahatma Gandhi Road</t>
  </si>
  <si>
    <t xml:space="preserve">12470.57</t>
  </si>
  <si>
    <t xml:space="preserve">2297152000000074075</t>
  </si>
  <si>
    <t xml:space="preserve">2297152000000074043</t>
  </si>
  <si>
    <t xml:space="preserve">TS</t>
  </si>
  <si>
    <t xml:space="preserve">36-Telangana</t>
  </si>
  <si>
    <t xml:space="preserve">Subscription Period- Monthly invoicing for period started from 15th April,2025
Description- Number of Licenses  50 of Rs 150000</t>
  </si>
  <si>
    <t xml:space="preserve">Tatva Legal Hyderabad- 15th april 2025</t>
  </si>
  <si>
    <t xml:space="preserve">Plot No.107A, Tatva House, Road No.72,</t>
  </si>
  <si>
    <t xml:space="preserve">Jubilee Hills</t>
  </si>
  <si>
    <t xml:space="preserve">Hyderabad</t>
  </si>
  <si>
    <t xml:space="preserve">Telangana</t>
  </si>
  <si>
    <t xml:space="preserve">500033</t>
  </si>
  <si>
    <t xml:space="preserve">27000.00</t>
  </si>
  <si>
    <t xml:space="preserve">36AAIFT2572Q1ZG</t>
  </si>
  <si>
    <t xml:space="preserve">2297152000000076001</t>
  </si>
  <si>
    <t xml:space="preserve">Razorpay B2C invoices from 8 Apr to 14 Apr 25</t>
  </si>
  <si>
    <t xml:space="preserve">418.65</t>
  </si>
  <si>
    <t xml:space="preserve">2297152000000077017</t>
  </si>
  <si>
    <t xml:space="preserve">2297152000000077001</t>
  </si>
  <si>
    <t xml:space="preserve">Subscription Period- 6 months
Description- Single license for unlimited usage (litigation) for 6 months. </t>
  </si>
  <si>
    <t xml:space="preserve">40.00</t>
  </si>
  <si>
    <t xml:space="preserve">24000.000</t>
  </si>
  <si>
    <t xml:space="preserve">6480.00</t>
  </si>
  <si>
    <t xml:space="preserve">2297152000000077357</t>
  </si>
  <si>
    <t xml:space="preserve">2297152000000077341</t>
  </si>
  <si>
    <t xml:space="preserve">Subscription Period- 2 months
Description- Pilot Project for 2 months for unlimited usage for up to 3 users</t>
  </si>
  <si>
    <t xml:space="preserve">83 - B, Mittal Court Opp Vidhan Bhawan,</t>
  </si>
  <si>
    <t xml:space="preserve">Nariman Point,</t>
  </si>
  <si>
    <t xml:space="preserve">400021</t>
  </si>
  <si>
    <t xml:space="preserve">3600.00</t>
  </si>
  <si>
    <t xml:space="preserve">2297152000000077399</t>
  </si>
  <si>
    <t xml:space="preserve">2297152000000077369</t>
  </si>
  <si>
    <t xml:space="preserve">Subscription Period- Annual Contract
Description- 6 licenses for unlimited usage (litigation) of Rs. 20,000/- per month</t>
  </si>
  <si>
    <t xml:space="preserve">R. Vishnu Kumar, Advocate,</t>
  </si>
  <si>
    <t xml:space="preserve">R Block, 159, Lower Ground Floor,</t>
  </si>
  <si>
    <t xml:space="preserve">Greater Kailash, Part 1,</t>
  </si>
  <si>
    <t xml:space="preserve">3051.00</t>
  </si>
  <si>
    <t xml:space="preserve">2297152000000079651</t>
  </si>
  <si>
    <t xml:space="preserve">2297152000000079621</t>
  </si>
  <si>
    <t xml:space="preserve">Subscription Period- Monthly invoicing for Annual contract
Description- Single license for unlimited usage (litigation)</t>
  </si>
  <si>
    <t xml:space="preserve">2297152000000079688</t>
  </si>
  <si>
    <t xml:space="preserve">2297152000000079672</t>
  </si>
  <si>
    <t xml:space="preserve">Subscription Period- 1 month
Description- 1 month access of 4 licenses for unlimited usage (litigation) </t>
  </si>
  <si>
    <t xml:space="preserve">2297152000000079806</t>
  </si>
  <si>
    <t xml:space="preserve">2297152000000079790</t>
  </si>
  <si>
    <t xml:space="preserve">Subscription Period- from 1st May 25 to 30th Apr 26
Description- One license for one year with Unlimited tool- No MCA No Doc Table.</t>
  </si>
  <si>
    <t xml:space="preserve">B-22, Ground Floor,</t>
  </si>
  <si>
    <t xml:space="preserve">Jungpura Extension,</t>
  </si>
  <si>
    <t xml:space="preserve">110014</t>
  </si>
  <si>
    <t xml:space="preserve">12240.00</t>
  </si>
  <si>
    <t xml:space="preserve">admin@nclegal.co</t>
  </si>
  <si>
    <t xml:space="preserve">2297152000000087017</t>
  </si>
  <si>
    <t xml:space="preserve">2297152000000087001</t>
  </si>
  <si>
    <t xml:space="preserve">Subscription Period- 1 month
Description- 1 month access for 1 licens for unlimited usage for Research, DocReview, Translation and List of Dates</t>
  </si>
  <si>
    <t xml:space="preserve">VR Legal Advocates and Consultants to be precise</t>
  </si>
  <si>
    <t xml:space="preserve">Allahabad</t>
  </si>
  <si>
    <t xml:space="preserve">2297152000000096021</t>
  </si>
  <si>
    <t xml:space="preserve">2297152000000096003</t>
  </si>
  <si>
    <t xml:space="preserve">Subscription Period- Start from 14  April to 14 May 25
Description- 15 license trial for Unlimited Doc Review, Research, Translation, LOD for Doc table 200 Cells</t>
  </si>
  <si>
    <t xml:space="preserve">03rd Floor, 248,</t>
  </si>
  <si>
    <t xml:space="preserve">Okhla Industrial Area,
Phase -3,</t>
  </si>
  <si>
    <t xml:space="preserve">110020</t>
  </si>
  <si>
    <t xml:space="preserve">07AFCFS2249L1ZQ</t>
  </si>
  <si>
    <t xml:space="preserve">2297152000000099973</t>
  </si>
  <si>
    <t xml:space="preserve">2297152000000099957</t>
  </si>
  <si>
    <t xml:space="preserve">2966.100</t>
  </si>
  <si>
    <t xml:space="preserve">Subscription Period- 22 Apr 2025 to 21 Apr 2026
Description- Annual payment for 6 licenses of Litigation</t>
  </si>
  <si>
    <t xml:space="preserve">D-19, 2ND FLOOR,
GEETANJALI ENCLAVE,</t>
  </si>
  <si>
    <t xml:space="preserve">MALVIYA NAGAR,</t>
  </si>
  <si>
    <t xml:space="preserve">110017</t>
  </si>
  <si>
    <t xml:space="preserve">26694.90</t>
  </si>
  <si>
    <t xml:space="preserve">2297152000000107021</t>
  </si>
  <si>
    <t xml:space="preserve">2297152000000107003</t>
  </si>
  <si>
    <t xml:space="preserve">Subscription Period- 90 days from 24 Apr to 22 July 25
Description- The 90-day pilot run. This pilot includes unlimited access to the following features:
Document Review
List of Dates
Legal Research
Redline Analysis
Translation</t>
  </si>
  <si>
    <t xml:space="preserve">B-62, Paschimi Marg,</t>
  </si>
  <si>
    <t xml:space="preserve">Vasant Vihar,</t>
  </si>
  <si>
    <t xml:space="preserve">110057</t>
  </si>
  <si>
    <t xml:space="preserve">4320.00</t>
  </si>
  <si>
    <t xml:space="preserve">07ABPFA8851M1ZP</t>
  </si>
  <si>
    <t xml:space="preserve">2297152000000107049</t>
  </si>
  <si>
    <t xml:space="preserve">2297152000000107033</t>
  </si>
  <si>
    <t xml:space="preserve">Subscription Period- Monthly Invoicing for the period from 23 Apr 25 to 22 Apr 26
Description- Monthly subscription of 5 licenses for unlimited usage (litigation)</t>
  </si>
  <si>
    <t xml:space="preserve">B-111, Lower Ground Floor,</t>
  </si>
  <si>
    <t xml:space="preserve">Neeti Bagh,
August Kranti Marg,</t>
  </si>
  <si>
    <t xml:space="preserve">pranaychitale@cvassociates.in</t>
  </si>
  <si>
    <t xml:space="preserve">2297152000000107135</t>
  </si>
  <si>
    <t xml:space="preserve">2297152000000107067</t>
  </si>
  <si>
    <t xml:space="preserve">Subscription Period- 1 month Subscription started from 24-4-2025
Description- 3 licenses for 1 month</t>
  </si>
  <si>
    <t xml:space="preserve">WeWork C – 20, G Block,
Bandra Kurla Complex,</t>
  </si>
  <si>
    <t xml:space="preserve">Bandra East,</t>
  </si>
  <si>
    <t xml:space="preserve">400051</t>
  </si>
  <si>
    <t xml:space="preserve">2297152000000111017</t>
  </si>
  <si>
    <t xml:space="preserve">2297152000000111001</t>
  </si>
  <si>
    <t xml:space="preserve">Due on Receipt</t>
  </si>
  <si>
    <t xml:space="preserve">Subscription Period- 3 month contract
Description- 5 Logins for Unlimited research, Docreview, translation, redline analysis, list of dates. 1000 DocTable Cells, 10 MCA downloads 
</t>
  </si>
  <si>
    <t xml:space="preserve">909, Solaris One, Professor NS Phadke Rd,</t>
  </si>
  <si>
    <t xml:space="preserve">Vijay Nagar, Andheri East,</t>
  </si>
  <si>
    <t xml:space="preserve">400069</t>
  </si>
  <si>
    <t xml:space="preserve">2297152000000111045</t>
  </si>
  <si>
    <t xml:space="preserve">2297152000000100673</t>
  </si>
  <si>
    <t xml:space="preserve">Subscription Period- Annual Subscription Started from 27th Apr 2025 to 26th Apr 2026
Description- chamber subscription for unlimited usage (litigation)</t>
  </si>
  <si>
    <t xml:space="preserve">50.00</t>
  </si>
  <si>
    <t xml:space="preserve">150000.000</t>
  </si>
  <si>
    <t xml:space="preserve">50, Poorvi Marg,</t>
  </si>
  <si>
    <t xml:space="preserve">2297152000000112017</t>
  </si>
  <si>
    <t xml:space="preserve">2297152000000112001</t>
  </si>
  <si>
    <t xml:space="preserve">3456.000</t>
  </si>
  <si>
    <t xml:space="preserve">Contract Period- Annual Subscription from 25-4-2025 to 24-4-2026
Description- The pricing includes unlimited access to Document Review, Legal Research, Translation, Redlines, File Library, and List of Dates of 5 License. </t>
  </si>
  <si>
    <t xml:space="preserve">5, KIRAN SHANKAR ROY ROAD,</t>
  </si>
  <si>
    <t xml:space="preserve">1ST FLOOR,</t>
  </si>
  <si>
    <t xml:space="preserve">KOLKATA</t>
  </si>
  <si>
    <t xml:space="preserve">31104.00</t>
  </si>
  <si>
    <t xml:space="preserve">2297152000000115623</t>
  </si>
  <si>
    <t xml:space="preserve">2297152000000115449</t>
  </si>
  <si>
    <t xml:space="preserve">Subscription Period- Annual Subscription started from 25th Apr 25 to 24th Apr 26
Description- Single license for unlimited usage (litigation) </t>
  </si>
  <si>
    <t xml:space="preserve">3888.00</t>
  </si>
  <si>
    <t xml:space="preserve">2297152000000115635</t>
  </si>
  <si>
    <t xml:space="preserve">2297152000000115465</t>
  </si>
  <si>
    <t xml:space="preserve">2297152000000115647</t>
  </si>
  <si>
    <t xml:space="preserve">2297152000000115495</t>
  </si>
  <si>
    <t xml:space="preserve">2297152000000115659</t>
  </si>
  <si>
    <t xml:space="preserve">2297152000000115511</t>
  </si>
  <si>
    <t xml:space="preserve">2297152000000115671</t>
  </si>
  <si>
    <t xml:space="preserve">2297152000000115527</t>
  </si>
  <si>
    <t xml:space="preserve">2297152000000115683</t>
  </si>
  <si>
    <t xml:space="preserve">2297152000000115543</t>
  </si>
  <si>
    <t xml:space="preserve">2297152000000115695</t>
  </si>
  <si>
    <t xml:space="preserve">2297152000000115559</t>
  </si>
  <si>
    <t xml:space="preserve">2297152000000115707</t>
  </si>
  <si>
    <t xml:space="preserve">2297152000000115575</t>
  </si>
  <si>
    <t xml:space="preserve">2297152000000115719</t>
  </si>
  <si>
    <t xml:space="preserve">2297152000000115591</t>
  </si>
  <si>
    <t xml:space="preserve">2297152000000115731</t>
  </si>
  <si>
    <t xml:space="preserve">2297152000000115607</t>
  </si>
  <si>
    <t xml:space="preserve">2297152000000115775</t>
  </si>
  <si>
    <t xml:space="preserve">2297152000000115745</t>
  </si>
  <si>
    <t xml:space="preserve">1500.000</t>
  </si>
  <si>
    <t xml:space="preserve">Subscription Period- 3 month from 28 Apr to 27 July 2025
Description- 3 licenses of Rs. 25k/month with unlimited usage</t>
  </si>
  <si>
    <t xml:space="preserve">Meera Madhav,
Plot No.38,</t>
  </si>
  <si>
    <t xml:space="preserve">Sainik Vihar,
Cloud 9 Estate,
Off Nibm Road,</t>
  </si>
  <si>
    <t xml:space="preserve">411060</t>
  </si>
  <si>
    <t xml:space="preserve">13500.00</t>
  </si>
  <si>
    <t xml:space="preserve">27AAOFA7053K1Z2</t>
  </si>
  <si>
    <t xml:space="preserve">2297152000000117223</t>
  </si>
  <si>
    <t xml:space="preserve">2297152000000117207</t>
  </si>
  <si>
    <t xml:space="preserve">800.000</t>
  </si>
  <si>
    <t xml:space="preserve">Subscription Period- 2 month period from April 25, 2025 to June 24, 2025
Description- 20 licenses for Unlimited usage for doc review, research, redline, translation, list of dates. 2000 cells for Doctable and 5 MCA searches</t>
  </si>
  <si>
    <t xml:space="preserve">Times Square Building, Suite 3,</t>
  </si>
  <si>
    <t xml:space="preserve">12th Floor, E-Wing, Marol,
Andheri (East)</t>
  </si>
  <si>
    <t xml:space="preserve">400059</t>
  </si>
  <si>
    <t xml:space="preserve">7200.00</t>
  </si>
  <si>
    <t xml:space="preserve">2297152000000117485</t>
  </si>
  <si>
    <t xml:space="preserve">2297152000000039613</t>
  </si>
  <si>
    <t xml:space="preserve">Subscription Period - One time
Description- 1000 pages of translation </t>
  </si>
  <si>
    <t xml:space="preserve">11, 1st Floor, Free Press House,</t>
  </si>
  <si>
    <t xml:space="preserve">215, Nariman Point,</t>
  </si>
  <si>
    <t xml:space="preserve">27AAAFU4617P2ZP</t>
  </si>
  <si>
    <t xml:space="preserve">2297152000000117519</t>
  </si>
  <si>
    <t xml:space="preserve">2297152000000117503</t>
  </si>
  <si>
    <t xml:space="preserve">Subscription Period- 1 month started from 26 Apr to 25 May 2025
Description- 4 licenses unlimited (litigation)</t>
  </si>
  <si>
    <t xml:space="preserve">2nd Floor, Uday Park</t>
  </si>
  <si>
    <t xml:space="preserve">2160.00</t>
  </si>
  <si>
    <t xml:space="preserve">2297152000000126015</t>
  </si>
  <si>
    <t xml:space="preserve">2297152000000097825</t>
  </si>
  <si>
    <t xml:space="preserve">Subscription Period- 2nd instalment Invoice started from 30th Jan 2025 to 30th Jan 2026
Description- The balance due is Rs. 53,000/-</t>
  </si>
  <si>
    <t xml:space="preserve">Every 4 month invoice Saswat Mohanty</t>
  </si>
  <si>
    <t xml:space="preserve">8084.79</t>
  </si>
  <si>
    <t xml:space="preserve">2297152000000126082</t>
  </si>
  <si>
    <t xml:space="preserve">2297152000000126066</t>
  </si>
  <si>
    <t xml:space="preserve">Subscription Period- Subscription Period started from 28th Mar 2025 to 28th Mar 26
Description - 4 licenses for Rs.48000 each</t>
  </si>
  <si>
    <t xml:space="preserve">19200.000</t>
  </si>
  <si>
    <t xml:space="preserve">Ground Floor, A-335,</t>
  </si>
  <si>
    <t xml:space="preserve">2297152000000126126</t>
  </si>
  <si>
    <t xml:space="preserve">2297152000000126110</t>
  </si>
  <si>
    <t xml:space="preserve">27000.000</t>
  </si>
  <si>
    <t xml:space="preserve">Subscription Period- Subscription Period started from 28th Mar 2025 to 28th Mar 2026
Description- 6 licenses for Rs. 50,000 each</t>
  </si>
  <si>
    <t xml:space="preserve">30000.000</t>
  </si>
  <si>
    <t xml:space="preserve">Raja Chambers, 1st Floor,</t>
  </si>
  <si>
    <t xml:space="preserve">4 Kiran Shankar Roy Road,</t>
  </si>
  <si>
    <t xml:space="preserve">48600.00</t>
  </si>
  <si>
    <t xml:space="preserve">2297152000000126168</t>
  </si>
  <si>
    <t xml:space="preserve">2297152000000126152</t>
  </si>
  <si>
    <t xml:space="preserve">KA</t>
  </si>
  <si>
    <t xml:space="preserve">29-Karnataka</t>
  </si>
  <si>
    <t xml:space="preserve">Subscription Period- 1 month subscription stated from 29th Apr 25 to 28th May 25
Description- Translation of 400 pages &amp; unlimited document review.</t>
  </si>
  <si>
    <t xml:space="preserve">D6, Dona Cynthia Apartments,</t>
  </si>
  <si>
    <t xml:space="preserve">35, Primrose Road, Ashok Nagar,</t>
  </si>
  <si>
    <t xml:space="preserve">Bengaluru</t>
  </si>
  <si>
    <t xml:space="preserve">Karnataka</t>
  </si>
  <si>
    <t xml:space="preserve">560025</t>
  </si>
  <si>
    <t xml:space="preserve">2297152000000126220</t>
  </si>
  <si>
    <t xml:space="preserve">2297152000000126186</t>
  </si>
  <si>
    <t xml:space="preserve">Subscription Period- Monthly invoice fro the period started from 10th Apr 25
Description- 1 license of Rs. 8729/- per month for Litigation </t>
  </si>
  <si>
    <t xml:space="preserve">SKR &amp; Associates - Monthly</t>
  </si>
  <si>
    <t xml:space="preserve">Punwani chamber,
5th Floor,</t>
  </si>
  <si>
    <t xml:space="preserve">7B Kiran Shankar Roy Road,</t>
  </si>
  <si>
    <t xml:space="preserve">1571.22</t>
  </si>
  <si>
    <t xml:space="preserve">2297152000000126384</t>
  </si>
  <si>
    <t xml:space="preserve">2297152000000126368</t>
  </si>
  <si>
    <t xml:space="preserve">
Subscription Period- Half yearly invoicing for Annual Subscription started from 29th Apr 25 to 28th Apr 26
Description- 1 license for Litigation. Rs. 80,000 (Inclusive of GST) is contract amt.</t>
  </si>
  <si>
    <t xml:space="preserve">10 old post office street,</t>
  </si>
  <si>
    <t xml:space="preserve">3rd floor</t>
  </si>
  <si>
    <t xml:space="preserve">6101.71</t>
  </si>
  <si>
    <t xml:space="preserve">calcutta@srivastavaandcompany.com</t>
  </si>
  <si>
    <t xml:space="preserve">2297152000000126504</t>
  </si>
  <si>
    <t xml:space="preserve">2297152000000126408</t>
  </si>
  <si>
    <t xml:space="preserve">Subscription Period- Annual subscription started from 29th Apr 2025 to 28th Apr 2026
Description- Single license for Unlimited usage (litigation) on the annual subscription value of Rs. 22,033.90/- </t>
  </si>
  <si>
    <t xml:space="preserve">3966.10</t>
  </si>
  <si>
    <t xml:space="preserve">2297152000000126516</t>
  </si>
  <si>
    <t xml:space="preserve">2297152000000126424</t>
  </si>
  <si>
    <t xml:space="preserve">2297152000000126528</t>
  </si>
  <si>
    <t xml:space="preserve">2297152000000126440</t>
  </si>
  <si>
    <t xml:space="preserve">2297152000000126540</t>
  </si>
  <si>
    <t xml:space="preserve">2297152000000126456</t>
  </si>
  <si>
    <t xml:space="preserve">2297152000000126552</t>
  </si>
  <si>
    <t xml:space="preserve">2297152000000126472</t>
  </si>
  <si>
    <t xml:space="preserve">2297152000000126564</t>
  </si>
  <si>
    <t xml:space="preserve">2297152000000126488</t>
  </si>
  <si>
    <t xml:space="preserve">2297152000000126582</t>
  </si>
  <si>
    <t xml:space="preserve">2297152000000097457</t>
  </si>
  <si>
    <t xml:space="preserve">Subscription Period- Annual subscription started from 29th Apr 2025 to 28th Apr 2026
Description- 2 license for Unlimited usage (litigation) on the annual subscription value of Rs. 44,067.80/- </t>
  </si>
  <si>
    <t xml:space="preserve">7932.20</t>
  </si>
  <si>
    <t xml:space="preserve">2297152000000132335</t>
  </si>
  <si>
    <t xml:space="preserve">2297152000000132319</t>
  </si>
  <si>
    <t xml:space="preserve">Subscription Period- 6 months contract started from 29th Apr 25 to 28th Oct 25
Description- Unlmited research, docreview, translation, redline analysis, list of dates. </t>
  </si>
  <si>
    <t xml:space="preserve">2297152000000132367</t>
  </si>
  <si>
    <t xml:space="preserve">2297152000000132349</t>
  </si>
  <si>
    <t xml:space="preserve">4250.000</t>
  </si>
  <si>
    <t xml:space="preserve">Subscription Period- 1 month Pilot started from 1st May 25 to 31st May 25
Description- 17 licenses of Rs 2500/- per license per month for Unlimited usage &amp; 5000 DocTable questions</t>
  </si>
  <si>
    <t xml:space="preserve">FC-10 and 11, Sector16A</t>
  </si>
  <si>
    <t xml:space="preserve">Film City,</t>
  </si>
  <si>
    <t xml:space="preserve">Noida</t>
  </si>
  <si>
    <t xml:space="preserve">201301</t>
  </si>
  <si>
    <t xml:space="preserve">3825.00</t>
  </si>
  <si>
    <t xml:space="preserve">09AELFS3206H1ZX</t>
  </si>
  <si>
    <t xml:space="preserve">2297152000000132403</t>
  </si>
  <si>
    <t xml:space="preserve">2297152000000132385</t>
  </si>
  <si>
    <t xml:space="preserve">Subscription Period- 1 month pilot started from 29th April to 31st May 25
Description- 
DocReview - Unlimited
Research - Unlimited
Translation - Unlimited
Redline Analysis - Unlimited
File Library - Unlimited
Auto-folderize - Unlimited
Doc table - 2000 cells 
MCA Downloads - 10 </t>
  </si>
  <si>
    <t xml:space="preserve">Nariman Bhavan, 901/9th Floor</t>
  </si>
  <si>
    <t xml:space="preserve">227, Backbay Reclamation,
Nariman Point,</t>
  </si>
  <si>
    <t xml:space="preserve">27AAXFP2308P1ZG</t>
  </si>
  <si>
    <t xml:space="preserve">2297152000000132441</t>
  </si>
  <si>
    <t xml:space="preserve">2297152000000132423</t>
  </si>
  <si>
    <t xml:space="preserve">Subscription Period- 2 months subscription started from 1st May 2025 to 30th June 25
Description-  4 Licenses of Rs. 2000/license per month </t>
  </si>
  <si>
    <t xml:space="preserve">202/206, Tolstoy House,</t>
  </si>
  <si>
    <t xml:space="preserve">15, Tolstoy Marg,</t>
  </si>
  <si>
    <t xml:space="preserve">110001</t>
  </si>
  <si>
    <t xml:space="preserve">2880.00</t>
  </si>
  <si>
    <t xml:space="preserve">07AAAFD2611A1ZE</t>
  </si>
  <si>
    <t xml:space="preserve">2297152000000132479</t>
  </si>
  <si>
    <t xml:space="preserve">2297152000000062297</t>
  </si>
  <si>
    <t xml:space="preserve">Monthly Subscription for Apr 25 month 
Payment Id- pay_QGGnDtmfiSDKz3</t>
  </si>
  <si>
    <t xml:space="preserve">610.02</t>
  </si>
  <si>
    <t xml:space="preserve">2297152000000132493</t>
  </si>
  <si>
    <t xml:space="preserve">2297152000000065001</t>
  </si>
  <si>
    <t xml:space="preserve">Subscription Period- Monthly Invoicing for Anuual Subscription started from Dec 11, 2024 to Dec 11, 2025</t>
  </si>
  <si>
    <t xml:space="preserve">381.36</t>
  </si>
  <si>
    <t xml:space="preserve">2297152000000132507</t>
  </si>
  <si>
    <t xml:space="preserve">2297152000000062113</t>
  </si>
  <si>
    <t xml:space="preserve">Subscription Period- Apr 25 Monthly Invoicing for Annual Subscription from Oct 29, 2024 to Oct 29, 2025</t>
  </si>
  <si>
    <t xml:space="preserve">1220.34</t>
  </si>
  <si>
    <t xml:space="preserve">2297152000000132521</t>
  </si>
  <si>
    <t xml:space="preserve">B2C Sales from 17th Apr to 30th Apr 25</t>
  </si>
  <si>
    <t xml:space="preserve">494.77</t>
  </si>
  <si>
    <t xml:space="preserve">2297152000000132535</t>
  </si>
  <si>
    <t xml:space="preserve">awaisahmedji@gmail.com</t>
  </si>
  <si>
    <t xml:space="preserve">2297152000000132549</t>
  </si>
  <si>
    <t xml:space="preserve">INV-25-26-000083</t>
  </si>
  <si>
    <t xml:space="preserve">Draft</t>
  </si>
  <si>
    <t xml:space="preserve">0.09</t>
  </si>
  <si>
    <t xml:space="preserve">2297152000000132563</t>
  </si>
  <si>
    <t xml:space="preserve">INV-25-26-000084</t>
  </si>
  <si>
    <t xml:space="preserve">2297152000000132577</t>
  </si>
  <si>
    <t xml:space="preserve">INV-25-26-000085</t>
  </si>
  <si>
    <t xml:space="preserve">2297152000000132591</t>
  </si>
  <si>
    <t xml:space="preserve">INV-25-26-000086</t>
  </si>
  <si>
    <t xml:space="preserve">2297152000000132605</t>
  </si>
  <si>
    <t xml:space="preserve">INV-25-26-000087</t>
  </si>
  <si>
    <t xml:space="preserve">2297152000000132619</t>
  </si>
  <si>
    <t xml:space="preserve">INV-25-26-000088</t>
  </si>
  <si>
    <t xml:space="preserve">2297152000000132633</t>
  </si>
  <si>
    <t xml:space="preserve">adv.rohitjaiswal@gmail.com
pay_QIfxOi0VTq3sGw
</t>
  </si>
  <si>
    <t xml:space="preserve">190.60</t>
  </si>
  <si>
    <t xml:space="preserve">2297152000000132647</t>
  </si>
  <si>
    <t xml:space="preserve">alinasujith21@gmail.com
pay_QJT2zaZqJgcWwF
</t>
  </si>
  <si>
    <t xml:space="preserve">2297152000000132661</t>
  </si>
  <si>
    <t xml:space="preserve">gaurivikram045@gmail.com
pay_QK0vPjtExlmPsW
</t>
  </si>
  <si>
    <t xml:space="preserve">2297152000000132675</t>
  </si>
  <si>
    <t xml:space="preserve">kumar2204ram@gmail.com
pay_QNR9M4jy96ippU
</t>
  </si>
  <si>
    <t xml:space="preserve">2297152000000132689</t>
  </si>
  <si>
    <t xml:space="preserve">samarthlakra@gmail.com
pay_QNpEIqd0ykzL69
</t>
  </si>
  <si>
    <t xml:space="preserve">2297152000000132703</t>
  </si>
  <si>
    <t xml:space="preserve">rohit@brasdesa.net
pay_QOcDz5cWKf71Fh
</t>
  </si>
  <si>
    <t xml:space="preserve">2297152000000132717</t>
  </si>
  <si>
    <t xml:space="preserve">sahaj219090@nujs.edu
pay_QOeWKYFuRIMqpn
</t>
  </si>
  <si>
    <t xml:space="preserve">Bill Date</t>
  </si>
  <si>
    <t xml:space="preserve">- multiple -</t>
  </si>
  <si>
    <t xml:space="preserve">ad</t>
  </si>
  <si>
    <t xml:space="preserve">Row Labels</t>
  </si>
  <si>
    <t xml:space="preserve">Sum of Item Total</t>
  </si>
  <si>
    <t xml:space="preserve">Advertising And Marketing</t>
  </si>
  <si>
    <t xml:space="preserve">Amazon Web Service INC</t>
  </si>
  <si>
    <t xml:space="preserve">Sab Media and Publication Services Pvt. Ltd.</t>
  </si>
  <si>
    <t xml:space="preserve">Content Writing Exp.</t>
  </si>
  <si>
    <t xml:space="preserve">Amit Kumar Ghosh</t>
  </si>
  <si>
    <t xml:space="preserve">Jai Vardhan Malaviya</t>
  </si>
  <si>
    <t xml:space="preserve">JAYANTH BJ</t>
  </si>
  <si>
    <t xml:space="preserve">PRACHETA RATHORE</t>
  </si>
  <si>
    <t xml:space="preserve">Legal &amp; Professional Charges</t>
  </si>
  <si>
    <t xml:space="preserve">First Principles Law</t>
  </si>
  <si>
    <t xml:space="preserve">OLAMBIT CONSULTING PRIVATE LIMITED</t>
  </si>
  <si>
    <t xml:space="preserve">Platform Charges</t>
  </si>
  <si>
    <t xml:space="preserve">Razorpay Creditors</t>
  </si>
  <si>
    <t xml:space="preserve">Argus Partners-63</t>
  </si>
  <si>
    <t xml:space="preserve">RAZORPAY SOFTWARE PVT LTD(Sales Platform)</t>
  </si>
  <si>
    <t xml:space="preserve">Security &amp; Certification Charges</t>
  </si>
  <si>
    <t xml:space="preserve">Riversys Technologies Pvt Ltd(SCRUT AUTOMATION)</t>
  </si>
  <si>
    <t xml:space="preserve">Subscription charges</t>
  </si>
  <si>
    <t xml:space="preserve">Amazon Web Services India Private Limited</t>
  </si>
  <si>
    <t xml:space="preserve">Google Workspace</t>
  </si>
  <si>
    <t xml:space="preserve">Travel Expense</t>
  </si>
  <si>
    <t xml:space="preserve">Workspace Rent</t>
  </si>
  <si>
    <t xml:space="preserve">BHIVE Workspace</t>
  </si>
  <si>
    <t xml:space="preserve">Eternity Legal-70</t>
  </si>
  <si>
    <t xml:space="preserve">Mr. Nitin Jain / Agama Law Associates</t>
  </si>
  <si>
    <t xml:space="preserve">Mr. Venkatesh Dhond</t>
  </si>
  <si>
    <t xml:space="preserve">MZM Legal LLP- 17 Feb 25</t>
  </si>
  <si>
    <t xml:space="preserve">MZM Legal LLP- 17 Mar 25</t>
  </si>
  <si>
    <t xml:space="preserve">Solaris Legal-56</t>
  </si>
  <si>
    <t xml:space="preserve">The Guild</t>
  </si>
  <si>
    <t xml:space="preserve">Tvashta Law,</t>
  </si>
  <si>
    <t xml:space="preserve">Vesta Legal (shared by Jayanth)</t>
  </si>
  <si>
    <t xml:space="preserve">Bill ID</t>
  </si>
  <si>
    <t xml:space="preserve">Vendor Name</t>
  </si>
  <si>
    <t xml:space="preserve">Bill Number</t>
  </si>
  <si>
    <t xml:space="preserve">Vendor Notes</t>
  </si>
  <si>
    <t xml:space="preserve">Submitted By</t>
  </si>
  <si>
    <t xml:space="preserve">Approved By</t>
  </si>
  <si>
    <t xml:space="preserve">Submitted Date</t>
  </si>
  <si>
    <t xml:space="preserve">Approved Date</t>
  </si>
  <si>
    <t xml:space="preserve">Bill Status</t>
  </si>
  <si>
    <t xml:space="preserve">Created By</t>
  </si>
  <si>
    <t xml:space="preserve">Description</t>
  </si>
  <si>
    <t xml:space="preserve">Tax Amount</t>
  </si>
  <si>
    <t xml:space="preserve">Is Billable</t>
  </si>
  <si>
    <t xml:space="preserve">Source of Supply</t>
  </si>
  <si>
    <t xml:space="preserve">Destination of Supply</t>
  </si>
  <si>
    <t xml:space="preserve">TDS TaxID</t>
  </si>
  <si>
    <t xml:space="preserve">Rate</t>
  </si>
  <si>
    <t xml:space="preserve">Purchase Order Number</t>
  </si>
  <si>
    <t xml:space="preserve">Tax Name</t>
  </si>
  <si>
    <t xml:space="preserve">Tax Percentage</t>
  </si>
  <si>
    <t xml:space="preserve">Tax Type</t>
  </si>
  <si>
    <t xml:space="preserve">Item Exemption Code</t>
  </si>
  <si>
    <t xml:space="preserve">ITC Eligibility</t>
  </si>
  <si>
    <t xml:space="preserve">Discount Account</t>
  </si>
  <si>
    <t xml:space="preserve">Discount Account Code</t>
  </si>
  <si>
    <t xml:space="preserve">Is Landed Cost</t>
  </si>
  <si>
    <t xml:space="preserve">ZOHO Corporation Private Limited</t>
  </si>
  <si>
    <t xml:space="preserve">ridhi25madan</t>
  </si>
  <si>
    <t xml:space="preserve">33AAACZ4322M2Z9</t>
  </si>
  <si>
    <t xml:space="preserve">eligible</t>
  </si>
  <si>
    <t xml:space="preserve">GST/2024/126</t>
  </si>
  <si>
    <t xml:space="preserve">Paid</t>
  </si>
  <si>
    <t xml:space="preserve">Legal &amp; Professional</t>
  </si>
  <si>
    <t xml:space="preserve">07AADCO7267R1ZL</t>
  </si>
  <si>
    <t xml:space="preserve">Reimbursement</t>
  </si>
  <si>
    <t xml:space="preserve">IGST0</t>
  </si>
  <si>
    <t xml:space="preserve">2/2025-26</t>
  </si>
  <si>
    <t xml:space="preserve">content Writing</t>
  </si>
  <si>
    <t xml:space="preserve">Payment of contractors HUF/Indiv</t>
  </si>
  <si>
    <t xml:space="preserve">194C</t>
  </si>
  <si>
    <t xml:space="preserve">Section 194 C</t>
  </si>
  <si>
    <t xml:space="preserve">Employee Reimbursements</t>
  </si>
  <si>
    <t xml:space="preserve">Treelife Ventures Services Private Limited</t>
  </si>
  <si>
    <t xml:space="preserve">27AAFCT8389M1ZD</t>
  </si>
  <si>
    <t xml:space="preserve">Out of Scope</t>
  </si>
  <si>
    <t xml:space="preserve">INV-2324-3572</t>
  </si>
  <si>
    <t xml:space="preserve">Security &amp; certificate charges</t>
  </si>
  <si>
    <t xml:space="preserve">29AAKCR1346R1ZL</t>
  </si>
  <si>
    <t xml:space="preserve">INV-2324-3573</t>
  </si>
  <si>
    <t xml:space="preserve">Ritik Maheshwari</t>
  </si>
  <si>
    <t xml:space="preserve">2025/02</t>
  </si>
  <si>
    <t xml:space="preserve">MP</t>
  </si>
  <si>
    <t xml:space="preserve">2025/03</t>
  </si>
  <si>
    <t xml:space="preserve">AWS Marketplace Charges</t>
  </si>
  <si>
    <t xml:space="preserve">overseas</t>
  </si>
  <si>
    <t xml:space="preserve">GST-2025-00016</t>
  </si>
  <si>
    <t xml:space="preserve">Custom</t>
  </si>
  <si>
    <t xml:space="preserve">29AAKCR4702K1Z1</t>
  </si>
  <si>
    <t xml:space="preserve">NAHGTQ81YYWY0225</t>
  </si>
  <si>
    <t xml:space="preserve">29AAGCR4375J1ZU</t>
  </si>
  <si>
    <t xml:space="preserve">Indian Kanoon (IKanoon)</t>
  </si>
  <si>
    <t xml:space="preserve">API-30715-25</t>
  </si>
  <si>
    <t xml:space="preserve">29AADCI5875P2ZM</t>
  </si>
  <si>
    <t xml:space="preserve">BHV/2425/10176</t>
  </si>
  <si>
    <t xml:space="preserve">IT and Internet Expenses</t>
  </si>
  <si>
    <t xml:space="preserve">29AAFCT2273G1Z7</t>
  </si>
  <si>
    <t xml:space="preserve">BHV/2425/10194</t>
  </si>
  <si>
    <t xml:space="preserve">BHV/2425/10232</t>
  </si>
  <si>
    <t xml:space="preserve">BHV/2425/10406</t>
  </si>
  <si>
    <t xml:space="preserve">BHV/2425/10407</t>
  </si>
  <si>
    <t xml:space="preserve">BHV/2425/10445</t>
  </si>
  <si>
    <t xml:space="preserve">NAHGTQ81YYWY0325</t>
  </si>
  <si>
    <t xml:space="preserve">INV-2526-0021</t>
  </si>
  <si>
    <t xml:space="preserve">INV-2526-0110</t>
  </si>
  <si>
    <t xml:space="preserve">BHV/25-26/00584</t>
  </si>
  <si>
    <t xml:space="preserve">BHV/25-26/00630</t>
  </si>
  <si>
    <t xml:space="preserve">BHV/25-26/00873</t>
  </si>
  <si>
    <t xml:space="preserve">NAHGTQ81YYWY0425</t>
  </si>
  <si>
    <t xml:space="preserve">Commission or Brokerage</t>
  </si>
  <si>
    <t xml:space="preserve">194H</t>
  </si>
  <si>
    <t xml:space="preserve">Section 194 H</t>
  </si>
  <si>
    <t xml:space="preserve">FPL/202504-03</t>
  </si>
  <si>
    <t xml:space="preserve">FY 25-26/1</t>
  </si>
  <si>
    <t xml:space="preserve">1/2025-26</t>
  </si>
  <si>
    <t xml:space="preserve">3/2025-26</t>
  </si>
  <si>
    <t xml:space="preserve">Trvelling Reimb</t>
  </si>
  <si>
    <t xml:space="preserve">Travelling Reimb</t>
  </si>
  <si>
    <t xml:space="preserve">Proforma7/24-25</t>
  </si>
  <si>
    <t xml:space="preserve">Annual Collaboration, Deliverables: 12 articles or announcements. Duration 12 months.</t>
  </si>
  <si>
    <t xml:space="preserve">29AAMCS6235L1ZO</t>
  </si>
  <si>
    <t xml:space="preserve">Payment of contractors for Others</t>
  </si>
  <si>
    <t xml:space="preserve">AWS Service Charges</t>
  </si>
  <si>
    <t xml:space="preserve">Subscription</t>
  </si>
  <si>
    <t xml:space="preserve">ANTHROPIC</t>
  </si>
  <si>
    <t xml:space="preserve">41AF6FAD-0009</t>
  </si>
  <si>
    <t xml:space="preserve">Subscription Charges</t>
  </si>
  <si>
    <t xml:space="preserve">CURSOR, AI POWERED</t>
  </si>
  <si>
    <t xml:space="preserve">SalesForce</t>
  </si>
  <si>
    <t xml:space="preserve">Subs charges</t>
  </si>
  <si>
    <t xml:space="preserve">29AAJCS3582R1ZB</t>
  </si>
  <si>
    <t xml:space="preserve">41AF6FAD-0013</t>
  </si>
  <si>
    <t xml:space="preserve">41AF6FAD-0017</t>
  </si>
  <si>
    <t xml:space="preserve">41AF6FAD-0018</t>
  </si>
  <si>
    <t xml:space="preserve">41AF6FAD-0020</t>
  </si>
  <si>
    <t xml:space="preserve">Quote Number: Q-09344861</t>
  </si>
  <si>
    <t xml:space="preserve">TECHNOWIRE DATA</t>
  </si>
  <si>
    <t xml:space="preserve">GJ</t>
  </si>
  <si>
    <t xml:space="preserve">FY 25-26/02</t>
  </si>
  <si>
    <t xml:space="preserve">date</t>
  </si>
  <si>
    <t xml:space="preserve">entry_number</t>
  </si>
  <si>
    <t xml:space="preserve">transaction_type</t>
  </si>
  <si>
    <t xml:space="preserve">transaction_type_formatted</t>
  </si>
  <si>
    <t xml:space="preserve">transaction_id</t>
  </si>
  <si>
    <t xml:space="preserve">account_id</t>
  </si>
  <si>
    <t xml:space="preserve">currency_id</t>
  </si>
  <si>
    <t xml:space="preserve">taxable_amount</t>
  </si>
  <si>
    <t xml:space="preserve">account_type</t>
  </si>
  <si>
    <t xml:space="preserve">Integrated Tax</t>
  </si>
  <si>
    <t xml:space="preserve">Central Tax</t>
  </si>
  <si>
    <t xml:space="preserve">State/UT Tax</t>
  </si>
  <si>
    <t xml:space="preserve">Cess Amount</t>
  </si>
  <si>
    <t xml:space="preserve">invoice</t>
  </si>
  <si>
    <t xml:space="preserve">creditnote</t>
  </si>
  <si>
    <t xml:space="preserve">Credit Note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</si>
</sst>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 * #,##0.00_ ;_ * \-#,##0.00_ ;_ * \-??_ ;_ @_ "/>
    <numFmt numFmtId="166" formatCode="_(* #,##0.00_);_(* \(#,##0.00\);_(* \-??_);_(@_)"/>
    <numFmt numFmtId="167" formatCode="0%"/>
    <numFmt numFmtId="168" formatCode="_ * #,##0_ ;_ * \-#,##0_ ;_ * \-??_ ;_ @_ "/>
    <numFmt numFmtId="169" formatCode="mmm\-yy"/>
    <numFmt numFmtId="170" formatCode="#,##0.00_);\(#,##0.00\)"/>
    <numFmt numFmtId="171" formatCode="#,##0.00"/>
    <numFmt numFmtId="172" formatCode="0.00"/>
    <numFmt numFmtId="173" formatCode="d/m/yyyy"/>
    <numFmt numFmtId="174" formatCode="m/d/yyyy"/>
    <numFmt numFmtId="175" formatCode="0"/>
    <numFmt numFmtId="176" formatCode="#,##0"/>
    <numFmt numFmtId="177" formatCode="yyyy/mm/dd"/>
    <numFmt numFmtId="178" formatCode="General"/>
    <numFmt numFmtId="179" formatCode="0.00E+00"/>
    <numFmt numFmtId="180" formatCode="mm/dd/yy"/>
  </numFmts>
  <fonts count="34">
    <font>
      <sz val="11"/>
      <color theme="1"/>
      <name val="Aptos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theme="1"/>
      <name val="Aptos Narrow"/>
      <family val="2"/>
      <charset val="1"/>
    </font>
    <font>
      <b val="true"/>
      <sz val="11"/>
      <color theme="1"/>
      <name val="Aptos Narrow"/>
      <family val="0"/>
      <charset val="134"/>
    </font>
    <font>
      <sz val="11"/>
      <color theme="1"/>
      <name val="Calibri"/>
      <family val="2"/>
      <charset val="1"/>
    </font>
    <font>
      <b val="true"/>
      <u val="single"/>
      <sz val="16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i val="true"/>
      <sz val="10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rgb="FF000000"/>
      <name val="Times New Roman"/>
      <family val="1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0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8999"/>
        <bgColor rgb="FFE9F0F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C0006"/>
      </patternFill>
    </fill>
    <fill>
      <patternFill patternType="solid">
        <fgColor theme="7" tint="0.5999"/>
        <bgColor rgb="FF83CBEB"/>
      </patternFill>
    </fill>
    <fill>
      <patternFill patternType="solid">
        <fgColor theme="4" tint="0.5999"/>
        <bgColor rgb="FF96DCF8"/>
      </patternFill>
    </fill>
    <fill>
      <patternFill patternType="solid">
        <fgColor rgb="FFE9F0FE"/>
        <bgColor rgb="FFDCEAF7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</borders>
  <cellStyleXfs count="4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2" borderId="2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3" fillId="0" borderId="6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14" fillId="0" borderId="6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6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4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2" borderId="1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2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3" fillId="0" borderId="5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16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4" fillId="0" borderId="5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5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11" fillId="0" borderId="5" xfId="1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3" fillId="0" borderId="1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3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7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9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1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3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3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3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2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7" fillId="0" borderId="24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6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2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4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24" fillId="0" borderId="12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12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24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4" fillId="0" borderId="12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3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24" fillId="3" borderId="12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24" fillId="3" borderId="12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2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0" fillId="0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12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20" fillId="0" borderId="12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7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19" xfId="39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8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1" xfId="39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9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9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0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3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7" fillId="0" borderId="24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1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2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3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3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2" xfId="3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12" xfId="3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2" xfId="3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2" xfId="3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32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3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1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12" xfId="23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2" xfId="3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39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8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39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9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5" xfId="39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30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2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Comma 3" xfId="22"/>
    <cellStyle name="Comma 4" xfId="23"/>
    <cellStyle name="Comma 5" xfId="24"/>
    <cellStyle name="Normal 2" xfId="25"/>
    <cellStyle name="Normal 2 2" xfId="26"/>
    <cellStyle name="Normal 2 3" xfId="27"/>
    <cellStyle name="Normal 3" xfId="28"/>
    <cellStyle name="Normal 4" xfId="29"/>
    <cellStyle name="Normal 5" xfId="30"/>
    <cellStyle name="Normal 6" xfId="31"/>
    <cellStyle name="Normal 7" xfId="32"/>
    <cellStyle name="Normal 8" xfId="33"/>
    <cellStyle name="Normal 9" xfId="34"/>
    <cellStyle name="Percent 2" xfId="35"/>
    <cellStyle name="Pivot Table Corner" xfId="36"/>
    <cellStyle name="Pivot Table Value" xfId="37"/>
    <cellStyle name="Pivot Table Field" xfId="38"/>
    <cellStyle name="Pivot Table Category" xfId="39"/>
    <cellStyle name="Pivot Table Title" xfId="40"/>
    <cellStyle name="Pivot Table Result" xfId="41"/>
    <cellStyle name="*unknown*" xfId="20" builtinId="8"/>
  </cellStyles>
  <dxfs count="181"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28E85"/>
          <bgColor rgb="FF000000"/>
        </patternFill>
      </fill>
    </dxf>
    <dxf>
      <fill>
        <patternFill patternType="solid">
          <fgColor rgb="FFF2AA8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theme="5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8E85"/>
        </patternFill>
      </fill>
    </dxf>
    <dxf>
      <fill>
        <patternFill>
          <bgColor rgb="FFF28E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6DCF8"/>
          <bgColor rgb="FF000000"/>
        </patternFill>
      </fill>
    </dxf>
    <dxf>
      <fill>
        <patternFill patternType="solid">
          <fgColor rgb="FF83CBE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9F0F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E9F0FE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83CBEB"/>
      <rgbColor rgb="FF808080"/>
      <rgbColor rgb="FF9999FF"/>
      <rgbColor rgb="FF993366"/>
      <rgbColor rgb="FFFFFFCC"/>
      <rgbColor rgb="FFDCEAF7"/>
      <rgbColor rgb="FF660066"/>
      <rgbColor rgb="FFF28E8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2AA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19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:/Jalaj%20Jain/15%20MW%20Solar%20PV/15%20MW%20Solar%20Project_Greece_v17_New%20-%20avg%201.6%20DSCR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Output&gt;"/>
      <sheetName val="Summary"/>
      <sheetName val="IRR"/>
      <sheetName val="Sensitivities"/>
      <sheetName val="Input&gt;"/>
      <sheetName val="Project Inputs"/>
      <sheetName val="Inputs Summary"/>
      <sheetName val="Calculations&gt;"/>
      <sheetName val="Timline"/>
      <sheetName val="Revenue"/>
      <sheetName val="Capex Calculation"/>
      <sheetName val="Opex Calculation"/>
      <sheetName val="Debt"/>
      <sheetName val="Depreciation"/>
      <sheetName val="FS (semi-annual)"/>
      <sheetName val="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68" createdVersion="3">
  <cacheSource type="worksheet">
    <worksheetSource ref="A3:AE30723" sheet="FY 25-26-Accrual"/>
  </cacheSource>
  <cacheFields count="31">
    <cacheField name="Contract" numFmtId="0">
      <sharedItems containsBlank="1" containsMixedTypes="1" containsNumber="1" containsInteger="1" minValue="0" maxValue="0" count="10">
        <n v="0"/>
        <s v="12 days complimentry"/>
        <s v="15 days complimentry"/>
        <s v="Closed- Dec 24"/>
        <s v="Closed- Feb"/>
        <s v="Closed- Mar"/>
        <s v="Closed- May 25"/>
        <s v="Closed-Apr 25"/>
        <s v="Credit Note Issue"/>
        <m/>
      </sharedItems>
    </cacheField>
    <cacheField name="Months" numFmtId="0">
      <sharedItems containsDate="1" containsBlank="1" containsMixedTypes="1" minDate="2024-10-01T00:00:00" maxDate="2025-10-01T00:00:00" count="54"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s v="Apr &amp; May 25"/>
        <s v="Apr &amp; Oct 25"/>
        <s v="Apr 25 &amp; sept 25"/>
        <s v="Apr to July 25"/>
        <s v="Apr to June 25"/>
        <s v="Apr to Oct 25"/>
        <s v="Aug &amp; Oct 25"/>
        <s v="Dec 24 to June 25"/>
        <s v="Dec 24 to Oct 25"/>
        <s v="Dec 24, June 25 &amp; Sept 25"/>
        <s v="Feb 25, May, Aug 25, Oct 25"/>
        <s v="Feb Apr to Oct 25"/>
        <s v="Jan &amp; Apr &amp; July &amp; Oct 25"/>
        <s v="Jan &amp; Apr 25"/>
        <s v="Jan to Mar 25"/>
        <s v="Jan, Apr &amp; May 25"/>
        <s v="July"/>
        <s v="July &amp; Aug 25, Oct 25"/>
        <s v="July &amp; Oct 25"/>
        <s v="July 25 &amp; Ag 25"/>
        <s v="July to Oct 25"/>
        <s v="June  &amp; Aug 25"/>
        <s v="June &amp; July"/>
        <s v="June &amp; Oct 25"/>
        <s v="June &amp; Sept 25"/>
        <s v="June to Oct 25"/>
        <s v="Mar &amp; Apr 25"/>
        <s v="Mar to June 25"/>
        <s v="Mar to Oct 25"/>
        <s v="May &amp; Aug 25"/>
        <s v="May &amp; june 25"/>
        <s v="May to Oct 25"/>
        <s v="May to Sept 25"/>
        <s v="Nov 24 to Oct 25"/>
        <s v="Nov, Jan &amp; Feb 25"/>
        <s v="Oct &amp; Nov 24"/>
        <s v="Sept &amp; Oct 25"/>
        <s v="Sept to Jan 25"/>
        <s v="Sept to Oct 25"/>
        <s v="Sept to Sept 25"/>
        <m/>
      </sharedItems>
    </cacheField>
    <cacheField name="Customer Name" numFmtId="0">
      <sharedItems containsBlank="1" count="358">
        <s v="&#10;The Guild | Advocates &amp; Associate Counsel"/>
        <s v="Aakash Sharma"/>
        <s v="Aanchal Basur"/>
        <s v="Aarna Law LLP"/>
        <s v="Abel Tom Benny // Thomas and Thomas Advocates"/>
        <s v="Abhimanyu Garg / Methodica Legal "/>
        <s v="Acuity Law LLP"/>
        <s v="Adarsh Ramakrishnan"/>
        <s v="Aditya Narayan Mahajan"/>
        <s v="Aditya S Puar"/>
        <s v="Aditya Sikka / Tvashta Law"/>
        <s v="Advocate Rohit Jaiswal"/>
        <s v="Agama Law Associates"/>
        <s v="Agraa Legal"/>
        <s v="Ahan Gadkari"/>
        <s v="AHUJA VALECHA &amp; ASSOCIATES LLP"/>
        <s v="Ajinkya Kurdukar"/>
        <s v="AJNM LAW INDIA LLP"/>
        <s v="Akkash Bhadana"/>
        <s v="Akriti Chaubey"/>
        <s v="AKS Advocates"/>
        <s v="AKS LAW ASSOCIATES"/>
        <s v="Akshat Vachher"/>
        <s v="AL- Fanar Closed Joint Stock Company"/>
        <s v="Alankrit Bajpai"/>
        <s v="Amicus Lex &amp; Associates"/>
        <s v="Amit Bhagat"/>
        <s v="Amrit Grewal"/>
        <s v="Amrita Panda / ADP Chambers- 5"/>
        <s v="Amrita Panda / ADP Chambers- 62"/>
        <s v="Amrut Joshi"/>
        <s v="AMS Legal"/>
        <s v="Anand and Anand"/>
        <s v="ANG"/>
        <s v="Anirban Bhattacharya"/>
        <s v="Ankit Talsania"/>
        <s v="Ankita Sharma"/>
        <s v="Ankur Mahindro"/>
        <s v="ANM Global Inc"/>
        <s v="Anush Raajan"/>
        <s v="AP &amp; Partners, Advocates"/>
        <s v="Apoorv Kurup"/>
        <s v="Aquilaw"/>
        <s v="Aravindakshan Nair"/>
        <s v="Argus Partners"/>
        <s v="Arpit Gupta"/>
        <s v="Arun Kumar P"/>
        <s v="Arvind Menon"/>
        <s v="Asahi Legal LLP"/>
        <s v="ASREC India Ltd"/>
        <s v="Astik Vaid"/>
        <s v="ASV Legal LLP"/>
        <s v="Athena Legal"/>
        <s v="Aurtus Consulting LLP"/>
        <s v="Badar Durrez"/>
        <s v="Balbir Singh"/>
        <s v="Bathiya Legal"/>
        <s v="Bharat Chugh"/>
        <s v="Bimal Rajasekhar"/>
        <s v="Birendra Saraf"/>
        <s v="Bishwajit Dubey"/>
        <s v="Brijesh Oberoi"/>
        <s v="Burgeon Law LLP"/>
        <s v="C&amp;S Partners"/>
        <s v="Centre for Law and Policy Research Trust"/>
        <s v="Chambers of Aman Vachher"/>
        <s v="Chambers of Justice Mohit S Shah (Retd.), Former Chief Justice of Bombay and Calcutta High Court"/>
        <s v="Chambers of Moazzam Khan"/>
        <s v="Chambers of Ninad Laud"/>
        <s v="Chambers of Pujari"/>
        <s v="Chavi V Jain"/>
        <s v="Chetan Dedhia"/>
        <s v="Chetan shah"/>
        <s v="Chirag shah, Advocate"/>
        <s v="Clavius Legal"/>
        <s v="Consera Legal LLP"/>
        <s v="Darius J. Khambata"/>
        <s v="Darshit Jain"/>
        <s v="Daswani &amp; Daswani"/>
        <s v="Debopriyo Moulik"/>
        <s v="Deep Cover Law- Chirag Narasimiah"/>
        <s v="Devina Sehgal"/>
        <s v="Dewani Associates"/>
        <s v="Dharma Law Partners"/>
        <s v="Dhru &amp; Co"/>
        <s v="Dhruve Liladhar &amp; Co"/>
        <s v="Dileep Poolakkot"/>
        <s v="Dipankar Majumdar"/>
        <s v="Divyanshu Rai"/>
        <s v="Diwan Law Associates"/>
        <s v="Diya Kapur"/>
        <s v="Dr Sanjay Jain"/>
        <s v="DSK Legal"/>
        <s v="Dua Associates"/>
        <s v="Ecclesia Advocates and Solicitors"/>
        <s v="Elixir Legal Services"/>
        <s v="Eternity Legal"/>
        <s v="Farhan Dubash "/>
        <s v="Federal &amp; Company"/>
        <s v="⁠Feroze Patel"/>
        <s v="Foresight Law Offices"/>
        <s v="Ganesh &amp; Co."/>
        <s v="Gaurav Gupta"/>
        <s v="Gaurav Joshi"/>
        <s v="Gaurav Mehta"/>
        <s v="Gaurav Ray, Advocate on Record"/>
        <s v="Gauri Puri"/>
        <s v="GC Legal"/>
        <s v="Gera Developments Pvt. Ltd."/>
        <s v="Giriraj Subramanium"/>
        <s v="GM Legal"/>
        <s v="Gourab Banerji"/>
        <s v="Gourab Banreji"/>
        <s v="Gunjan Mangla"/>
        <s v="Gupta Law Associates"/>
        <s v="Hammurabi &amp; Solomon Partner"/>
        <s v="Hamsaanandini Nanduri"/>
        <s v="Hamza mir"/>
        <s v="Harshit Malik"/>
        <s v="Hiren Kamod"/>
        <s v="Hiresh Chaudhary"/>
        <s v="ICL CORPORATE ADVISORY PRIVATE LIMITED"/>
        <s v="IndusLaw"/>
        <s v="Innovatus Law"/>
        <s v="IRIS LEGAL"/>
        <s v="Ish Jain / Regius Partners LLP"/>
        <s v="J INFRATECH LIMITED"/>
        <s v="J.R. LADDHA FINANCIAL SERVICES PRIVATE LIMITED"/>
        <s v="Jade Lex Partners"/>
        <s v="Jain and Talukdar"/>
        <s v="Jaiveer Shergil"/>
        <s v="Jani &amp; Parikh, Advocates and Solicitors"/>
        <s v="Jayakar and Partners"/>
        <s v="Jayant Mehta &#10;"/>
        <s v="Jehangir Jeejeebhoy"/>
        <s v="Jennifer Michael"/>
        <s v="Joy Baxi &amp; Associates"/>
        <s v="JSM Law Partners"/>
        <s v="Justice (Retd.) AK Sikri"/>
        <s v="Justice (Retd.) Kurian Joseph"/>
        <s v="Justice Ravindra Bhat"/>
        <s v="JYOT-A Public Trust"/>
        <s v="K R Prasad Advocates"/>
        <s v="Kachwaha &amp; Partners"/>
        <s v="Kaizen Law"/>
        <s v="Kajol Punjabi"/>
        <s v="Kamaljeet Singh"/>
        <s v="Kanungo &amp; Co."/>
        <s v="Karan Butalia"/>
        <s v="Karanjawala &amp; Company Advocates"/>
        <s v="Karthik Sundar"/>
        <s v="KATARIYA CONSULTANCY INDIA LLP"/>
        <s v="Kazan Shroff"/>
        <s v="Kevic Setalvad"/>
        <s v="Keystone Partners"/>
        <s v="Khaitan Legal Asscoiates"/>
        <s v="Khaitan Legal Associates"/>
        <s v="KINJAL CIVILCON LLP"/>
        <s v="KK &amp; Co"/>
        <s v="Kochhar &amp; Co."/>
        <s v="Krati Gupta"/>
        <s v="KRISH HOMES"/>
        <s v="Krishna Dev Jagarlamudi"/>
        <s v="Krishnan Venugopal"/>
        <s v="KUAJ LEGAL"/>
        <s v="Kunal Kunango"/>
        <s v="Kunal Vaishnav"/>
        <s v="Kushagra Shah"/>
        <s v="Laksha Kalappa B"/>
        <s v="Law office of Amrita Sarkar"/>
        <s v="LegaLogic Consulting"/>
        <s v="LEGALOGIC CONSULTING LLP"/>
        <s v="Lighthouse Legal"/>
        <s v="Lzafeer Ahmad B F"/>
        <s v="Mahadeshwara. D"/>
        <s v="Mahek Bookwala"/>
        <s v="Major Nirvikar Singh (Retd.)"/>
        <s v="Malak Bhatt"/>
        <s v="Manaswi Agrawal"/>
        <s v="Manini Brar"/>
        <s v="Manish kelker"/>
        <s v="Manjari Shah"/>
        <s v="MD&amp;T Partners"/>
        <s v="MDP Legal"/>
        <s v="MEESHO LIMITED"/>
        <s v="Megha Chandra"/>
        <s v="Meghav Gupta"/>
        <s v="Meghna Talwar"/>
        <s v="MG Ramachandran"/>
        <s v="Miglani Varma &amp; Co."/>
        <s v="Mihir Desai"/>
        <s v="Mohammed Moin"/>
        <s v="Monalisa Kosaria"/>
        <s v="Mr Rohit Gupta"/>
        <s v="Mr Sudhanshu Kumar"/>
        <s v="Mr. Jehangir Jejeebhoy"/>
        <s v="Mukul Sharma and Company"/>
        <s v="Mustafa S Doctor"/>
        <s v="MV Law Partners"/>
        <s v="MZM Legal LLP"/>
        <s v="Narottam Sharma"/>
        <s v="Naushad Engineer"/>
        <s v="Nayana Tara BG"/>
        <s v="NC Legal"/>
        <s v="Neeta Jain"/>
        <s v="Newton School - Incanus Technologies Private Limited"/>
        <s v="NIKHIL DEELIP P"/>
        <s v="Nikhil Pai"/>
        <s v="NINE PILLARS INFRATECH LLP"/>
        <s v="Nitish Raj"/>
        <s v="NKR Law Offices"/>
        <s v="Nora Legal Consultants LLP"/>
        <s v="Nyayosh Bharucha"/>
        <s v="OASIS REALTY"/>
        <s v="Office of ASG (N. Venkatraman)"/>
        <s v="Optimus Legal"/>
        <s v="Parakram Legal"/>
        <s v="Parekh Legal Proprieter Ami Parekh"/>
        <s v="Parinam Law Associates"/>
        <s v="Parul Sharma"/>
        <s v="Philips India Limited"/>
        <s v="Phoenix Legal"/>
        <s v="Pioneer Legal"/>
        <s v="Piyush Raheja"/>
        <s v="Poovayya &amp; CO"/>
        <s v="Pradeep Sancheti"/>
        <s v="Pragati Law Chambers"/>
        <s v="Pramit Mohanty"/>
        <s v="Pranav Badheka"/>
        <s v="Pranay Chitale"/>
        <s v="Prantar"/>
        <s v="Pratap Venugopal, Senior Advocate"/>
        <s v="Prateek Rath"/>
        <s v="Pratik Patnaik"/>
        <s v="Pravah Law"/>
        <s v="Precinct Legal"/>
        <s v="Prerit Goyal"/>
        <s v="Priyanshi Kholia"/>
        <s v="Prompt Legal (Shared by Jayanth)"/>
        <s v="PSN Legal Advocates and Legal Consultants"/>
        <s v="PSP Legal"/>
        <s v="Puneet Rathsharma"/>
        <s v="R. Ginodia &amp; Co. LLP"/>
        <s v="R. Vishnu Kumar, Advocate"/>
        <s v="Rahul Saboo, Advocate"/>
        <s v="RAJANI ASSOCIATES"/>
        <s v="Rajdeep Panda"/>
        <s v="Rajeev K. Virmani"/>
        <s v="Rashmikant and Partners"/>
        <s v="Ratan Kumar Singh"/>
        <s v="Reliance Corporate Advisors (R)"/>
        <s v="REMFRY &amp; SAGAR CONSULTANT PVT LTD"/>
        <s v="RHP Partners"/>
        <s v="Rithin Rai"/>
        <s v="Rohan Shah"/>
        <s v="Rohan Talwar"/>
        <s v="Rohit Sharma"/>
        <s v="Rohit Sharma (lex Merita)"/>
        <s v="Roshan Santhalia"/>
        <s v="RPV LEGAL"/>
        <s v="RRG &amp; Associates"/>
        <s v="RUNWAL ENTERPRISES LIMITED"/>
        <s v="S Arjun Suresh"/>
        <s v="S C Sharada &amp; Associates| Company Secretaries"/>
        <s v="S Priya"/>
        <s v="SACH &amp; THARAAS ADVOCATES"/>
        <s v="Saga Legal"/>
        <s v="Sagar Ghogre"/>
        <s v="Sagar Sheth"/>
        <s v="Sahil Singh"/>
        <s v="Sajan Poovayya"/>
        <s v="Samar Bansal"/>
        <s v="Samya Law Chambers"/>
        <s v="Sandip Agarwal and Co."/>
        <s v="Sanjay Udeshi &amp; Co."/>
        <s v="Santosh Kumar"/>
        <s v="Saqeb Mahbub"/>
        <s v="Saraf and Partners"/>
        <s v="Sarthak Advocates &amp; Solicitors"/>
        <s v="Sarvottam Law Offices"/>
        <s v="Saswat Mohanty"/>
        <s v="Saurabh Prakash"/>
        <s v="Shamik Sanjanwala"/>
        <s v="Shashwat Bajpai"/>
        <s v="Shiraz Rustomjee"/>
        <s v="Shobit Phutela"/>
        <s v="Shreeyash Lalit"/>
        <s v="Shrey Lodha"/>
        <s v="Shreya Desai"/>
        <s v="Shri Venkatesh , SKV law offices"/>
        <s v="Shyam Kapadia"/>
        <s v="Siddhant Makkar"/>
        <s v="Singularity Legal LLP"/>
        <s v="SINHA &amp; COMPANY&#10;"/>
        <s v="Sir Sobha Singh &amp; Sons Pvt Ltd"/>
        <s v="SK Singhi and Partners"/>
        <s v="SKR &amp; associates"/>
        <s v="Sneha Phene"/>
        <s v="Solaris Legal"/>
        <s v="Solicitors India Law Offices"/>
        <s v="SomÂ Sinha &amp; Associates"/>
        <s v="Sourish Roy"/>
        <s v="Spark Legal"/>
        <s v="SRCO Legal / Salvador Raghav &amp; Co."/>
        <s v="Srivastava &amp; Company"/>
        <s v="Stride Legal"/>
        <s v="Sundeep Karnik"/>
        <s v="Surel Shah"/>
        <s v="Svarniti Law Offices"/>
        <s v="Swapna Sheshadri"/>
        <s v="Swapnil Wagh"/>
        <s v="Talha Abdul Rahman"/>
        <s v="Tarun G Reddy"/>
        <s v="Tejas Bhide"/>
        <s v="Tejeshwar Singh"/>
        <s v="Tipping Mr Pink Private Limited"/>
        <s v="TLH, Advocates &amp; Solicitors"/>
        <s v="Touchstone Partners"/>
        <s v="TREELIFE VENTURES SERVICES PRIVATE LIMITED"/>
        <s v="TRILOK POWER AND CABLES PRIVATE LIMITED"/>
        <s v="Trust Law"/>
        <s v="Tuli &amp; Co."/>
        <s v="Tushar Jarwal"/>
        <s v="Tvashta Law"/>
        <s v="U. S. GANDHI &amp; CO."/>
        <s v="Udai V. S. Rathore"/>
        <s v="Udyam Law Practice"/>
        <s v="Ujjwal Sharma"/>
        <s v="Utkarsh Joshi"/>
        <s v="VACUITAS COUNSELLOR LLP"/>
        <s v="Vaish Associates"/>
        <s v="Vardharma Chambers"/>
        <s v="Venkatesh Dhond"/>
        <s v="Venkatesh Mohanraj"/>
        <s v="Veritas Legal Advocates and Solicitors"/>
        <s v="Vesta Legal"/>
        <s v="Victoram Legal / Mr. Sajal Awasthi"/>
        <s v="Vidhii Partners"/>
        <s v="Vidhittas Legal"/>
        <s v="Vijay Manjreka"/>
        <s v="Vikas Mehta"/>
        <s v="Vinayak Sharma"/>
        <s v="Virmani &amp; Virmani"/>
        <s v="Vis Legis Law Practice"/>
        <s v="Vishal Kanade"/>
        <s v="Vivek Anand Anthony Britto"/>
        <s v="Vrinda Taneja"/>
        <s v="Vritti Law Partners"/>
        <s v="Vutts &amp; Associates LLP"/>
        <s v="Vyom Shah"/>
        <s v="Wadia Ghandy &amp; Co."/>
        <s v="Yakshay Chheda"/>
        <s v="Yash Momaya"/>
        <s v="ZEUS Law Associates"/>
        <s v="Zoheb Hossain"/>
        <s v="Zubin Behramkamdin"/>
        <s v="Zulfiqar Jariwala"/>
        <m/>
      </sharedItems>
    </cacheField>
    <cacheField name="Invoice" numFmtId="0">
      <sharedItems containsBlank="1" count="467">
        <s v=" INV- 46, INV-25-26-000013, 277, 483"/>
        <s v="40, INV-000088, 0112, INV-25-26-000078, 111,0180, 256, 343, 420, 505"/>
        <s v="INV-000002,009, 16, INV-000051"/>
        <s v="INV-000005, INV-000014"/>
        <s v="INV-000007"/>
        <s v="INV-000008,0021"/>
        <s v="INV-000018"/>
        <s v="INV-000019"/>
        <s v="INV-000028"/>
        <s v="INV-000033"/>
        <s v="INV-000035"/>
        <s v="INV-000037"/>
        <s v="INV-000038,00219"/>
        <s v="INV-000042, 000183 000218,421"/>
        <s v="INV-000048"/>
        <s v="INV-000050"/>
        <s v="INV-000055"/>
        <s v="INV-000057"/>
        <s v="INV-000058"/>
        <s v="INV-000060"/>
        <s v="INV-000064"/>
        <s v="INV-000065"/>
        <s v="INV-000068"/>
        <s v="INV-000070,INV-000103, 146"/>
        <s v="INV-000071"/>
        <s v="INV-000072"/>
        <s v="INV-000077, 080"/>
        <s v="INV-000079"/>
        <s v="INV-000083"/>
        <s v="INV-000085, INV-25-26-000021,INV-25-26-000022, 148,178, 248, 337, 416, 500"/>
        <s v="INV-000090"/>
        <s v="INV-000091, 0114, INV-25-26-000079, 115,191, 263,346, 513"/>
        <s v="INV-000093"/>
        <s v="INV-000095"/>
        <s v="INV-000096"/>
        <s v="INV-000097"/>
        <s v="INV-000098"/>
        <s v="INV-000099"/>
        <s v="INV-000101"/>
        <s v="INV-000102"/>
        <s v="INV-000105"/>
        <s v="INV-000109"/>
        <s v="INV-000111, INV-25-26-000016, 0109"/>
        <s v="INV-000115"/>
        <s v="INV-000116, INV-25-26-000099,197,264, 347, 430, 514"/>
        <s v="INV-000118"/>
        <s v="INV-000120"/>
        <s v="INV-000121"/>
        <s v="INV-000123"/>
        <s v="INV-000124"/>
        <s v="INV-000125"/>
        <s v="INV-000126"/>
        <s v="INV-000127"/>
        <s v="INV-000128"/>
        <s v="INV-000129"/>
        <s v="INV-000131"/>
        <s v="INV-000132"/>
        <s v="INV-000134"/>
        <s v="INV-000135"/>
        <s v="INV-000136"/>
        <s v="INV-000138"/>
        <s v="INV-000139"/>
        <s v="INV-000141"/>
        <s v="INV-000142"/>
        <s v="INV-000144"/>
        <s v="INV-000145,00011, INV-25-26-000080,0106, 0223, 312, 390, 474"/>
        <s v="INV-000147,000479"/>
        <s v="INV-000148"/>
        <s v="INV-000149"/>
        <s v="INV-000151"/>
        <s v="INV-25-26- 000388, 000409, 488"/>
        <s v="INV-25-26-000001"/>
        <s v="INV-25-26-000002"/>
        <s v="INV-25-26-000003"/>
        <s v="INV-25-26-000004,104"/>
        <s v="INV-25-26-000005"/>
        <s v="INV-25-26-000006"/>
        <s v="INV-25-26-000007"/>
        <s v="INV-25-26-000009,00107,00177"/>
        <s v="INV-25-26-000010"/>
        <s v="INV-25-26-000011"/>
        <s v="INV-25-26-000012"/>
        <s v="INV-25-26-000014"/>
        <s v="INV-25-26-000015"/>
        <s v="INV-25-26-000017"/>
        <s v="INV-25-26-000019, 113, 0184, 259"/>
        <s v="INV-25-26-000020"/>
        <s v="INV-25-26-000023"/>
        <s v="INV-25-26-000024"/>
        <s v="INV-25-26-000025"/>
        <s v="INV-25-26-000026"/>
        <s v="INV-25-26-000028"/>
        <s v="INV-25-26-000029"/>
        <s v="INV-25-26-000030, 124, 198,271"/>
        <s v="INV-25-26-000032"/>
        <s v="INV-25-26-000033"/>
        <s v="INV-25-26-000034, 125, 199, 272, 358, 528"/>
        <s v="INV-25-26-000035, 0127, 0200"/>
        <s v="INV-25-26-000036"/>
        <s v="INV-25-26-000037"/>
        <s v="INV-25-26-000038"/>
        <s v="INV-25-26-000039"/>
        <s v="INV-25-26-000040"/>
        <s v="INV-25-26-000041"/>
        <s v="INV-25-26-000042, 137, 213"/>
        <s v="INV-25-26-000043"/>
        <s v="INV-25-26-000044"/>
        <s v="INV-25-26-000045"/>
        <s v="INV-25-26-000046"/>
        <s v="INV-25-26-000047"/>
        <s v="INV-25-26-000048"/>
        <s v="INV-25-26-000049"/>
        <s v="INV-25-26-000050"/>
        <s v="INV-25-26-000051"/>
        <s v="INV-25-26-000052"/>
        <s v="INV-25-26-000053"/>
        <s v="INV-25-26-000054"/>
        <s v="INV-25-26-000055"/>
        <s v="INV-25-26-000056, CN 25"/>
        <s v="INV-25-26-000057"/>
        <s v="INV-25-26-000058"/>
        <s v="INV-25-26-000059"/>
        <s v="INV-25-26-000060,144, 230, 333, 382, 468,558"/>
        <s v="INV-25-26-000061, 145"/>
        <s v="INV-25-26-000062"/>
        <s v="INV-25-26-000063"/>
        <s v="INV-25-26-000064"/>
        <s v="INV-25-26-000065,114,0185, 260, 344, 425, 510"/>
        <s v="INV-25-26-000066,564"/>
        <s v="INV-25-26-000067"/>
        <s v="INV-25-26-000068"/>
        <s v="INV-25-26-000069"/>
        <s v="INV-25-26-000070"/>
        <s v="INV-25-26-000071"/>
        <s v="INV-25-26-000072"/>
        <s v="INV-25-26-000073"/>
        <s v="INV-25-26-000074"/>
        <s v="INV-25-26-000075"/>
        <s v="INV-25-26-000076"/>
        <s v="INV-25-26-000077"/>
        <s v="INV-25-26-000096"/>
        <s v="INV-25-26-000097"/>
        <s v="INV-25-26-000100"/>
        <s v="INV-25-26-000101"/>
        <s v="INV-25-26-000102"/>
        <s v="INV-25-26-000103, 212, 265, 365"/>
        <s v="INV-25-26-000105,0171, 246, 332,415, CN-00029, 496"/>
        <s v="INV-25-26-000106"/>
        <s v="INV-25-26-000108"/>
        <s v="INV-25-26-000110"/>
        <s v="INV-25-26-000112"/>
        <s v="INV-25-26-000116"/>
        <s v="INV-25-26-000117"/>
        <s v="INV-25-26-000118"/>
        <s v="INV-25-26-000119"/>
        <s v="INV-25-26-000120"/>
        <s v="INV-25-26-000121"/>
        <s v="INV-25-26-000122"/>
        <s v="INV-25-26-000123"/>
        <s v="INV-25-26-000126"/>
        <s v="INV-25-26-000128"/>
        <s v="INV-25-26-000129"/>
        <s v="INV-25-26-000130, INV-000081, 366, CN-00037"/>
        <s v="INV-25-26-000131"/>
        <s v="INV-25-26-000132"/>
        <s v="INV-25-26-000133"/>
        <s v="INV-25-26-000134"/>
        <s v="INV-25-26-000135"/>
        <s v="INV-25-26-000136, 0210, 292, 372, 457, CN- 30 to 33"/>
        <s v="INV-25-26-000138"/>
        <s v="INV-25-26-000139"/>
        <s v="INV-25-26-000140"/>
        <s v="INV-25-26-000141"/>
        <s v="INV-25-26-000142"/>
        <s v="INV-25-26-000143"/>
        <s v="INV-25-26-000146"/>
        <s v="INV-25-26-000147"/>
        <s v="INV-25-26-000150"/>
        <s v="INV-25-26-000151"/>
        <s v="INV-25-26-000152"/>
        <s v="INV-25-26-000153"/>
        <s v="INV-25-26-000154"/>
        <s v="INV-25-26-000155"/>
        <s v="INV-25-26-000156"/>
        <s v="INV-25-26-000157,000224,313"/>
        <s v="INV-25-26-000158"/>
        <s v="INV-25-26-000160"/>
        <s v="INV-25-26-000161"/>
        <s v="INV-25-26-000163"/>
        <s v="INV-25-26-000164"/>
        <s v="INV-25-26-000165 &amp; CN-00011"/>
        <s v="INV-25-26-000166"/>
        <s v="INV-25-26-000167"/>
        <s v="INV-25-26-000168"/>
        <s v="INV-25-26-000169"/>
        <s v="INV-25-26-000172"/>
        <s v="INV-25-26-000173"/>
        <s v="INV-25-26-000174"/>
        <s v="INV-25-26-000175"/>
        <s v="INV-25-26-000176"/>
        <s v="INV-25-26-000181"/>
        <s v="INV-25-26-000182"/>
        <s v="INV-25-26-000186"/>
        <s v="INV-25-26-000187"/>
        <s v="INV-25-26-000188"/>
        <s v="INV-25-26-000189, 262, 345, 512"/>
        <s v="INV-25-26-000190"/>
        <s v="INV-25-26-000192"/>
        <s v="INV-25-26-000193"/>
        <s v="INV-25-26-000194"/>
        <s v="INV-25-26-000195"/>
        <s v="INV-25-26-000196"/>
        <s v="INV-25-26-000201"/>
        <s v="INV-25-26-000202"/>
        <s v="INV-25-26-000203"/>
        <s v="INV-25-26-000204"/>
        <s v="INV-25-26-000205, 452"/>
        <s v="INV-25-26-000206, 453"/>
        <s v="INV-25-26-000207"/>
        <s v="INV-25-26-000208, 288, 368, 455,547"/>
        <s v="INV-25-26-000209"/>
        <s v="INV-25-26-000211"/>
        <s v="INV-25-26-000214"/>
        <s v="INV-25-26-000215"/>
        <s v="INV-25-26-000216"/>
        <s v="INV-25-26-000217"/>
        <s v="INV-25-26-000220 &amp; CN-00012"/>
        <s v="INV-25-26-000221"/>
        <s v="INV-25-26-000222"/>
        <s v="INV-25-26-000225"/>
        <s v="INV-25-26-000226, 481"/>
        <s v="INV-25-26-000227"/>
        <s v="INV-25-26-000228, 482"/>
        <s v="INV-25-26-000233"/>
        <s v="INV-25-26-000234, 485"/>
        <s v="INV-25-26-000235"/>
        <s v="INV-25-26-000236"/>
        <s v="INV-25-26-000237"/>
        <s v="INV-25-26-000238"/>
        <s v="INV-25-26-000239"/>
        <s v="INV-25-26-000240"/>
        <s v="INV-25-26-000242"/>
        <s v="INV-25-26-000243"/>
        <s v="INV-25-26-000244"/>
        <s v="INV-25-26-000245"/>
        <s v="INV-25-26-000250"/>
        <s v="INV-25-26-000251"/>
        <s v="INV-25-26-000252"/>
        <s v="INV-25-26-000253"/>
        <s v="INV-25-26-000254"/>
        <s v="INV-25-26-000255"/>
        <s v="INV-25-26-000257"/>
        <s v="INV-25-26-000258"/>
        <s v="INV-25-26-000261"/>
        <s v="INV-25-26-000266"/>
        <s v="INV-25-26-000267"/>
        <s v="INV-25-26-000268"/>
        <s v="INV-25-26-000269"/>
        <s v="INV-25-26-000270"/>
        <s v="INV-25-26-000271"/>
        <s v="INV-25-26-000273"/>
        <s v="INV-25-26-000274"/>
        <s v="INV-25-26-000276"/>
        <s v="INV-25-26-000278"/>
        <s v="INV-25-26-000279"/>
        <s v="INV-25-26-000280"/>
        <s v="INV-25-26-000281"/>
        <s v="INV-25-26-000282"/>
        <s v="INV-25-26-000283, 360,538"/>
        <s v="INV-25-26-000284, 361, 436,539"/>
        <s v="INV-25-26-000285"/>
        <s v="INV-25-26-000286"/>
        <s v="INV-25-26-000287,367, 546"/>
        <s v="INV-25-26-000289"/>
        <s v="INV-25-26-000290"/>
        <s v="INV-25-26-000291"/>
        <s v="INV-25-26-000293"/>
        <s v="INV-25-26-000294"/>
        <s v="INV-25-26-000295"/>
        <s v="INV-25-26-000296"/>
        <s v="INV-25-26-000297, 373, 458,550"/>
        <s v="INV-25-26-000298"/>
        <s v="INV-25-26-000299"/>
        <s v="INV-25-26-000300"/>
        <s v="INV-25-26-000301"/>
        <s v="INV-25-26-000302"/>
        <s v="INV-25-26-000303"/>
        <s v="INV-25-26-000304, 376, 459,551"/>
        <s v="INV-25-26-000305"/>
        <s v="INV-25-26-000306"/>
        <s v="INV-25-26-000307"/>
        <s v="INV-25-26-000308"/>
        <s v="INV-25-26-000311"/>
        <s v="INV-25-26-000313 &amp; CN-00013"/>
        <s v="INV-25-26-000314"/>
        <s v="INV-25-26-000315"/>
        <s v="INV-25-26-000316"/>
        <s v="INV-25-26-000317"/>
        <s v="INV-25-26-000318"/>
        <s v="INV-25-26-000319"/>
        <s v="INV-25-26-000320"/>
        <s v="INV-25-26-000321"/>
        <s v="INV-25-26-000322"/>
        <s v="INV-25-26-000325"/>
        <s v="INV-25-26-000326"/>
        <s v="INV-25-26-000327"/>
        <s v="INV-25-26-000328"/>
        <s v="INV-25-26-000329"/>
        <s v="INV-25-26-000330"/>
        <s v="INV-25-26-000331"/>
        <s v="INV-25-26-000334"/>
        <s v="INV-25-26-000335"/>
        <s v="INV-25-26-000339"/>
        <s v="INV-25-26-000340"/>
        <s v="INV-25-26-000341"/>
        <s v="INV-25-26-000342"/>
        <s v="INV-25-26-000348"/>
        <s v="INV-25-26-000349"/>
        <s v="INV-25-26-000350"/>
        <s v="INV-25-26-000351"/>
        <s v="INV-25-26-000352"/>
        <s v="INV-25-26-000353"/>
        <s v="INV-25-26-000354"/>
        <s v="INV-25-26-000355"/>
        <s v="INV-25-26-000356"/>
        <s v="INV-25-26-000362"/>
        <s v="INV-25-26-000363"/>
        <s v="INV-25-26-000364"/>
        <s v="INV-25-26-000369"/>
        <s v="INV-25-26-000370"/>
        <s v="INV-25-26-000371"/>
        <s v="INV-25-26-000375"/>
        <s v="INV-25-26-000377"/>
        <s v="INV-25-26-000378"/>
        <s v="INV-25-26-000379"/>
        <s v="INV-25-26-000380"/>
        <s v="INV-25-26-000381"/>
        <s v="INV-25-26-000383"/>
        <s v="INV-25-26-000384"/>
        <s v="INV-25-26-000385"/>
        <s v="INV-25-26-000386"/>
        <s v="INV-25-26-000387"/>
        <s v="INV-25-26-000389"/>
        <s v="INV-25-26-000391"/>
        <s v="INV-25-26-000392"/>
        <s v="INV-25-26-000393"/>
        <s v="INV-25-26-000394"/>
        <s v="INV-25-26-000395"/>
        <s v="INV-25-26-000396"/>
        <s v="INV-25-26-000399"/>
        <s v="INV-25-26-000400"/>
        <s v="INV-25-26-000401"/>
        <s v="INV-25-26-000402"/>
        <s v="INV-25-26-000403"/>
        <s v="INV-25-26-000404"/>
        <s v="INV-25-26-000405, CN 23"/>
        <s v="INV-25-26-000406"/>
        <s v="INV-25-26-000407"/>
        <s v="INV-25-26-000411"/>
        <s v="INV-25-26-000412"/>
        <s v="INV-25-26-000413"/>
        <s v="INV-25-26-000414"/>
        <s v="INV-25-26-000417"/>
        <s v="INV-25-26-000418"/>
        <s v="INV-25-26-000419"/>
        <s v="INV-25-26-000422"/>
        <s v="INV-25-26-000423"/>
        <s v="INV-25-26-000424, 486"/>
        <s v="INV-25-26-000426"/>
        <s v="INV-25-26-000428"/>
        <s v="INV-25-26-000431"/>
        <s v="INV-25-26-000433"/>
        <s v="INV-25-26-000434"/>
        <s v="INV-25-26-000437"/>
        <s v="INV-25-26-000438"/>
        <s v="INV-25-26-000439"/>
        <s v="INV-25-26-000440"/>
        <s v="INV-25-26-000441, 540"/>
        <s v="INV-25-26-000442"/>
        <s v="INV-25-26-000443"/>
        <s v="INV-25-26-000444"/>
        <s v="INV-25-26-000445"/>
        <s v="INV-25-26-000446, 542"/>
        <s v="INV-25-26-000447, 543"/>
        <s v="INV-25-26-000449, 544"/>
        <s v="INV-25-26-000450"/>
        <s v="INV-25-26-000451"/>
        <s v="INV-25-26-000456, 548"/>
        <s v="INV-25-26-000460"/>
        <s v="INV-25-26-000461"/>
        <s v="INV-25-26-000462"/>
        <s v="INV-25-26-000463"/>
        <s v="INV-25-26-000464"/>
        <s v="INV-25-26-000465, 557"/>
        <s v="INV-25-26-000466"/>
        <s v="INV-25-26-000467"/>
        <s v="INV-25-26-000469"/>
        <s v="INV-25-26-000470"/>
        <s v="INV-25-26-000471"/>
        <s v="INV-25-26-000472"/>
        <s v="INV-25-26-000473"/>
        <s v="INV-25-26-000475"/>
        <s v="INV-25-26-000476, CN-00036"/>
        <s v="INV-25-26-000477"/>
        <s v="INV-25-26-000478"/>
        <s v="INV-25-26-000480"/>
        <s v="INV-25-26-000487"/>
        <s v="INV-25-26-000489"/>
        <s v="INV-25-26-000490"/>
        <s v="INV-25-26-000491"/>
        <s v="INV-25-26-000492"/>
        <s v="INV-25-26-000493"/>
        <s v="INV-25-26-000497"/>
        <s v="INV-25-26-000498"/>
        <s v="INV-25-26-000499"/>
        <s v="INV-25-26-000501"/>
        <s v="INV-25-26-000502"/>
        <s v="INV-25-26-000504"/>
        <s v="INV-25-26-000507"/>
        <s v="INV-25-26-000508"/>
        <s v="INV-25-26-000511"/>
        <s v="INV-25-26-000515"/>
        <s v="INV-25-26-000516"/>
        <s v="INV-25-26-000517"/>
        <s v="INV-25-26-000518"/>
        <s v="INV-25-26-000519"/>
        <s v="INV-25-26-000520"/>
        <s v="INV-25-26-000521"/>
        <s v="INV-25-26-000522"/>
        <s v="INV-25-26-000523"/>
        <s v="INV-25-26-000524"/>
        <s v="INV-25-26-000525"/>
        <s v="INV-25-26-000526"/>
        <s v="INV-25-26-000529"/>
        <s v="INV-25-26-000530"/>
        <s v="INV-25-26-000531"/>
        <s v="INV-25-26-000532"/>
        <s v="INV-25-26-000533"/>
        <s v="INV-25-26-000534"/>
        <s v="INV-25-26-000535"/>
        <s v="INV-25-26-000536"/>
        <s v="INV-25-26-000537"/>
        <s v="INV-25-26-000541"/>
        <s v="INV-25-26-000545"/>
        <s v="INV-25-26-000552"/>
        <s v="INV-25-26-000553"/>
        <s v="INV-25-26-000554"/>
        <s v="INV-25-26-000555"/>
        <s v="INV-25-26-000556"/>
        <s v="INV-25-26-000559"/>
        <s v="INV-25-26-000560"/>
        <s v="INV-25-26-000561"/>
        <s v="INV-25-26-000562"/>
        <s v="INV-25-26-000563"/>
        <s v="INV-25-26-000566"/>
        <s v="INV-25-26-000567"/>
        <s v="INV-25-26-000568"/>
        <s v="INV-25-26-000569"/>
        <s v="INV-25-26-000570"/>
        <s v="INV-25-26-000571"/>
        <s v="INV-25-26-000572"/>
        <s v="INV-25-26-000573"/>
        <s v="INV-25-26-000574"/>
        <s v="INV-25-26-000575"/>
        <s v="INV-25-26-000576"/>
        <s v="INV-25-26-000577"/>
        <m/>
      </sharedItems>
    </cacheField>
    <cacheField name="Nature of service" numFmtId="0">
      <sharedItems containsDate="1" containsBlank="1" containsMixedTypes="1" minDate="2025-08-15T00:00:00" maxDate="2025-08-15T00:00:00" count="4">
        <d v="2025-08-15T00:00:00"/>
        <s v="One time work"/>
        <s v="subscription based service"/>
        <m/>
      </sharedItems>
    </cacheField>
    <cacheField name="Start Date " numFmtId="0">
      <sharedItems containsNonDate="0" containsDate="1" containsString="0" containsBlank="1" minDate="2024-09-22T00:00:00" maxDate="2026-01-01T00:00:00" count="212">
        <d v="2024-09-22T00:00:00"/>
        <d v="2024-10-19T00:00:00"/>
        <d v="2024-10-21T00:00:00"/>
        <d v="2024-10-29T00:00:00"/>
        <d v="2024-11-09T00:00:00"/>
        <d v="2024-11-19T00:00:00"/>
        <d v="2024-11-20T00:00:00"/>
        <d v="2024-11-24T00:00:00"/>
        <d v="2024-11-30T00:00:00"/>
        <d v="2024-12-11T00:00:00"/>
        <d v="2024-12-13T00:00:00"/>
        <d v="2024-12-14T00:00:00"/>
        <d v="2024-12-18T00:00:00"/>
        <d v="2024-12-19T00:00:00"/>
        <d v="2024-12-25T00:00:00"/>
        <d v="2025-01-01T00:00:00"/>
        <d v="2025-01-05T00:00:00"/>
        <d v="2025-01-08T00:00:00"/>
        <d v="2025-01-14T00:00:00"/>
        <d v="2025-01-15T00:00:00"/>
        <d v="2025-01-17T00:00:00"/>
        <d v="2025-01-23T00:00:00"/>
        <d v="2025-01-24T00:00:00"/>
        <d v="2025-01-25T00:00:00"/>
        <d v="2025-01-27T00:00:00"/>
        <d v="2025-01-28T00:00:00"/>
        <d v="2025-01-30T00:00:00"/>
        <d v="2025-02-03T00:00:00"/>
        <d v="2025-02-04T00:00:00"/>
        <d v="2025-02-05T00:00:00"/>
        <d v="2025-02-07T00:00:00"/>
        <d v="2025-02-10T00:00:00"/>
        <d v="2025-02-17T00:00:00"/>
        <d v="2025-02-23T00:00:00"/>
        <d v="2025-02-24T00:00:00"/>
        <d v="2025-02-25T00:00:00"/>
        <d v="2025-02-27T00:00:00"/>
        <d v="2025-02-28T00:00:00"/>
        <d v="2025-03-01T00:00:00"/>
        <d v="2025-03-05T00:00:00"/>
        <d v="2025-03-09T00:00:00"/>
        <d v="2025-03-11T00:00:00"/>
        <d v="2025-03-12T00:00:00"/>
        <d v="2025-03-17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8T00:00:00"/>
        <d v="2025-03-29T00:00:00"/>
        <d v="2025-03-31T00:00:00"/>
        <d v="2025-04-01T00:00:00"/>
        <d v="2025-04-02T00:00:00"/>
        <d v="2025-04-03T00:00:00"/>
        <d v="2025-04-07T00:00:00"/>
        <d v="2025-04-08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8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10T00:00:00"/>
        <d v="2025-05-12T00:00:00"/>
        <d v="2025-05-13T00:00:00"/>
        <d v="2025-05-14T00:00:00"/>
        <d v="2025-05-16T00:00:00"/>
        <d v="2025-05-20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4T00:00:00"/>
        <d v="2025-06-06T00:00:00"/>
        <d v="2025-06-07T00:00:00"/>
        <d v="2025-06-08T00:00:00"/>
        <d v="2025-06-09T00:00:00"/>
        <d v="2025-06-10T00:00:00"/>
        <d v="2025-06-11T00:00:00"/>
        <d v="2025-06-13T00:00:00"/>
        <d v="2025-06-15T00:00:00"/>
        <d v="2025-06-16T00:00:00"/>
        <d v="2025-06-17T00:00:00"/>
        <d v="2025-06-18T00:00:00"/>
        <d v="2025-06-19T00:00:00"/>
        <d v="2025-06-21T00:00:00"/>
        <d v="2025-06-23T00:00:00"/>
        <d v="2025-06-24T00:00:00"/>
        <d v="2025-06-27T00:00:00"/>
        <d v="2025-06-28T00:00:00"/>
        <d v="2025-06-30T00:00:00"/>
        <d v="2025-07-01T00:00:00"/>
        <d v="2025-07-03T00:00:00"/>
        <d v="2025-07-05T00:00:00"/>
        <d v="2025-07-06T00:00:00"/>
        <d v="2025-07-07T00:00:00"/>
        <d v="2025-07-08T00:00:00"/>
        <d v="2025-07-09T00:00:00"/>
        <d v="2025-07-10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8T00:00:00"/>
        <d v="2025-07-30T00:00:00"/>
        <d v="2025-07-31T00:00:00"/>
        <d v="2025-08-01T00:00:00"/>
        <d v="2025-08-02T00:00:00"/>
        <d v="2025-08-04T00:00:00"/>
        <d v="2025-08-05T00:00:00"/>
        <d v="2025-08-06T00:00:00"/>
        <d v="2025-08-07T00:00:00"/>
        <d v="2025-08-08T00:00:00"/>
        <d v="2025-08-12T00:00:00"/>
        <d v="2025-08-13T00:00:00"/>
        <d v="2025-08-14T00:00:00"/>
        <d v="2025-08-15T00:00:00"/>
        <d v="2025-08-18T00:00:00"/>
        <d v="2025-08-19T00:00:00"/>
        <d v="2025-08-22T00:00:00"/>
        <d v="2025-08-25T00:00:00"/>
        <d v="2025-08-26T00:00:00"/>
        <d v="2025-08-27T00:00:00"/>
        <d v="2025-08-28T00:00:00"/>
        <d v="2025-08-29T00:00:00"/>
        <d v="2025-08-31T00:00:00"/>
        <d v="2025-09-01T00:00:00"/>
        <d v="2025-09-02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2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9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6-01-01T00:00:00"/>
        <m/>
      </sharedItems>
    </cacheField>
    <cacheField name="End Date" numFmtId="0">
      <sharedItems containsNonDate="0" containsDate="1" containsString="0" containsBlank="1" minDate="2024-12-19T00:00:00" maxDate="2027-07-22T00:00:00" count="271">
        <d v="2024-12-19T00:00:00"/>
        <d v="2024-12-21T00:00:00"/>
        <d v="2025-02-07T00:00:00"/>
        <d v="2025-02-22T00:00:00"/>
        <d v="2025-02-25T00:00:00"/>
        <d v="2025-02-28T00:00:00"/>
        <d v="2025-03-04T00:00:00"/>
        <d v="2025-03-05T00:00:00"/>
        <d v="2025-03-13T00:00:00"/>
        <d v="2025-03-23T00:00:00"/>
        <d v="2025-03-24T00:00:00"/>
        <d v="2025-03-26T00:00:00"/>
        <d v="2025-04-04T00:00:00"/>
        <d v="2025-04-11T00:00:00"/>
        <d v="2025-04-12T00:00:00"/>
        <d v="2025-04-18T00:00:00"/>
        <d v="2025-04-22T00:00:00"/>
        <d v="2025-04-23T00:00:00"/>
        <d v="2025-04-26T00:00:00"/>
        <d v="2025-04-27T00:00:00"/>
        <d v="2025-04-30T00:00:00"/>
        <d v="2025-05-03T00:00:00"/>
        <d v="2025-05-05T00:00:00"/>
        <d v="2025-05-09T00:00:00"/>
        <d v="2025-05-11T00:00:00"/>
        <d v="2025-05-12T00:00:00"/>
        <d v="2025-05-14T00:00:00"/>
        <d v="2025-05-15T00:00:00"/>
        <d v="2025-05-18T00:00:00"/>
        <d v="2025-05-21T00:00:00"/>
        <d v="2025-05-22T00:00:00"/>
        <d v="2025-05-23T00:00:00"/>
        <d v="2025-05-25T00:00:00"/>
        <d v="2025-05-26T00:00:00"/>
        <d v="2025-05-28T00:00:00"/>
        <d v="2025-05-31T00:00:00"/>
        <d v="2025-06-01T00:00:00"/>
        <d v="2025-06-05T00:00:00"/>
        <d v="2025-06-06T00:00:00"/>
        <d v="2025-06-07T00:00:00"/>
        <d v="2025-06-09T00:00:00"/>
        <d v="2025-06-11T00:00:00"/>
        <d v="2025-06-13T00:00:00"/>
        <d v="2025-06-15T00:00:00"/>
        <d v="2025-06-16T00:00:00"/>
        <d v="2025-06-21T00:00:00"/>
        <d v="2025-06-23T00:00:00"/>
        <d v="2025-06-24T00:00:00"/>
        <d v="2025-06-25T00:00:00"/>
        <d v="2025-06-27T00:00:00"/>
        <d v="2025-06-28T00:00:00"/>
        <d v="2025-06-30T00:00:00"/>
        <d v="2025-07-01T00:00:00"/>
        <d v="2025-07-03T00:00:00"/>
        <d v="2025-07-05T00:00:00"/>
        <d v="2025-07-08T00:00:00"/>
        <d v="2025-07-09T00:00:00"/>
        <d v="2025-07-10T00:00:00"/>
        <d v="2025-07-11T00:00:00"/>
        <d v="2025-07-12T00:00:00"/>
        <d v="2025-07-14T00:00:00"/>
        <d v="2025-07-16T00:00:00"/>
        <d v="2025-07-17T00:00:00"/>
        <d v="2025-07-18T00:00:00"/>
        <d v="2025-07-22T00:00:00"/>
        <d v="2025-07-24T00:00:00"/>
        <d v="2025-07-26T00:00:00"/>
        <d v="2025-07-27T00:00:00"/>
        <d v="2025-07-29T00:00:00"/>
        <d v="2025-07-31T00:00:00"/>
        <d v="2025-08-02T00:00:00"/>
        <d v="2025-08-04T00:00:00"/>
        <d v="2025-08-05T00:00:00"/>
        <d v="2025-08-06T00:00:00"/>
        <d v="2025-08-08T00:00:00"/>
        <d v="2025-08-09T00:00:00"/>
        <d v="2025-08-12T00:00:00"/>
        <d v="2025-08-14T00:00:00"/>
        <d v="2025-08-15T00:00:00"/>
        <d v="2025-08-19T00:00:00"/>
        <d v="2025-08-20T00:00:00"/>
        <d v="2025-08-21T00:00:00"/>
        <d v="2025-08-27T00:00:00"/>
        <d v="2025-08-29T00:00:00"/>
        <d v="2025-08-31T00:00:00"/>
        <d v="2025-09-04T00:00:00"/>
        <d v="2025-09-05T00:00:00"/>
        <d v="2025-09-10T00:00:00"/>
        <d v="2025-09-13T00:00:00"/>
        <d v="2025-09-21T00:00:00"/>
        <d v="2025-09-23T00:00:00"/>
        <d v="2025-09-24T00:00:00"/>
        <d v="2025-09-25T00:00:00"/>
        <d v="2025-09-26T00:00:00"/>
        <d v="2025-09-30T00:00:00"/>
        <d v="2025-10-02T00:00:00"/>
        <d v="2025-10-03T00:00:00"/>
        <d v="2025-10-14T00:00:00"/>
        <d v="2025-10-15T00:00:00"/>
        <d v="2025-10-22T00:00:00"/>
        <d v="2025-10-23T00:00:00"/>
        <d v="2025-10-24T00:00:00"/>
        <d v="2025-10-25T00:00:00"/>
        <d v="2025-10-26T00:00:00"/>
        <d v="2025-10-28T00:00:00"/>
        <d v="2025-10-29T00:00:00"/>
        <d v="2025-10-31T00:00:00"/>
        <d v="2025-11-01T00:00:00"/>
        <d v="2025-11-05T00:00:00"/>
        <d v="2025-11-06T00:00:00"/>
        <d v="2025-11-08T00:00:00"/>
        <d v="2025-11-09T00:00:00"/>
        <d v="2025-11-12T00:00:00"/>
        <d v="2025-11-13T00:00:00"/>
        <d v="2025-11-19T00:00:00"/>
        <d v="2025-11-24T00:00:00"/>
        <d v="2025-11-25T00:00:00"/>
        <d v="2025-11-27T00:00:00"/>
        <d v="2025-11-29T00:00:00"/>
        <d v="2025-11-30T00:00:00"/>
        <d v="2025-12-02T00:00:00"/>
        <d v="2025-12-11T00:00:00"/>
        <d v="2025-12-14T00:00:00"/>
        <d v="2025-12-17T00:00:00"/>
        <d v="2025-12-22T00:00:00"/>
        <d v="2025-12-23T00:00:00"/>
        <d v="2025-12-25T00:00:00"/>
        <d v="2025-12-31T00:00:00"/>
        <d v="2026-01-10T00:00:00"/>
        <d v="2026-01-13T00:00:00"/>
        <d v="2026-01-14T00:00:00"/>
        <d v="2026-01-15T00:00:00"/>
        <d v="2026-01-16T00:00:00"/>
        <d v="2026-01-18T00:00:00"/>
        <d v="2026-01-22T00:00:00"/>
        <d v="2026-01-25T00:00:00"/>
        <d v="2026-01-27T00:00:00"/>
        <d v="2026-01-29T00:00:00"/>
        <d v="2026-01-30T00:00:00"/>
        <d v="2026-01-31T00:00:00"/>
        <d v="2026-02-06T00:00:00"/>
        <d v="2026-02-10T00:00:00"/>
        <d v="2026-02-11T00:00:00"/>
        <d v="2026-02-16T00:00:00"/>
        <d v="2026-02-18T00:00:00"/>
        <d v="2026-02-21T00:00:00"/>
        <d v="2026-02-23T00:00:00"/>
        <d v="2026-02-24T00:00:00"/>
        <d v="2026-02-26T00:00:00"/>
        <d v="2026-02-28T00:00:00"/>
        <d v="2026-03-16T00:00:00"/>
        <d v="2026-03-17T00:00:00"/>
        <d v="2026-03-19T00:00:00"/>
        <d v="2026-03-20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4-02T00:00:00"/>
        <d v="2026-04-05T00:00:00"/>
        <d v="2026-04-07T00:00:00"/>
        <d v="2026-04-09T00:00:00"/>
        <d v="2026-04-12T00:00:00"/>
        <d v="2026-04-13T00:00:00"/>
        <d v="2026-04-14T00:00:00"/>
        <d v="2026-04-21T00:00:00"/>
        <d v="2026-04-24T00:00:00"/>
        <d v="2026-04-25T00:00:00"/>
        <d v="2026-04-26T00:00:00"/>
        <d v="2026-04-28T00:00:00"/>
        <d v="2026-04-30T00:00:00"/>
        <d v="2026-05-02T00:00:00"/>
        <d v="2026-05-04T00:00:00"/>
        <d v="2026-05-11T00:00:00"/>
        <d v="2026-05-12T00:00:00"/>
        <d v="2026-05-15T00:00:00"/>
        <d v="2026-05-19T00:00:00"/>
        <d v="2026-05-22T00:00:00"/>
        <d v="2026-05-25T00:00:00"/>
        <d v="2026-05-26T00:00:00"/>
        <d v="2026-05-27T00:00:00"/>
        <d v="2026-05-28T00:00:00"/>
        <d v="2026-05-29T00:00:00"/>
        <d v="2026-05-31T00:00:00"/>
        <d v="2026-06-03T00:00:00"/>
        <d v="2026-06-05T00:00:00"/>
        <d v="2026-06-08T00:00:00"/>
        <d v="2026-06-10T00:00:00"/>
        <d v="2026-06-15T00:00:00"/>
        <d v="2026-06-16T00:00:00"/>
        <d v="2026-06-18T00:00:00"/>
        <d v="2026-06-21T00:00:00"/>
        <d v="2026-06-22T00:00:00"/>
        <d v="2026-06-23T00:00:00"/>
        <d v="2026-06-27T00:00:00"/>
        <d v="2026-06-29T00:00:00"/>
        <d v="2026-06-30T00:00:00"/>
        <d v="2026-07-04T00:00:00"/>
        <d v="2026-07-05T00:00:00"/>
        <d v="2026-07-06T00:00:00"/>
        <d v="2026-07-07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7T00:00:00"/>
        <d v="2026-07-29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11T00:00:00"/>
        <d v="2026-08-13T00:00:00"/>
        <d v="2026-08-14T00:00:00"/>
        <d v="2026-08-17T00:00:00"/>
        <d v="2026-08-18T00:00:00"/>
        <d v="2026-08-24T00:00:00"/>
        <d v="2026-08-26T00:00:00"/>
        <d v="2026-08-28T00:00:00"/>
        <d v="2026-08-29T00:00:00"/>
        <d v="2026-08-31T00:00:00"/>
        <d v="2026-09-01T00:00:00"/>
        <d v="2026-09-02T00:00:00"/>
        <d v="2026-09-04T00:00:00"/>
        <d v="2026-09-07T00:00:00"/>
        <d v="2026-09-09T00:00:00"/>
        <d v="2026-09-11T00:00:00"/>
        <d v="2026-09-14T00:00:00"/>
        <d v="2026-09-16T00:00:00"/>
        <d v="2026-09-17T00:00:00"/>
        <d v="2026-09-18T00:00:00"/>
        <d v="2026-09-19T00:00:00"/>
        <d v="2026-09-21T00:00:00"/>
        <d v="2026-09-25T00:00:00"/>
        <d v="2026-09-28T00:00:00"/>
        <d v="2026-09-30T00:00:00"/>
        <d v="2026-10-02T00:00:00"/>
        <d v="2026-10-03T00:00:00"/>
        <d v="2026-10-06T00:00:00"/>
        <d v="2026-10-08T00:00:00"/>
        <d v="2026-10-09T00:00:00"/>
        <d v="2026-10-10T00:00:00"/>
        <d v="2026-10-11T00:00:00"/>
        <d v="2026-10-13T00:00:00"/>
        <d v="2026-10-14T00:00:00"/>
        <d v="2026-10-15T00:00:00"/>
        <d v="2026-10-17T00:00:00"/>
        <d v="2026-10-22T00:00:00"/>
        <d v="2026-10-23T00:00:00"/>
        <d v="2026-10-26T00:00:00"/>
        <d v="2026-10-27T00:00:00"/>
        <d v="2026-10-28T00:00:00"/>
        <d v="2026-10-29T00:00:00"/>
        <d v="2026-10-30T00:00:00"/>
        <d v="2026-10-31T00:00:00"/>
        <d v="2026-11-02T00:00:00"/>
        <d v="2026-11-30T00:00:00"/>
        <d v="2027-07-22T00:00:00"/>
        <m/>
      </sharedItems>
    </cacheField>
    <cacheField name="Payment Cycle " numFmtId="0">
      <sharedItems containsBlank="1" count="35">
        <s v="1 month-Upfront"/>
        <s v="1 year &amp; 1 months-Monthly"/>
        <s v="10 -Days -Upfront"/>
        <s v="10 months"/>
        <s v="11 months subscription, Monthly"/>
        <s v="12 -Days -Upfront"/>
        <s v="13 month-Monthly"/>
        <s v="13 month-Upfront"/>
        <s v="15 -Days -Upfront"/>
        <s v="18 month-Half Yearly Payment"/>
        <s v="19 -Days -Upfront"/>
        <s v="2 month &amp; 13 Days-Upfront"/>
        <s v="2 months subscription, Monthly"/>
        <s v="2 months- Upfront"/>
        <s v="2 Year- Upfront"/>
        <s v="3 months subscription, Monthly"/>
        <s v="3 months subscription, upfront"/>
        <s v="3 months- Upfront"/>
        <s v="38 -Days -Upfront"/>
        <s v="4 months subscription, Monthly"/>
        <s v="5 month-Upfront"/>
        <s v="5 months subscription, Monthly"/>
        <s v="6 month-Upfront"/>
        <s v="6 months subscription, Monthly"/>
        <s v="6 months subscription, Quarterly upfront"/>
        <s v="8 months &amp; 23 days - Half Yearly Payment"/>
        <s v="9 months  &amp; 23 days subscription, Upfront"/>
        <s v="9 months subscription, Monthly"/>
        <s v="9 months subscription, Upfront"/>
        <s v="Annual subscription, Quarterly upfront"/>
        <s v="Annual Upfront"/>
        <s v="Annual- Half Yearly Payment"/>
        <s v="Annual-Monthly"/>
        <s v="Three Installments of 50k"/>
        <m/>
      </sharedItems>
    </cacheField>
    <cacheField name="Contract Amount" numFmtId="0">
      <sharedItems containsString="0" containsBlank="1" containsNumber="1" minValue="0" maxValue="3440880" count="205">
        <n v="0"/>
        <n v="236"/>
        <n v="2360"/>
        <n v="3540"/>
        <n v="4111"/>
        <n v="4720"/>
        <n v="4999"/>
        <n v="5000"/>
        <n v="5900"/>
        <n v="6000"/>
        <n v="7080"/>
        <n v="7100"/>
        <n v="7375"/>
        <n v="7998"/>
        <n v="8000"/>
        <n v="8260"/>
        <n v="8850"/>
        <n v="9440"/>
        <n v="9996"/>
        <n v="10000"/>
        <n v="10970.69"/>
        <n v="11086.47"/>
        <n v="11799"/>
        <n v="11800"/>
        <n v="13018"/>
        <n v="14160"/>
        <n v="14750"/>
        <n v="15000"/>
        <n v="15340"/>
        <n v="16520"/>
        <n v="17700"/>
        <n v="18880"/>
        <n v="19116"/>
        <n v="19184.52"/>
        <n v="19995"/>
        <n v="20000"/>
        <n v="20650"/>
        <n v="21240"/>
        <n v="22500"/>
        <n v="23200"/>
        <n v="23600"/>
        <n v="24780"/>
        <n v="25488"/>
        <n v="26000"/>
        <n v="28320"/>
        <n v="29000"/>
        <n v="29500"/>
        <n v="30000"/>
        <n v="31860"/>
        <n v="32000"/>
        <n v="35000"/>
        <n v="35313.85"/>
        <n v="35400"/>
        <n v="36750"/>
        <n v="37760"/>
        <n v="38350"/>
        <n v="38940"/>
        <n v="39960"/>
        <n v="40819.1736"/>
        <n v="41300"/>
        <n v="42480"/>
        <n v="43011"/>
        <n v="44250"/>
        <n v="44604"/>
        <n v="44840"/>
        <n v="45000"/>
        <n v="47200"/>
        <n v="47988"/>
        <n v="48000"/>
        <n v="49998"/>
        <n v="50000"/>
        <n v="50150"/>
        <n v="53100"/>
        <n v="53808"/>
        <n v="59000"/>
        <n v="60000"/>
        <n v="61816.78"/>
        <n v="62640"/>
        <n v="63720"/>
        <n v="64900"/>
        <n v="65000"/>
        <n v="66080"/>
        <n v="70000"/>
        <n v="70210"/>
        <n v="70800"/>
        <n v="71000"/>
        <n v="72000"/>
        <n v="74340"/>
        <n v="75000"/>
        <n v="76464"/>
        <n v="77880"/>
        <n v="79060"/>
        <n v="79296"/>
        <n v="79650"/>
        <n v="80000"/>
        <n v="80240"/>
        <n v="81000"/>
        <n v="82000"/>
        <n v="82600"/>
        <n v="84960"/>
        <n v="86986.5"/>
        <n v="88500"/>
        <n v="90000"/>
        <n v="94400"/>
        <n v="94872"/>
        <n v="95580"/>
        <n v="96000"/>
        <n v="99120"/>
        <n v="100300"/>
        <n v="100890"/>
        <n v="101952"/>
        <n v="108000"/>
        <n v="113280"/>
        <n v="113896.08"/>
        <n v="116820"/>
        <n v="118000"/>
        <n v="120000"/>
        <n v="123600"/>
        <n v="123900"/>
        <n v="127440"/>
        <n v="129800"/>
        <n v="130000"/>
        <n v="130000.02"/>
        <n v="140000"/>
        <n v="140125"/>
        <n v="141600"/>
        <n v="144000"/>
        <n v="146556"/>
        <n v="147600"/>
        <n v="150000"/>
        <n v="153400"/>
        <n v="157707"/>
        <n v="159000"/>
        <n v="159300"/>
        <n v="162000"/>
        <n v="162840"/>
        <n v="165200"/>
        <n v="168000"/>
        <n v="169920"/>
        <n v="175000"/>
        <n v="177000"/>
        <n v="177015"/>
        <n v="178416"/>
        <n v="180000"/>
        <n v="180677.03"/>
        <n v="188800"/>
        <n v="190000"/>
        <n v="191160"/>
        <n v="200000"/>
        <n v="201780"/>
        <n v="203904"/>
        <n v="212400"/>
        <n v="216000"/>
        <n v="218394"/>
        <n v="240000"/>
        <n v="241900"/>
        <n v="250000"/>
        <n v="254880"/>
        <n v="259600"/>
        <n v="283200"/>
        <n v="293988"/>
        <n v="297360"/>
        <n v="300000"/>
        <n v="300900"/>
        <n v="305865"/>
        <n v="318600"/>
        <n v="320000"/>
        <n v="353985.84"/>
        <n v="354000"/>
        <n v="356832"/>
        <n v="358720"/>
        <n v="360818.64"/>
        <n v="371700"/>
        <n v="396480"/>
        <n v="405127.04"/>
        <n v="412992"/>
        <n v="424800"/>
        <n v="477900"/>
        <n v="488520"/>
        <n v="490000"/>
        <n v="495600"/>
        <n v="531000"/>
        <n v="538908.96"/>
        <n v="566400"/>
        <n v="582000"/>
        <n v="594720"/>
        <n v="708000"/>
        <n v="849600"/>
        <n v="955800"/>
        <n v="981000"/>
        <n v="1081172.64"/>
        <n v="1172448"/>
        <n v="1197936"/>
        <n v="1239000"/>
        <n v="1491048"/>
        <n v="1513044"/>
        <n v="1720440"/>
        <n v="1949832"/>
        <n v="2293920"/>
        <n v="2378880"/>
        <n v="2599776"/>
        <n v="2987760"/>
        <n v="3058560"/>
        <n v="3440880"/>
        <m/>
      </sharedItems>
    </cacheField>
    <cacheField name="Invoiced amount for April" numFmtId="0">
      <sharedItems containsString="0" containsBlank="1" containsNumber="1" minValue="0" maxValue="254880" count="55">
        <n v="0"/>
        <n v="2124"/>
        <n v="2166.66666666667"/>
        <n v="2360"/>
        <n v="3330"/>
        <n v="3540"/>
        <n v="3999"/>
        <n v="4425"/>
        <n v="4720"/>
        <n v="5000"/>
        <n v="5900"/>
        <n v="6666.66666666667"/>
        <n v="6883.33333333333"/>
        <n v="7080"/>
        <n v="7500"/>
        <n v="8000"/>
        <n v="9000"/>
        <n v="9440"/>
        <n v="9735"/>
        <n v="10000"/>
        <n v="10300"/>
        <n v="10666.6666666667"/>
        <n v="11800"/>
        <n v="12300"/>
        <n v="12744"/>
        <n v="13250"/>
        <n v="13500"/>
        <n v="14160"/>
        <n v="14583.3333333333"/>
        <n v="14750"/>
        <n v="14751.25"/>
        <n v="15000"/>
        <n v="15833.3333333333"/>
        <n v="16815"/>
        <n v="16992"/>
        <n v="17700"/>
        <n v="18000"/>
        <n v="20000"/>
        <n v="21633.3333333333"/>
        <n v="23600"/>
        <n v="24499"/>
        <n v="24780"/>
        <n v="25075"/>
        <n v="26550"/>
        <n v="26666.6666666667"/>
        <n v="29500"/>
        <n v="29736"/>
        <n v="35400"/>
        <n v="36399"/>
        <n v="44909.08"/>
        <n v="52569"/>
        <n v="177000"/>
        <n v="195408"/>
        <n v="254880"/>
        <m/>
      </sharedItems>
    </cacheField>
    <cacheField name="Invoiced amount for MAY" numFmtId="0">
      <sharedItems containsString="0" containsBlank="1" containsNumber="1" minValue="-12744" maxValue="286740" count="70">
        <n v="-12744"/>
        <n v="0"/>
        <n v="2124"/>
        <n v="2166.66666666667"/>
        <n v="2360"/>
        <n v="3330"/>
        <n v="3540"/>
        <n v="3584.25"/>
        <n v="3999"/>
        <n v="4425"/>
        <n v="4720"/>
        <n v="5000"/>
        <n v="5408.33333333333"/>
        <n v="5833.33333333333"/>
        <n v="5900"/>
        <n v="6372"/>
        <n v="6666.66666666667"/>
        <n v="6686.66666666667"/>
        <n v="6883.33333333333"/>
        <n v="7080"/>
        <n v="7434"/>
        <n v="7500"/>
        <n v="8000"/>
        <n v="9000"/>
        <n v="9440"/>
        <n v="9735"/>
        <n v="10000"/>
        <n v="10250"/>
        <n v="10300"/>
        <n v="10816.6666666667"/>
        <n v="11800"/>
        <n v="12213"/>
        <n v="12300"/>
        <n v="12586.6666666667"/>
        <n v="13250"/>
        <n v="13500"/>
        <n v="14160"/>
        <n v="14583.3333333333"/>
        <n v="14750"/>
        <n v="14751.25"/>
        <n v="15000"/>
        <n v="15000.0066"/>
        <n v="15833.3333333333"/>
        <n v="15930"/>
        <n v="16520"/>
        <n v="16815"/>
        <n v="16992"/>
        <n v="17700"/>
        <n v="18000"/>
        <n v="20000"/>
        <n v="21240"/>
        <n v="21633.3333333333"/>
        <n v="23600"/>
        <n v="24499"/>
        <n v="24780"/>
        <n v="25075"/>
        <n v="26550"/>
        <n v="26666.6666666667"/>
        <n v="29500"/>
        <n v="29736"/>
        <n v="35400"/>
        <n v="36399"/>
        <n v="44909.08"/>
        <n v="50150"/>
        <n v="59000"/>
        <n v="177000"/>
        <n v="195408"/>
        <n v="254880"/>
        <n v="286740"/>
        <m/>
      </sharedItems>
    </cacheField>
    <cacheField name="Contract period" numFmtId="0">
      <sharedItems containsString="0" containsBlank="1" containsNumber="1" containsInteger="1" minValue="10" maxValue="730" count="54">
        <n v="10"/>
        <n v="12"/>
        <n v="15"/>
        <n v="18"/>
        <n v="19"/>
        <n v="28"/>
        <n v="30"/>
        <n v="31"/>
        <n v="32"/>
        <n v="33"/>
        <n v="38"/>
        <n v="60"/>
        <n v="61"/>
        <n v="62"/>
        <n v="71"/>
        <n v="77"/>
        <n v="89"/>
        <n v="90"/>
        <n v="91"/>
        <n v="92"/>
        <n v="93"/>
        <n v="120"/>
        <n v="122"/>
        <n v="153"/>
        <n v="154"/>
        <n v="181"/>
        <n v="182"/>
        <n v="183"/>
        <n v="184"/>
        <n v="185"/>
        <n v="186"/>
        <n v="187"/>
        <n v="265"/>
        <n v="274"/>
        <n v="287"/>
        <n v="296"/>
        <n v="307"/>
        <n v="335"/>
        <n v="336"/>
        <n v="358"/>
        <n v="362"/>
        <n v="364"/>
        <n v="365"/>
        <n v="366"/>
        <n v="367"/>
        <n v="376"/>
        <n v="378"/>
        <n v="380"/>
        <n v="395"/>
        <n v="397"/>
        <n v="546"/>
        <n v="548"/>
        <n v="730"/>
        <m/>
      </sharedItems>
    </cacheField>
    <cacheField name="Days in April" numFmtId="0">
      <sharedItems containsString="0" containsBlank="1" containsNumber="1" containsInteger="1" minValue="0" maxValue="30" count="28">
        <n v="0"/>
        <n v="2"/>
        <n v="3"/>
        <n v="4"/>
        <n v="5"/>
        <n v="6"/>
        <n v="7"/>
        <n v="8"/>
        <n v="9"/>
        <n v="11"/>
        <n v="12"/>
        <n v="13"/>
        <n v="15"/>
        <n v="16"/>
        <n v="17"/>
        <n v="18"/>
        <n v="19"/>
        <n v="20"/>
        <n v="21"/>
        <n v="22"/>
        <n v="23"/>
        <n v="24"/>
        <n v="26"/>
        <n v="27"/>
        <n v="28"/>
        <n v="29"/>
        <n v="30"/>
        <m/>
      </sharedItems>
    </cacheField>
    <cacheField name="April Sales (Days Wise)" numFmtId="0">
      <sharedItems containsString="0" containsBlank="1" containsNumber="1" minValue="0" maxValue="251388.493150685" count="105">
        <n v="0"/>
        <n v="142.465753424658"/>
        <n v="314.666666666667"/>
        <n v="418.980821917808"/>
        <n v="438.356164383562"/>
        <n v="464.262295081967"/>
        <n v="1072.72727272727"/>
        <n v="1779.67213114754"/>
        <n v="1903.22580645161"/>
        <n v="1939.72602739726"/>
        <n v="2028.125"/>
        <n v="2202.66666666667"/>
        <n v="2327.67123287671"/>
        <n v="2360"/>
        <n v="2436.12903225806"/>
        <n v="2474.1935483871"/>
        <n v="2500"/>
        <n v="2626.45161290323"/>
        <n v="2669.50819672131"/>
        <n v="2693.47826086957"/>
        <n v="2753.33333333333"/>
        <n v="2917.58241758242"/>
        <n v="3146.66666666667"/>
        <n v="3275.40983606557"/>
        <n v="3351.84657534247"/>
        <n v="3540"/>
        <n v="3714.09836065574"/>
        <n v="3736.66666666667"/>
        <n v="3890.10989010989"/>
        <n v="3933.44262295082"/>
        <n v="4315.06849315069"/>
        <n v="4364.38356164384"/>
        <n v="4377.41935483871"/>
        <n v="4461.3698630137"/>
        <n v="4484"/>
        <n v="4642.62295081967"/>
        <n v="4720"/>
        <n v="4891.30434782609"/>
        <n v="4918.03278688525"/>
        <n v="5709.67741935484"/>
        <n v="5771.73913043478"/>
        <n v="5900"/>
        <n v="6090.32258064516"/>
        <n v="6782.84671532847"/>
        <n v="7111.23287671233"/>
        <n v="7397.2602739726"/>
        <n v="7500"/>
        <n v="7780.21978021978"/>
        <n v="7868.85245901639"/>
        <n v="8124.59016393443"/>
        <n v="8481.25"/>
        <n v="8850"/>
        <n v="8852.45901639344"/>
        <n v="8961.53424657534"/>
        <n v="9523.80952380953"/>
        <n v="9575.40983606558"/>
        <n v="9677.41935483871"/>
        <n v="10140.625"/>
        <n v="10184.4246575342"/>
        <n v="10520.5479452055"/>
        <n v="10666.6666666667"/>
        <n v="11062.5"/>
        <n v="11419.3548387097"/>
        <n v="11591.9395465995"/>
        <n v="11999.6703296703"/>
        <n v="12090.9589041096"/>
        <n v="12098.3606557377"/>
        <n v="12295.0819672131"/>
        <n v="12941.935483871"/>
        <n v="13032.7868852459"/>
        <n v="13278.6885245902"/>
        <n v="13315.0684931507"/>
        <n v="14381.25"/>
        <n v="14508.1967213115"/>
        <n v="15573.7704918033"/>
        <n v="16071.4285714286"/>
        <n v="16713.4426229508"/>
        <n v="16722.0994475138"/>
        <n v="17129.0322580645"/>
        <n v="17315.2173913043"/>
        <n v="17346"/>
        <n v="17409.8360655738"/>
        <n v="17753.4246575342"/>
        <n v="19672.131147541"/>
        <n v="19726.0273972603"/>
        <n v="21338.7096774194"/>
        <n v="22838.7096774194"/>
        <n v="23149.863760218"/>
        <n v="23340.6593406593"/>
        <n v="23600"/>
        <n v="24032.967032967"/>
        <n v="24163.397260274"/>
        <n v="24731.5068493151"/>
        <n v="25972.8260869565"/>
        <n v="26114.7540983607"/>
        <n v="26301.3698630137"/>
        <n v="29328.6575342466"/>
        <n v="34819.6721311475"/>
        <n v="44293.8871232877"/>
        <n v="51387.0967741935"/>
        <n v="53159.6629213483"/>
        <n v="93362.6373626374"/>
        <n v="184788"/>
        <n v="251388.493150685"/>
        <m/>
      </sharedItems>
    </cacheField>
    <cacheField name="Days in May" numFmtId="0">
      <sharedItems containsString="0" containsBlank="1" containsNumber="1" containsInteger="1" minValue="0" maxValue="360" count="30">
        <n v="0"/>
        <n v="1"/>
        <n v="2"/>
        <n v="3"/>
        <n v="4"/>
        <n v="5"/>
        <n v="6"/>
        <n v="9"/>
        <n v="10"/>
        <n v="11"/>
        <n v="12"/>
        <n v="14"/>
        <n v="15"/>
        <n v="16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60"/>
        <m/>
      </sharedItems>
    </cacheField>
    <cacheField name="May Sales (Days Wise)" numFmtId="0">
      <sharedItems containsString="0" containsBlank="1" containsNumber="1" minValue="0" maxValue="259768.109589041" count="127">
        <n v="0"/>
        <n v="384.782608695652"/>
        <n v="513.870967741936"/>
        <n v="570.967741935484"/>
        <n v="750"/>
        <n v="956.284153005465"/>
        <n v="1131.50684931507"/>
        <n v="1204.5698630137"/>
        <n v="1414.0602739726"/>
        <n v="1454.47826086957"/>
        <n v="1777.77777777778"/>
        <n v="2163.33333333333"/>
        <n v="2164.73424657534"/>
        <n v="2208.21917808219"/>
        <n v="2283.87096774194"/>
        <n v="2360"/>
        <n v="2398.68852459016"/>
        <n v="2596"/>
        <n v="2663.01369863014"/>
        <n v="2753.33333333333"/>
        <n v="2844.93150684932"/>
        <n v="3045.16129032258"/>
        <n v="3384.59016393443"/>
        <n v="3425.8064516129"/>
        <n v="3598.03278688525"/>
        <n v="3654.1935483871"/>
        <n v="3806.45161290323"/>
        <n v="3812.74520547945"/>
        <n v="4064.55737704918"/>
        <n v="4189.80821917808"/>
        <n v="4405.33333333333"/>
        <n v="4509.86301369863"/>
        <n v="4567.74193548387"/>
        <n v="4797.37704918033"/>
        <n v="4948.38709677419"/>
        <n v="5054.34782608696"/>
        <n v="5081.96721311475"/>
        <n v="5656.24109589041"/>
        <n v="5900"/>
        <n v="5964.13043478261"/>
        <n v="6013.15068493151"/>
        <n v="6029.67032967033"/>
        <n v="6774.1935483871"/>
        <n v="6794.52054794521"/>
        <n v="6814.90410958904"/>
        <n v="7008.94160583942"/>
        <n v="7196.06557377049"/>
        <n v="7434"/>
        <n v="7643.83561643836"/>
        <n v="7741.93548387097"/>
        <n v="8131.14754098361"/>
        <n v="8221.93548387097"/>
        <n v="8850"/>
        <n v="9046.66666666667"/>
        <n v="9147.54098360656"/>
        <n v="9213.69863013699"/>
        <n v="9594.75409836066"/>
        <n v="9754.66666666667"/>
        <n v="9841.26984126984"/>
        <n v="9869.67391304348"/>
        <n v="9892.60273972603"/>
        <n v="9894.59016393443"/>
        <n v="9896.77419354839"/>
        <n v="9921.69863013699"/>
        <n v="9950.79452054795"/>
        <n v="10074.0298507463"/>
        <n v="10260.8695652174"/>
        <n v="10497.5342465753"/>
        <n v="10658.064516129"/>
        <n v="11419.3548387097"/>
        <n v="11800"/>
        <n v="11928.2608695652"/>
        <n v="11978.3375314861"/>
        <n v="11993.4426229508"/>
        <n v="12059.3406593407"/>
        <n v="12399.6593406593"/>
        <n v="12500"/>
        <n v="12501.6393442623"/>
        <n v="12704.9180327869"/>
        <n v="12980"/>
        <n v="13132.2580645161"/>
        <n v="13467.2131147541"/>
        <n v="13721.3114754098"/>
        <n v="13758.904109589"/>
        <n v="13855.4838709677"/>
        <n v="13966.0273972603"/>
        <n v="14863.0136986301"/>
        <n v="14991.8032786885"/>
        <n v="15032.8767123288"/>
        <n v="15034.1506849315"/>
        <n v="15987.0967741936"/>
        <n v="16092.8961748634"/>
        <n v="16607.1428571429"/>
        <n v="16627.2727272727"/>
        <n v="17129.0322580645"/>
        <n v="17270.5573770492"/>
        <n v="17279.5027624309"/>
        <n v="17317.8739726027"/>
        <n v="17585.8064516129"/>
        <n v="17892.3913043478"/>
        <n v="17990.1639344262"/>
        <n v="18345.2054794521"/>
        <n v="18854.1369863014"/>
        <n v="19912.5"/>
        <n v="20327.868852459"/>
        <n v="20383.5616438356"/>
        <n v="22048.2191780822"/>
        <n v="23921.5258855586"/>
        <n v="23986.8852459016"/>
        <n v="24118.6813186813"/>
        <n v="24968.8438356164"/>
        <n v="25555.8904109589"/>
        <n v="26838.5869565217"/>
        <n v="26985.2459016393"/>
        <n v="27178.0821917808"/>
        <n v="30148.3516483516"/>
        <n v="30306.2794520548"/>
        <n v="30451.6129032258"/>
        <n v="35980.3278688525"/>
        <n v="40755.7415730337"/>
        <n v="45770.3500273973"/>
        <n v="50150"/>
        <n v="167592.328767123"/>
        <n v="180890.10989011"/>
        <n v="197532"/>
        <n v="259768.109589041"/>
        <m/>
      </sharedItems>
    </cacheField>
    <cacheField name="June in months" numFmtId="0">
      <sharedItems containsString="0" containsBlank="1" containsNumber="1" minValue="0" maxValue="286740" count="76">
        <n v="0"/>
        <n v="2124"/>
        <n v="2166.66666666667"/>
        <n v="3330"/>
        <n v="3584.25"/>
        <n v="3999"/>
        <n v="4425"/>
        <n v="5000"/>
        <n v="5408.33333333333"/>
        <n v="5506.66666666667"/>
        <n v="5822.36842105263"/>
        <n v="5833.33333333333"/>
        <n v="5900"/>
        <n v="6195"/>
        <n v="6372"/>
        <n v="6666.66666666667"/>
        <n v="6686.66666666667"/>
        <n v="6883.33333333333"/>
        <n v="7080"/>
        <n v="7434"/>
        <n v="7500"/>
        <n v="7866.66666666667"/>
        <n v="8000"/>
        <n v="8260"/>
        <n v="9000"/>
        <n v="9440"/>
        <n v="9735"/>
        <n v="10000"/>
        <n v="10300"/>
        <n v="10620"/>
        <n v="10816.6666666667"/>
        <n v="11800"/>
        <n v="12213"/>
        <n v="12300"/>
        <n v="12500"/>
        <n v="12586.6666666667"/>
        <n v="13250"/>
        <n v="13500"/>
        <n v="14160"/>
        <n v="14583.3333333333"/>
        <n v="14750"/>
        <n v="14751.25"/>
        <n v="15000"/>
        <n v="15340"/>
        <n v="15833.3333333333"/>
        <n v="15930"/>
        <n v="16520"/>
        <n v="16815"/>
        <n v="16992"/>
        <n v="17700"/>
        <n v="18000"/>
        <n v="20000"/>
        <n v="20158.3333333333"/>
        <n v="21240"/>
        <n v="21633.3333333333"/>
        <n v="23600"/>
        <n v="24499"/>
        <n v="25075"/>
        <n v="26550"/>
        <n v="26666.6666666667"/>
        <n v="29500"/>
        <n v="29736"/>
        <n v="35400"/>
        <n v="36399"/>
        <n v="41300"/>
        <n v="44840"/>
        <n v="44909.08"/>
        <n v="49560"/>
        <n v="59000"/>
        <n v="81750"/>
        <n v="118000"/>
        <n v="177000"/>
        <n v="195408"/>
        <n v="254880"/>
        <n v="286740"/>
        <m/>
      </sharedItems>
    </cacheField>
    <cacheField name="Days in June" numFmtId="0">
      <sharedItems containsString="0" containsBlank="1" containsNumber="1" containsInteger="1" minValue="0" maxValue="30" count="28">
        <n v="0"/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20"/>
        <n v="21"/>
        <n v="22"/>
        <n v="23"/>
        <n v="24"/>
        <n v="25"/>
        <n v="27"/>
        <n v="28"/>
        <n v="29"/>
        <n v="30"/>
        <m/>
      </sharedItems>
    </cacheField>
    <cacheField name="June in days" numFmtId="0">
      <sharedItems containsString="0" containsBlank="1" containsNumber="1" minValue="0" maxValue="282812.054794521" count="139">
        <n v="0"/>
        <n v="203.671232876712"/>
        <n v="380.645161290323"/>
        <n v="541.639344262295"/>
        <n v="570.967741935484"/>
        <n v="581.917808219178"/>
        <n v="812.459016393443"/>
        <n v="928.524590163935"/>
        <n v="951.612903225807"/>
        <n v="1065.8064516129"/>
        <n v="1180"/>
        <n v="1534"/>
        <n v="1579.78142076503"/>
        <n v="1805.46448087432"/>
        <n v="2094.90410958904"/>
        <n v="2136.98630136986"/>
        <n v="2327.67123287671"/>
        <n v="2360"/>
        <n v="2512.25806451613"/>
        <n v="2664.51612903226"/>
        <n v="2770.4347826087"/>
        <n v="2909.58904109589"/>
        <n v="3275.40983606557"/>
        <n v="3394.52054794521"/>
        <n v="3535.15068493151"/>
        <n v="3579.33333333333"/>
        <n v="3687.5"/>
        <n v="3714.09836065574"/>
        <n v="3827.02702702703"/>
        <n v="3933.44262295082"/>
        <n v="3944.21917808219"/>
        <n v="4073.42465753425"/>
        <n v="4364.38356164384"/>
        <n v="4657.89473684211"/>
        <n v="4888.1095890411"/>
        <n v="4891.30434782609"/>
        <n v="4918.03278688525"/>
        <n v="5091.78082191781"/>
        <n v="5197.02127659575"/>
        <n v="5329.03225806452"/>
        <n v="5334.24657534247"/>
        <n v="5664"/>
        <n v="5709.67741935484"/>
        <n v="5737.70491803279"/>
        <n v="5771.73913043478"/>
        <n v="5819.17808219178"/>
        <n v="5835.16483516484"/>
        <n v="5938.06451612903"/>
        <n v="6284.71232876712"/>
        <n v="6465.75342465753"/>
        <n v="6575.34246575342"/>
        <n v="6595.06849315069"/>
        <n v="6782.84671532847"/>
        <n v="6789.04109589041"/>
        <n v="6883.33333333333"/>
        <n v="6963.93442622951"/>
        <n v="7194.1935483871"/>
        <n v="7258.06451612903"/>
        <n v="7272.39130434783"/>
        <n v="7397.2602739726"/>
        <n v="7434"/>
        <n v="7681.31506849315"/>
        <n v="7868.85245901639"/>
        <n v="7993.54838709678"/>
        <n v="8333.33333333333"/>
        <n v="8852.45901639344"/>
        <n v="9000"/>
        <n v="9278.35616438356"/>
        <n v="9285.24590163934"/>
        <n v="9440"/>
        <n v="9523.80952380952"/>
        <n v="9575.40983606557"/>
        <n v="9601.64383561644"/>
        <n v="10158.904109589"/>
        <n v="10445.9016393443"/>
        <n v="11419.3548387097"/>
        <n v="11543.4782608696"/>
        <n v="11564"/>
        <n v="11591.9395465995"/>
        <n v="11606.5573770492"/>
        <n v="11638.3561643836"/>
        <n v="11670.3296703297"/>
        <n v="11999.6703296703"/>
        <n v="12045.698630137"/>
        <n v="12098.3606557377"/>
        <n v="12295.0819672131"/>
        <n v="12313.0434782609"/>
        <n v="12980"/>
        <n v="13032.7868852459"/>
        <n v="13034.9589041096"/>
        <n v="13275"/>
        <n v="13278.6885245902"/>
        <n v="13315.0684931507"/>
        <n v="13966.0273972603"/>
        <n v="14383.5616438356"/>
        <n v="14508.1967213115"/>
        <n v="14547.9452054795"/>
        <n v="14549.1780821918"/>
        <n v="15416.1290322581"/>
        <n v="15573.7704918033"/>
        <n v="15583.6956521739"/>
        <n v="15711.7808219178"/>
        <n v="16071.4285714286"/>
        <n v="16713.4426229508"/>
        <n v="16722.0994475138"/>
        <n v="16759.2328767123"/>
        <n v="17110"/>
        <n v="17753.4246575342"/>
        <n v="18570.4918032787"/>
        <n v="18854.1369863014"/>
        <n v="19666.6666666667"/>
        <n v="19672.131147541"/>
        <n v="19726.0273972603"/>
        <n v="20554.8387096774"/>
        <n v="20949.0410958904"/>
        <n v="21316.1290322581"/>
        <n v="21336.9863013699"/>
        <n v="21644.0217391304"/>
        <n v="22813.3333333333"/>
        <n v="23149.863760218"/>
        <n v="23340.6593406593"/>
        <n v="24163.397260274"/>
        <n v="24731.5068493151"/>
        <n v="26114.7540983607"/>
        <n v="26301.3698630137"/>
        <n v="29175.8241758242"/>
        <n v="29328.6575342466"/>
        <n v="29500"/>
        <n v="29871.7808219178"/>
        <n v="38064.5161290323"/>
        <n v="44293.8871232877"/>
        <n v="44840"/>
        <n v="57096.7741935484"/>
        <n v="80630.1369863014"/>
        <n v="175054.945054945"/>
        <n v="191160"/>
        <n v="251388.493150685"/>
        <n v="282812.054794521"/>
        <m/>
      </sharedItems>
    </cacheField>
    <cacheField name="July in months" numFmtId="0">
      <sharedItems containsString="0" containsBlank="1" containsNumber="1" minValue="0" maxValue="286740" count="100">
        <n v="0"/>
        <n v="295"/>
        <n v="393.333333333333"/>
        <n v="2124"/>
        <n v="2166.66666666667"/>
        <n v="3330"/>
        <n v="3584.25"/>
        <n v="3999"/>
        <n v="4425"/>
        <n v="4484"/>
        <n v="4745.67"/>
        <n v="4891.30434782609"/>
        <n v="5000"/>
        <n v="5408.33333333333"/>
        <n v="5506.66666666667"/>
        <n v="5833.33333333333"/>
        <n v="5900"/>
        <n v="6000"/>
        <n v="6195"/>
        <n v="6250"/>
        <n v="6372"/>
        <n v="6666.66666666667"/>
        <n v="6686.66666666667"/>
        <n v="6883.33333333333"/>
        <n v="7080"/>
        <n v="7100"/>
        <n v="7434"/>
        <n v="7500"/>
        <n v="7866.66666666667"/>
        <n v="8000"/>
        <n v="8260"/>
        <n v="8407.5"/>
        <n v="8496"/>
        <n v="8850"/>
        <n v="9000"/>
        <n v="9440"/>
        <n v="9735"/>
        <n v="10000"/>
        <n v="10300"/>
        <n v="10620"/>
        <n v="10816.6666666667"/>
        <n v="10833.3333333333"/>
        <n v="11677.0833333333"/>
        <n v="11800"/>
        <n v="12000"/>
        <n v="12213"/>
        <n v="12300"/>
        <n v="12500"/>
        <n v="12586.6666666667"/>
        <n v="13250"/>
        <n v="13500"/>
        <n v="13570"/>
        <n v="14000"/>
        <n v="14160"/>
        <n v="14583.3333333333"/>
        <n v="14750"/>
        <n v="14751.25"/>
        <n v="14868"/>
        <n v="15000"/>
        <n v="15340"/>
        <n v="15833.3333333333"/>
        <n v="15930"/>
        <n v="16520"/>
        <n v="16815"/>
        <n v="16992"/>
        <n v="17700"/>
        <n v="18000"/>
        <n v="19912.5"/>
        <n v="20000"/>
        <n v="20158.3333333333"/>
        <n v="21240"/>
        <n v="21633.3333333333"/>
        <n v="23200"/>
        <n v="23600"/>
        <n v="24499"/>
        <n v="25075"/>
        <n v="25488.75"/>
        <n v="26550"/>
        <n v="26666.6666666667"/>
        <n v="29498.82"/>
        <n v="29736"/>
        <n v="34416"/>
        <n v="35400"/>
        <n v="36399"/>
        <n v="39825"/>
        <n v="40819.1736"/>
        <n v="41300"/>
        <n v="44909.08"/>
        <n v="47200"/>
        <n v="49560"/>
        <n v="59000"/>
        <n v="70800"/>
        <n v="81750"/>
        <n v="118000"/>
        <n v="124254"/>
        <n v="177000"/>
        <n v="195408"/>
        <n v="254880"/>
        <n v="286740"/>
        <m/>
      </sharedItems>
    </cacheField>
    <cacheField name="Days in July" numFmtId="0">
      <sharedItems containsBlank="1" containsMixedTypes="1" containsNumber="1" containsInteger="1" minValue="0" maxValue="31" count="30">
        <n v="0"/>
        <n v="1"/>
        <n v="2"/>
        <n v="3"/>
        <n v="4"/>
        <n v="5"/>
        <n v="7"/>
        <n v="8"/>
        <n v="9"/>
        <n v="10"/>
        <n v="11"/>
        <n v="12"/>
        <n v="13"/>
        <n v="14"/>
        <n v="15"/>
        <n v="16"/>
        <n v="17"/>
        <n v="18"/>
        <n v="19"/>
        <n v="21"/>
        <n v="22"/>
        <n v="23"/>
        <n v="24"/>
        <n v="25"/>
        <n v="26"/>
        <n v="27"/>
        <n v="29"/>
        <n v="31"/>
        <e v="#REF!"/>
        <m/>
      </sharedItems>
    </cacheField>
    <cacheField name="July in days" numFmtId="0">
      <sharedItems containsString="0" containsBlank="1" containsNumber="1" minValue="0" maxValue="292239.123287671" count="173">
        <n v="0"/>
        <n v="96.986301369863"/>
        <n v="129.315068493151"/>
        <n v="190.217391304348"/>
        <n v="452.602739726027"/>
        <n v="461.739130434783"/>
        <n v="590"/>
        <n v="786.666666666667"/>
        <n v="826"/>
        <n v="1000"/>
        <n v="1376.66666666667"/>
        <n v="1404.19824657534"/>
        <n v="1484.51612903226"/>
        <n v="1578.08219178082"/>
        <n v="1666.66666666667"/>
        <n v="1935.48387096774"/>
        <n v="1939.72602739726"/>
        <n v="1945.05494505495"/>
        <n v="2020.10869565217"/>
        <n v="2036.71232876712"/>
        <n v="2164.73424657534"/>
        <n v="2208.21917808219"/>
        <n v="2717.10526315789"/>
        <n v="2748.38709677419"/>
        <n v="2909.47265753425"/>
        <n v="2917.9347826087"/>
        <n v="2941.91780821918"/>
        <n v="3168.21917808219"/>
        <n v="3297.53424657534"/>
        <n v="3384.59016393443"/>
        <n v="3540"/>
        <n v="3561.64383561644"/>
        <n v="3591.30434782609"/>
        <n v="3620.82191780822"/>
        <n v="3652.98904109589"/>
        <n v="3776"/>
        <n v="3806.45161290323"/>
        <n v="3890.10989010989"/>
        <n v="3933.33333333333"/>
        <n v="4064.55737704918"/>
        <n v="4073.42465753425"/>
        <n v="4075.69315068493"/>
        <n v="4299.72602739726"/>
        <n v="4509.86301369863"/>
        <n v="4569.99452054795"/>
        <n v="4680.66666666667"/>
        <n v="4720"/>
        <n v="4956"/>
        <n v="5054.34782608696"/>
        <n v="5081.96721311475"/>
        <n v="5431.23287671233"/>
        <n v="5499.12328767123"/>
        <n v="5512.05479452055"/>
        <n v="5547.94520547945"/>
        <n v="5596.93989071038"/>
        <n v="5657.53424657534"/>
        <n v="5799.78082191781"/>
        <n v="5813.86861313869"/>
        <n v="5928.96174863388"/>
        <n v="5964.13043478261"/>
        <n v="6013.15068493151"/>
        <n v="6313.80821917808"/>
        <n v="6401.09589041096"/>
        <n v="6494.20273972603"/>
        <n v="6566.12903225806"/>
        <n v="6595.06849315069"/>
        <n v="6794.52054794521"/>
        <n v="6814.90410958904"/>
        <n v="6910.27397260274"/>
        <n v="6922.66666666667"/>
        <n v="6927.74193548387"/>
        <n v="6958.15217391304"/>
        <n v="6996.17486338798"/>
        <n v="7004.68085106383"/>
        <n v="7008.94160583942"/>
        <n v="7015.34246575342"/>
        <n v="7196.06557377049"/>
        <n v="7206.80597014925"/>
        <n v="7364.38356164384"/>
        <n v="7500"/>
        <n v="7514.80434782609"/>
        <n v="7612.90322580645"/>
        <n v="7643.83561643836"/>
        <n v="7820.97534246575"/>
        <n v="8017.53424657534"/>
        <n v="8131.14754098361"/>
        <n v="8317.13684210526"/>
        <n v="8374.1935483871"/>
        <n v="8903.34246575343"/>
        <n v="9070.92746666667"/>
        <n v="9147.54098360656"/>
        <n v="9234.78260869565"/>
        <n v="9440"/>
        <n v="9571.37978142077"/>
        <n v="9841.26984126984"/>
        <n v="9894.59016393443"/>
        <n v="9921.69863013699"/>
        <n v="10191.7808219178"/>
        <n v="10497.5342465753"/>
        <n v="10794.0983606557"/>
        <n v="10823.6712328767"/>
        <n v="11251.4594594595"/>
        <n v="11800"/>
        <n v="11978.3375314861"/>
        <n v="11993.4426229508"/>
        <n v="12026.301369863"/>
        <n v="12399.6593406593"/>
        <n v="12446.3342465753"/>
        <n v="12447.2219178082"/>
        <n v="12501.6393442623"/>
        <n v="12537.5"/>
        <n v="12704.9180327869"/>
        <n v="12723.4782608696"/>
        <n v="13246.4516129032"/>
        <n v="13467.2131147541"/>
        <n v="13578.0821917808"/>
        <n v="13721.3114754098"/>
        <n v="13758.904109589"/>
        <n v="13806"/>
        <n v="14431.5616438356"/>
        <n v="14863.0136986301"/>
        <n v="14991.8032786885"/>
        <n v="15032.8767123288"/>
        <n v="15034.1506849315"/>
        <n v="15083.7534246575"/>
        <n v="15930"/>
        <n v="16092.8961748634"/>
        <n v="16103.152173913"/>
        <n v="16235.5068493151"/>
        <n v="16607.1428571429"/>
        <n v="16748.3870967742"/>
        <n v="17270.5573770492"/>
        <n v="17279.5027624309"/>
        <n v="17317.8739726027"/>
        <n v="17457.5342465753"/>
        <n v="18039.4520547945"/>
        <n v="18345.2054794521"/>
        <n v="19333.3333333333"/>
        <n v="20000"/>
        <n v="20327.868852459"/>
        <n v="20383.5616438356"/>
        <n v="20544.9315068493"/>
        <n v="20554.8387096774"/>
        <n v="20935.4838709677"/>
        <n v="21470.8695652174"/>
        <n v="21647.3424657534"/>
        <n v="22048.2191780822"/>
        <n v="23921.5258855586"/>
        <n v="24968.8438356164"/>
        <n v="25555.8904109589"/>
        <n v="26258.2417582418"/>
        <n v="26985.2459016393"/>
        <n v="27178.0821917808"/>
        <n v="30306.2794520548"/>
        <n v="30451.6129032258"/>
        <n v="34042.1917808219"/>
        <n v="34220"/>
        <n v="42092.0547945206"/>
        <n v="43774.1935483871"/>
        <n v="44935.6931506849"/>
        <n v="45770.3500273973"/>
        <n v="47200"/>
        <n v="48105.2054794521"/>
        <n v="50510.4657534247"/>
        <n v="58191.7808219178"/>
        <n v="81692.3076923077"/>
        <n v="83317.8082191781"/>
        <n v="97064.5161290323"/>
        <n v="118637.837837838"/>
        <n v="197532"/>
        <n v="259768.109589041"/>
        <n v="292239.123287671"/>
        <m/>
      </sharedItems>
    </cacheField>
    <cacheField name="Days in Aug" numFmtId="0">
      <sharedItems containsString="0" containsBlank="1" containsNumber="1" containsInteger="1" minValue="0" maxValue="31" count="29">
        <n v="0"/>
        <n v="1"/>
        <n v="2"/>
        <n v="3"/>
        <n v="4"/>
        <n v="5"/>
        <n v="6"/>
        <n v="7"/>
        <n v="8"/>
        <n v="9"/>
        <n v="10"/>
        <n v="12"/>
        <n v="13"/>
        <n v="14"/>
        <n v="15"/>
        <n v="17"/>
        <n v="18"/>
        <n v="19"/>
        <n v="20"/>
        <n v="21"/>
        <n v="24"/>
        <n v="25"/>
        <n v="26"/>
        <n v="27"/>
        <n v="28"/>
        <n v="29"/>
        <n v="30"/>
        <n v="31"/>
        <m/>
      </sharedItems>
    </cacheField>
    <cacheField name="Aug Sales in months" numFmtId="0">
      <sharedItems containsString="0" containsBlank="1" containsNumber="1" minValue="0" maxValue="286740" count="110">
        <n v="0"/>
        <n v="295"/>
        <n v="393.333333333333"/>
        <n v="1966.66666666667"/>
        <n v="2124"/>
        <n v="2166.66666666667"/>
        <n v="3330"/>
        <n v="3584.25"/>
        <n v="3999"/>
        <n v="4111"/>
        <n v="4425"/>
        <n v="4484"/>
        <n v="4745.67"/>
        <n v="5000"/>
        <n v="5310"/>
        <n v="5408.33333333333"/>
        <n v="5416.66666666667"/>
        <n v="5506.66666666667"/>
        <n v="5833.33333333333"/>
        <n v="5850.83333333333"/>
        <n v="5900"/>
        <n v="6195"/>
        <n v="6250"/>
        <n v="6372"/>
        <n v="6666.66666666667"/>
        <n v="6686.66666666667"/>
        <n v="6833.33333333333"/>
        <n v="6883.33333333333"/>
        <n v="7080"/>
        <n v="7248.875"/>
        <n v="7434"/>
        <n v="7500"/>
        <n v="7866.66666666667"/>
        <n v="7906"/>
        <n v="8000"/>
        <n v="8260"/>
        <n v="8407.5"/>
        <n v="8496"/>
        <n v="9000"/>
        <n v="9440"/>
        <n v="9735"/>
        <n v="10000"/>
        <n v="10300"/>
        <n v="10620"/>
        <n v="10816.6666666667"/>
        <n v="10833.3333333333"/>
        <n v="11677.0833333333"/>
        <n v="11800"/>
        <n v="12000"/>
        <n v="12213"/>
        <n v="12300"/>
        <n v="12500"/>
        <n v="12586.6666666667"/>
        <n v="13018"/>
        <n v="13250"/>
        <n v="13500"/>
        <n v="13570"/>
        <n v="13766.6666666667"/>
        <n v="14000"/>
        <n v="14160"/>
        <n v="14583.3333333333"/>
        <n v="14750"/>
        <n v="14751.25"/>
        <n v="14868"/>
        <n v="15000"/>
        <n v="15733.3333333333"/>
        <n v="15833.3333333333"/>
        <n v="15930"/>
        <n v="16520"/>
        <n v="16815"/>
        <n v="16992"/>
        <n v="17700"/>
        <n v="18000"/>
        <n v="19912.5"/>
        <n v="20000"/>
        <n v="20158.3333333333"/>
        <n v="21240"/>
        <n v="21633.3333333333"/>
        <n v="23600"/>
        <n v="24499"/>
        <n v="25075"/>
        <n v="25488.75"/>
        <n v="26550"/>
        <n v="26666.6666666667"/>
        <n v="29498.82"/>
        <n v="29736"/>
        <n v="34416"/>
        <n v="35400"/>
        <n v="39825"/>
        <n v="41300"/>
        <n v="44909.08"/>
        <n v="47200"/>
        <n v="49560"/>
        <n v="50640.88"/>
        <n v="59000"/>
        <n v="70800"/>
        <n v="81750"/>
        <n v="97000"/>
        <n v="103250"/>
        <n v="118000"/>
        <n v="124254"/>
        <n v="143370"/>
        <n v="162486"/>
        <n v="191160"/>
        <n v="195408"/>
        <n v="198240"/>
        <n v="248980"/>
        <n v="254880"/>
        <n v="286740"/>
        <m/>
      </sharedItems>
    </cacheField>
    <cacheField name="Aug Sales in days" numFmtId="0">
      <sharedItems containsString="0" containsBlank="1" containsNumber="1" minValue="0" maxValue="292239.123287671" count="170">
        <n v="0"/>
        <n v="300.657534246575"/>
        <n v="400.876712328767"/>
        <n v="799.978021978022"/>
        <n v="913.548387096774"/>
        <n v="961.780821917808"/>
        <n v="967.741935483871"/>
        <n v="1332.25806451613"/>
        <n v="1551.78082191781"/>
        <n v="1598.70967741935"/>
        <n v="1745.75342465753"/>
        <n v="1827.09677419355"/>
        <n v="2164.73424657534"/>
        <n v="2208.21917808219"/>
        <n v="2263.01369863014"/>
        <n v="2283.87096774194"/>
        <n v="2308.69565217391"/>
        <n v="2462.60869565217"/>
        <n v="2917.9347826087"/>
        <n v="2941.91780821918"/>
        <n v="3045.16129032258"/>
        <n v="3168.21917808219"/>
        <n v="3336.46849315069"/>
        <n v="3384.59016393443"/>
        <n v="3462.41095890411"/>
        <n v="3481.96721311475"/>
        <n v="3652.98904109589"/>
        <n v="3835.61643835616"/>
        <n v="3847.12328767123"/>
        <n v="3866.66666666667"/>
        <n v="4064.51612903226"/>
        <n v="4064.55737704918"/>
        <n v="4075.69315068493"/>
        <n v="4111"/>
        <n v="4273.97260273973"/>
        <n v="4351.61290322581"/>
        <n v="4489.13043478261"/>
        <n v="4509.86301369863"/>
        <n v="4569.99452054795"/>
        <n v="4836.68284931507"/>
        <n v="4888.1095890411"/>
        <n v="5054.34782608696"/>
        <n v="5081.96721311475"/>
        <n v="5138.70967741936"/>
        <n v="5237.2602739726"/>
        <n v="5391.78082191781"/>
        <n v="5431.23287671233"/>
        <n v="5512.05479452055"/>
        <n v="5579.34782608696"/>
        <n v="5596.93989071038"/>
        <n v="5806.45161290323"/>
        <n v="5883.83561643836"/>
        <n v="5896.73913043478"/>
        <n v="5928.96174863388"/>
        <n v="5964.13043478261"/>
        <n v="6013.15068493151"/>
        <n v="6313.80821917808"/>
        <n v="6336.43835616438"/>
        <n v="6369.86301369863"/>
        <n v="6494.20273972603"/>
        <n v="6657.53424657534"/>
        <n v="6758.00547945206"/>
        <n v="6794.52054794521"/>
        <n v="6814.90410958904"/>
        <n v="6851.61290322581"/>
        <n v="6958.15217391304"/>
        <n v="6983.01369863014"/>
        <n v="6996.17486338798"/>
        <n v="7004.68085106383"/>
        <n v="7008.94160583942"/>
        <n v="7015.34246575342"/>
        <n v="7156.95652173913"/>
        <n v="7196.06557377049"/>
        <n v="7206.80597014925"/>
        <n v="7310.86956521739"/>
        <n v="7514.80434782609"/>
        <n v="7643.83561643836"/>
        <n v="8017.53424657534"/>
        <n v="8131.14754098361"/>
        <n v="8208.13186813187"/>
        <n v="8317.13684210526"/>
        <n v="8418.41095890411"/>
        <n v="8568.7397260274"/>
        <n v="9147.54098360656"/>
        <n v="9440"/>
        <n v="9841.26984126984"/>
        <n v="9894.59016393443"/>
        <n v="9921.69863013699"/>
        <n v="10191.7808219178"/>
        <n v="10260.8695652174"/>
        <n v="10497.5342465753"/>
        <n v="10823.6712328767"/>
        <n v="11041.095890411"/>
        <n v="11062.5"/>
        <n v="11800"/>
        <n v="11868.5109289617"/>
        <n v="11978.3375314861"/>
        <n v="12026.301369863"/>
        <n v="12230.1369863014"/>
        <n v="12447.2219178082"/>
        <n v="12501.6393442623"/>
        <n v="12704.9180327869"/>
        <n v="13018"/>
        <n v="13360.6451612903"/>
        <n v="13467.2131147541"/>
        <n v="13690.6077348066"/>
        <n v="13721.3114754098"/>
        <n v="13758.904109589"/>
        <n v="13830.2465753425"/>
        <n v="14268.4931506849"/>
        <n v="14431.5616438356"/>
        <n v="14483.2876712329"/>
        <n v="14863.0136986301"/>
        <n v="14991.8032786885"/>
        <n v="15032.8767123288"/>
        <n v="15034.1506849315"/>
        <n v="15049.8895027624"/>
        <n v="15153.1397260274"/>
        <n v="15225.8064516129"/>
        <n v="15987.0967741936"/>
        <n v="16092.8961748634"/>
        <n v="16103.152173913"/>
        <n v="16235.5068493151"/>
        <n v="16607.1428571429"/>
        <n v="16609.2972972973"/>
        <n v="17137.4794520548"/>
        <n v="17270.5573770492"/>
        <n v="17317.8739726027"/>
        <n v="18022.9927007299"/>
        <n v="18039.4520547945"/>
        <n v="18345.2054794521"/>
        <n v="19793.5483870968"/>
        <n v="20327.868852459"/>
        <n v="20383.5616438356"/>
        <n v="20544.9315068493"/>
        <n v="21470.8695652174"/>
        <n v="21647.3424657534"/>
        <n v="22048.2191780822"/>
        <n v="22141.3043478261"/>
        <n v="23921.5258855586"/>
        <n v="24968.8438356164"/>
        <n v="25555.8904109589"/>
        <n v="25977.5753424658"/>
        <n v="26985.2459016393"/>
        <n v="27178.0821917808"/>
        <n v="30064.5507945206"/>
        <n v="30306.2794520548"/>
        <n v="31748.2461333333"/>
        <n v="35076.0328767123"/>
        <n v="36078.904109589"/>
        <n v="40588.7671232877"/>
        <n v="42092.0547945206"/>
        <n v="45770.3500273973"/>
        <n v="48105.2054794521"/>
        <n v="50510.4657534247"/>
        <n v="60131.5068493151"/>
        <n v="65989.4794520548"/>
        <n v="72157.8082191781"/>
        <n v="79935.4838709677"/>
        <n v="83317.8082191781"/>
        <n v="112904.25704918"/>
        <n v="118637.837837838"/>
        <n v="126636.953424658"/>
        <n v="133550.136986301"/>
        <n v="175971.945205479"/>
        <n v="197532"/>
        <n v="202041.863013699"/>
        <n v="259768.109589041"/>
        <n v="292239.123287671"/>
        <m/>
      </sharedItems>
    </cacheField>
    <cacheField name="Days in Sept" numFmtId="0">
      <sharedItems containsBlank="1" containsMixedTypes="1" containsNumber="1" containsInteger="1" minValue="2" maxValue="30" count="26">
        <n v="2"/>
        <n v="4"/>
        <n v="5"/>
        <n v="6"/>
        <n v="7"/>
        <n v="8"/>
        <n v="9"/>
        <n v="10"/>
        <n v="11"/>
        <n v="12"/>
        <n v="13"/>
        <n v="14"/>
        <n v="15"/>
        <n v="16"/>
        <n v="19"/>
        <n v="21"/>
        <n v="23"/>
        <n v="24"/>
        <n v="25"/>
        <n v="26"/>
        <n v="27"/>
        <n v="28"/>
        <n v="29"/>
        <n v="30"/>
        <s v="CN"/>
        <m/>
      </sharedItems>
    </cacheField>
    <cacheField name="Sept Sales in months" numFmtId="0">
      <sharedItems containsString="0" containsBlank="1" containsNumber="1" minValue="0" maxValue="286740" count="129">
        <n v="0"/>
        <n v="19.6666666666667"/>
        <n v="295"/>
        <n v="393.333333333333"/>
        <n v="1966.66666666667"/>
        <n v="2124"/>
        <n v="2166.66666666667"/>
        <n v="2500"/>
        <n v="3330"/>
        <n v="3584.25"/>
        <n v="3999"/>
        <n v="4000"/>
        <n v="4130"/>
        <n v="4425"/>
        <n v="4484"/>
        <n v="4720"/>
        <n v="4745.67"/>
        <n v="5000"/>
        <n v="5220"/>
        <n v="5310"/>
        <n v="5408.33333333333"/>
        <n v="5416.66666666667"/>
        <n v="5506.66666666667"/>
        <n v="5833.33333333333"/>
        <n v="5850.83333333333"/>
        <n v="5900"/>
        <n v="6000"/>
        <n v="6195"/>
        <n v="6250"/>
        <n v="6372"/>
        <n v="6588.33333333333"/>
        <n v="6608"/>
        <n v="6666.66666666667"/>
        <n v="6686.66666666667"/>
        <n v="6833.33333333333"/>
        <n v="6883.33333333333"/>
        <n v="7080"/>
        <n v="7248.875"/>
        <n v="7434"/>
        <n v="7500"/>
        <n v="7866.66666666667"/>
        <n v="7906"/>
        <n v="8000"/>
        <n v="8260"/>
        <n v="8407.5"/>
        <n v="8496"/>
        <n v="9000"/>
        <n v="9735"/>
        <n v="10000"/>
        <n v="10300"/>
        <n v="10620"/>
        <n v="10816.6666666667"/>
        <n v="10833.3333333333"/>
        <n v="11086.47"/>
        <n v="11677.0833333333"/>
        <n v="11800"/>
        <n v="12000"/>
        <n v="12213"/>
        <n v="12300"/>
        <n v="12500"/>
        <n v="12586.6666666667"/>
        <n v="13250"/>
        <n v="13500"/>
        <n v="13570"/>
        <n v="13766.6666666667"/>
        <n v="14000"/>
        <n v="14160"/>
        <n v="14583.3333333333"/>
        <n v="14750"/>
        <n v="14751.25"/>
        <n v="14868"/>
        <n v="15000"/>
        <n v="15733.3333333333"/>
        <n v="15833.3333333333"/>
        <n v="15930"/>
        <n v="16520"/>
        <n v="16666.6666666667"/>
        <n v="16815"/>
        <n v="16992"/>
        <n v="17700"/>
        <n v="18000"/>
        <n v="19116"/>
        <n v="20000"/>
        <n v="20158.3333333333"/>
        <n v="20833.3333333333"/>
        <n v="21240"/>
        <n v="21633.3333333333"/>
        <n v="23600"/>
        <n v="24499"/>
        <n v="24780"/>
        <n v="25075"/>
        <n v="25488.75"/>
        <n v="26550"/>
        <n v="26666.6666666667"/>
        <n v="29000"/>
        <n v="29498.82"/>
        <n v="29736"/>
        <n v="29893.3333333333"/>
        <n v="30068.22"/>
        <n v="30975"/>
        <n v="33040"/>
        <n v="34416"/>
        <n v="35400"/>
        <n v="38350"/>
        <n v="39825"/>
        <n v="40833.3333333333"/>
        <n v="41300"/>
        <n v="44909.08"/>
        <n v="47200"/>
        <n v="49560"/>
        <n v="50640.88"/>
        <n v="59000"/>
        <n v="70800"/>
        <n v="79650"/>
        <n v="81750"/>
        <n v="97000"/>
        <n v="103250"/>
        <n v="118000"/>
        <n v="124254"/>
        <n v="143370"/>
        <n v="162486"/>
        <n v="183844.957472661"/>
        <n v="191160"/>
        <n v="195408"/>
        <n v="198240"/>
        <n v="248980"/>
        <n v="254880"/>
        <n v="286740"/>
        <m/>
      </sharedItems>
    </cacheField>
    <cacheField name="Sept Sales in days" numFmtId="0">
      <sharedItems containsString="0" containsBlank="1" containsNumber="1" minValue="0" maxValue="282812.054794521" count="177">
        <n v="0"/>
        <n v="19.3972602739726"/>
        <n v="290.958904109589"/>
        <n v="387.945205479452"/>
        <n v="438.356164383562"/>
        <n v="761.290322580645"/>
        <n v="958.904109589041"/>
        <n v="1095.8904109589"/>
        <n v="1293.15068493151"/>
        <n v="1544.54794520548"/>
        <n v="1564.6408839779"/>
        <n v="1629.3698630137"/>
        <n v="1775.34246575342"/>
        <n v="1923.91304347826"/>
        <n v="1939.72602739726"/>
        <n v="2094.90410958904"/>
        <n v="2136.98630136986"/>
        <n v="2169.86301369863"/>
        <n v="2301.3698630137"/>
        <n v="2333.33333333333"/>
        <n v="2360"/>
        <n v="2715.61643835616"/>
        <n v="2761.64383561644"/>
        <n v="2832"/>
        <n v="2956.392"/>
        <n v="2966.29834254144"/>
        <n v="3168.21917808219"/>
        <n v="3186"/>
        <n v="3275.40983606557"/>
        <n v="3390.05524861878"/>
        <n v="3535.15068493151"/>
        <n v="3806.45161290323"/>
        <n v="3933.44262295082"/>
        <n v="3944.21917808219"/>
        <n v="3945.20547945206"/>
        <n v="4049.01960784314"/>
        <n v="4193.54838709678"/>
        <n v="4277.09589041096"/>
        <n v="4364.38356164384"/>
        <n v="4422.57534246575"/>
        <n v="4680.66082191781"/>
        <n v="4720"/>
        <n v="4888.1095890411"/>
        <n v="4918.03278688525"/>
        <n v="4981.86301369863"/>
        <n v="5237.2602739726"/>
        <n v="5334.24657534247"/>
        <n v="5342.46575342466"/>
        <n v="5416.39344262295"/>
        <n v="5481.29032258065"/>
        <n v="5706.52173913044"/>
        <n v="5737.70491803279"/>
        <n v="5753.42465753425"/>
        <n v="5770.68493150685"/>
        <n v="5819.17808219178"/>
        <n v="6110.13698630137"/>
        <n v="6164.38356164384"/>
        <n v="6284.71232876712"/>
        <n v="6300.2301369863"/>
        <n v="6336.43835616438"/>
        <n v="6575.34246575342"/>
        <n v="6595.06849315069"/>
        <n v="6733.69565217391"/>
        <n v="6739.72602739726"/>
        <n v="6770.49180327869"/>
        <n v="6778.72340425532"/>
        <n v="6782.84671532847"/>
        <n v="6789.04109589041"/>
        <n v="6926.08695652174"/>
        <n v="6963.93442622951"/>
        <n v="6974.32835820896"/>
        <n v="7149.57534246575"/>
        <n v="7272.39130434783"/>
        <n v="7397.2602739726"/>
        <n v="7758.90410958904"/>
        <n v="7797.69863013699"/>
        <n v="7868.85245901639"/>
        <n v="7993.54838709678"/>
        <n v="8048.84210526316"/>
        <n v="8146.84931506849"/>
        <n v="8292.32876712329"/>
        <n v="8852.45901639344"/>
        <n v="9077.91780821918"/>
        <n v="9516.12903225806"/>
        <n v="9523.80952380952"/>
        <n v="9575.40983606557"/>
        <n v="9601.64383561644"/>
        <n v="9863.01369863014"/>
        <n v="10158.904109589"/>
        <n v="10474.5205479452"/>
        <n v="10620"/>
        <n v="10684.9315068493"/>
        <n v="10958.904109589"/>
        <n v="11485.6557377049"/>
        <n v="11543.4782608696"/>
        <n v="11591.9395465995"/>
        <n v="11623.8805970149"/>
        <n v="11638.3561643836"/>
        <n v="11734.8066298343"/>
        <n v="11800"/>
        <n v="11835.6164383562"/>
        <n v="12045.698630137"/>
        <n v="12098.3606557377"/>
        <n v="12295.0819672131"/>
        <n v="12313.0434782609"/>
        <n v="13032.7868852459"/>
        <n v="13278.6885245902"/>
        <n v="13315.0684931507"/>
        <n v="13384.1095890411"/>
        <n v="13578.0821917808"/>
        <n v="13808.2191780822"/>
        <n v="13966.0273972603"/>
        <n v="14121.2054794521"/>
        <n v="14383.5616438356"/>
        <n v="14508.1967213115"/>
        <n v="14547.9452054795"/>
        <n v="14549.1780821918"/>
        <n v="14664.3287671233"/>
        <n v="15517.8082191781"/>
        <n v="15573.7704918033"/>
        <n v="15583.6956521739"/>
        <n v="15711.7808219178"/>
        <n v="15753.4246575342"/>
        <n v="16071.4285714286"/>
        <n v="16073.5135135135"/>
        <n v="16584.6575342466"/>
        <n v="16713.4426229508"/>
        <n v="16759.2328767123"/>
        <n v="17441.6058394161"/>
        <n v="17457.5342465753"/>
        <n v="17753.4246575342"/>
        <n v="18007.8260869565"/>
        <n v="19348.7671232877"/>
        <n v="19672.131147541"/>
        <n v="19726.0273972603"/>
        <n v="19882.1917808219"/>
        <n v="20949.0410958904"/>
        <n v="21336.9863013699"/>
        <n v="21899.4413407821"/>
        <n v="23149.863760218"/>
        <n v="24163.397260274"/>
        <n v="24731.5068493151"/>
        <n v="25139.5890410959"/>
        <n v="26114.7540983607"/>
        <n v="26301.3698630137"/>
        <n v="29000"/>
        <n v="29094.7265753425"/>
        <n v="29328.6575342466"/>
        <n v="29483.8356164384"/>
        <n v="29656.3265753425"/>
        <n v="33944.5479452055"/>
        <n v="34915.0684931507"/>
        <n v="38350"/>
        <n v="39279.4520547945"/>
        <n v="40734.2465753425"/>
        <n v="44293.8871232877"/>
        <n v="46553.4246575343"/>
        <n v="48881.095890411"/>
        <n v="58191.7808219178"/>
        <n v="69830.1369863014"/>
        <n v="78558.904109589"/>
        <n v="80630.1369863014"/>
        <n v="94891.3043478261"/>
        <n v="102679.55801105"/>
        <n v="114810.810810811"/>
        <n v="122551.890410959"/>
        <n v="137030.4"/>
        <n v="141406.02739726"/>
        <n v="160260.164383562"/>
        <n v="188541.369863014"/>
        <n v="191160"/>
        <n v="195524.383561644"/>
        <n v="199242.806557377"/>
        <n v="246243.956043956"/>
        <n v="251388.493150685"/>
        <n v="282812.054794521"/>
        <m/>
      </sharedItems>
    </cacheField>
    <cacheField name="Days in Oct" numFmtId="0">
      <sharedItems containsString="0" containsBlank="1" containsNumber="1" containsInteger="1" minValue="1" maxValue="31" count="26">
        <n v="1"/>
        <n v="2"/>
        <n v="3"/>
        <n v="4"/>
        <n v="5"/>
        <n v="7"/>
        <n v="8"/>
        <n v="9"/>
        <n v="14"/>
        <n v="15"/>
        <n v="16"/>
        <n v="17"/>
        <n v="18"/>
        <n v="19"/>
        <n v="20"/>
        <n v="21"/>
        <n v="22"/>
        <n v="23"/>
        <n v="24"/>
        <n v="25"/>
        <n v="26"/>
        <n v="28"/>
        <n v="29"/>
        <n v="30"/>
        <n v="31"/>
        <m/>
      </sharedItems>
    </cacheField>
    <cacheField name="Oct Sales in months" numFmtId="0">
      <sharedItems containsString="0" containsBlank="1" containsNumber="1" minValue="0" maxValue="286740" count="144">
        <n v="0"/>
        <n v="19.6666666666667"/>
        <n v="295"/>
        <n v="393.333333333333"/>
        <n v="1966.66666666667"/>
        <n v="2124"/>
        <n v="2166.66666666667"/>
        <n v="2500"/>
        <n v="2950"/>
        <n v="3330"/>
        <n v="3584.25"/>
        <n v="3894"/>
        <n v="3999"/>
        <n v="4000"/>
        <n v="4130"/>
        <n v="4166.66666666667"/>
        <n v="4425"/>
        <n v="4484"/>
        <n v="4745.67"/>
        <n v="4916.66666666667"/>
        <n v="5000"/>
        <n v="5151.39833333333"/>
        <n v="5220"/>
        <n v="5310"/>
        <n v="5408.33333333333"/>
        <n v="5416.66666666667"/>
        <n v="5506.66666666667"/>
        <n v="5833.33333333333"/>
        <n v="5850.83333333333"/>
        <n v="5900"/>
        <n v="5916.66666666667"/>
        <n v="6000"/>
        <n v="6195"/>
        <n v="6250"/>
        <n v="6372"/>
        <n v="6588.33333333333"/>
        <n v="6608"/>
        <n v="6666.66666666667"/>
        <n v="6686.66666666667"/>
        <n v="6833.33333333333"/>
        <n v="6883.33333333333"/>
        <n v="7080"/>
        <n v="7248.875"/>
        <n v="7434"/>
        <n v="7500"/>
        <n v="7866.66666666667"/>
        <n v="7906"/>
        <n v="8000"/>
        <n v="8260"/>
        <n v="8333.33333333333"/>
        <n v="8358.33333333333"/>
        <n v="8407.5"/>
        <n v="8496"/>
        <n v="8850"/>
        <n v="9000"/>
        <n v="9006.81690140845"/>
        <n v="9440"/>
        <n v="9735"/>
        <n v="9833.33333333333"/>
        <n v="10000"/>
        <n v="10300"/>
        <n v="10620"/>
        <n v="10816.6666666667"/>
        <n v="10833.3333333333"/>
        <n v="10833.335"/>
        <n v="10970.69"/>
        <n v="11666.6666666667"/>
        <n v="11677.0833333333"/>
        <n v="11800"/>
        <n v="12000"/>
        <n v="12213"/>
        <n v="12300"/>
        <n v="12500"/>
        <n v="12586.6666666667"/>
        <n v="13250"/>
        <n v="13500"/>
        <n v="13570"/>
        <n v="13766.6666666667"/>
        <n v="14000"/>
        <n v="14160"/>
        <n v="14583.3333333333"/>
        <n v="14750"/>
        <n v="14751.25"/>
        <n v="14868"/>
        <n v="15733.3333333333"/>
        <n v="15833.3333333333"/>
        <n v="15930"/>
        <n v="16520"/>
        <n v="16666.6666666667"/>
        <n v="16815"/>
        <n v="16992"/>
        <n v="17700"/>
        <n v="18000"/>
        <n v="20000"/>
        <n v="20075.2255555556"/>
        <n v="20158.3333333333"/>
        <n v="20833.3333333333"/>
        <n v="21240"/>
        <n v="21633.3333333333"/>
        <n v="23600"/>
        <n v="24499"/>
        <n v="24780"/>
        <n v="25000"/>
        <n v="25075"/>
        <n v="25488.75"/>
        <n v="26550"/>
        <n v="26666.6666666667"/>
        <n v="29498.82"/>
        <n v="29500"/>
        <n v="29736"/>
        <n v="29893.3333333333"/>
        <n v="30068.22"/>
        <n v="30975"/>
        <n v="33040"/>
        <n v="34416"/>
        <n v="35313.85"/>
        <n v="35400"/>
        <n v="39825"/>
        <n v="40710"/>
        <n v="40833.3333333333"/>
        <n v="41300"/>
        <n v="44909.08"/>
        <n v="47200"/>
        <n v="49560"/>
        <n v="59000"/>
        <n v="70800"/>
        <n v="79650"/>
        <n v="81750"/>
        <n v="97000"/>
        <n v="103250"/>
        <n v="118000"/>
        <n v="124254"/>
        <n v="143370"/>
        <n v="162486"/>
        <n v="180195.44"/>
        <n v="183844.957472661"/>
        <n v="191160"/>
        <n v="195408"/>
        <n v="198240"/>
        <n v="216648"/>
        <n v="248980"/>
        <n v="254880"/>
        <n v="286740"/>
        <m/>
      </sharedItems>
    </cacheField>
    <cacheField name="Oct Sales in days" numFmtId="0">
      <sharedItems containsString="0" containsBlank="1" containsNumber="1" minValue="0" maxValue="292239.123287671" count="203">
        <n v="0"/>
        <n v="20.0438356164384"/>
        <n v="161.290322580645"/>
        <n v="258.064516129032"/>
        <n v="300.657534246575"/>
        <n v="400.876712328767"/>
        <n v="516.25"/>
        <n v="609.032258064516"/>
        <n v="634.201954397394"/>
        <n v="646.575342465754"/>
        <n v="678.904109589041"/>
        <n v="814.684931506849"/>
        <n v="1180"/>
        <n v="1370.32258064516"/>
        <n v="1556.16438356164"/>
        <n v="1643.83561643836"/>
        <n v="1917.80821917808"/>
        <n v="2004.38356164384"/>
        <n v="2164.73424657534"/>
        <n v="2208.21917808219"/>
        <n v="2477.25258064516"/>
        <n v="2547.94520547945"/>
        <n v="2747.94520547945"/>
        <n v="2761.64383561644"/>
        <n v="2793.20547945206"/>
        <n v="2909.58904109589"/>
        <n v="2967.78082191781"/>
        <n v="3006.57534246575"/>
        <n v="3142.35616438356"/>
        <n v="3249.83606557377"/>
        <n v="3384.59016393443"/>
        <n v="3491.50684931507"/>
        <n v="3652.98904109589"/>
        <n v="4064.55737704918"/>
        <n v="4075.69315068493"/>
        <n v="4076.71232876712"/>
        <n v="4183.98692810458"/>
        <n v="4246.57534246575"/>
        <n v="4509.86301369863"/>
        <n v="4556.62580645161"/>
        <n v="4569.99452054795"/>
        <n v="4752.32876712329"/>
        <n v="4803.33087837838"/>
        <n v="4836.68284931507"/>
        <n v="4849.31506849315"/>
        <n v="5081.96721311475"/>
        <n v="5133.88563380282"/>
        <n v="5237.2602739726"/>
        <n v="5276.05479452055"/>
        <n v="5320.1095890411"/>
        <n v="5353.64383561644"/>
        <n v="5411.83561643836"/>
        <n v="5431.23287671233"/>
        <n v="5495.8904109589"/>
        <n v="5512.05479452055"/>
        <n v="5520.54794520548"/>
        <n v="5586.41095890411"/>
        <n v="5596.93989071038"/>
        <n v="5657.53424657534"/>
        <n v="5896.73913043478"/>
        <n v="5928.96174863388"/>
        <n v="5945.20547945205"/>
        <n v="5963.04109589041"/>
        <n v="6013.15068493151"/>
        <n v="6115.06849315069"/>
        <n v="6313.80821917808"/>
        <n v="6369.86301369863"/>
        <n v="6494.20273972603"/>
        <n v="6499.67213114754"/>
        <n v="6714.68493150685"/>
        <n v="6734.72876712329"/>
        <n v="6794.52054794521"/>
        <n v="6814.90410958904"/>
        <n v="6958.15217391304"/>
        <n v="6964.38356164384"/>
        <n v="6996.17486338798"/>
        <n v="7004.68085106383"/>
        <n v="7008.94160583942"/>
        <n v="7015.34246575342"/>
        <n v="7073.48066298343"/>
        <n v="7156.95652173913"/>
        <n v="7196.06557377049"/>
        <n v="7206.80597014925"/>
        <n v="7387.89452054795"/>
        <n v="7422.58064516129"/>
        <n v="7514.80434782609"/>
        <n v="7606.55737704918"/>
        <n v="7643.83561643836"/>
        <n v="7666.66666666667"/>
        <n v="7967.03296703297"/>
        <n v="8017.53424657534"/>
        <n v="8057.62191780822"/>
        <n v="8083.97790055249"/>
        <n v="8130.078"/>
        <n v="8153.42465753425"/>
        <n v="8317.13684210526"/>
        <n v="8418.41095890411"/>
        <n v="8568.7397260274"/>
        <n v="9147.54098360656"/>
        <n v="9440"/>
        <n v="9841.26984126984"/>
        <n v="9894.59016393443"/>
        <n v="9921.69863013699"/>
        <n v="10191.7808219178"/>
        <n v="10497.5342465753"/>
        <n v="10823.6712328767"/>
        <n v="11041.095890411"/>
        <n v="11041.0975890411"/>
        <n v="11062.5"/>
        <n v="11419.3548387097"/>
        <n v="11800"/>
        <n v="11868.5109289617"/>
        <n v="11928.2608695652"/>
        <n v="11978.3375314861"/>
        <n v="12011.3432835821"/>
        <n v="12026.301369863"/>
        <n v="12125.9668508287"/>
        <n v="12230.1369863014"/>
        <n v="12447.2219178082"/>
        <n v="12501.6393442623"/>
        <n v="12704.9180327869"/>
        <n v="12723.4782608696"/>
        <n v="12744"/>
        <n v="13467.2131147541"/>
        <n v="13721.3114754098"/>
        <n v="13758.904109589"/>
        <n v="13830.2465753425"/>
        <n v="14030.6849315068"/>
        <n v="14268.4931506849"/>
        <n v="14431.5616438356"/>
        <n v="14863.0136986301"/>
        <n v="14991.8032786885"/>
        <n v="15032.8767123288"/>
        <n v="15034.1506849315"/>
        <n v="15153.1397260274"/>
        <n v="15738.4172473868"/>
        <n v="15930"/>
        <n v="16035.0684931507"/>
        <n v="16092.8961748634"/>
        <n v="16103.152173913"/>
        <n v="16235.5068493151"/>
        <n v="16607.1428571429"/>
        <n v="16609.2972972973"/>
        <n v="16986.301369863"/>
        <n v="17137.4794520548"/>
        <n v="17270.5573770492"/>
        <n v="17317.8739726027"/>
        <n v="17515.625"/>
        <n v="18022.9927007299"/>
        <n v="18039.4520547945"/>
        <n v="18345.2054794521"/>
        <n v="18408"/>
        <n v="20327.868852459"/>
        <n v="20383.5616438356"/>
        <n v="20544.9315068493"/>
        <n v="21232.8767123288"/>
        <n v="21647.3424657534"/>
        <n v="22048.2191780822"/>
        <n v="23921.5258855586"/>
        <n v="24968.8438356164"/>
        <n v="25255.2328767123"/>
        <n v="25555.8904109589"/>
        <n v="25977.5753424658"/>
        <n v="26985.2459016393"/>
        <n v="27178.0821917808"/>
        <n v="29690.3225806452"/>
        <n v="30064.5507945206"/>
        <n v="30306.2794520548"/>
        <n v="30466.6301369863"/>
        <n v="30644.8707945205"/>
        <n v="31569.0410958904"/>
        <n v="33673.6438356164"/>
        <n v="35076.0328767123"/>
        <n v="36078.904109589"/>
        <n v="38813.9178082192"/>
        <n v="40588.7671232877"/>
        <n v="41300"/>
        <n v="42092.0547945206"/>
        <n v="42430.1675977654"/>
        <n v="45770.3500273973"/>
        <n v="48105.2054794521"/>
        <n v="50510.4657534247"/>
        <n v="60131.5068493151"/>
        <n v="72157.8082191781"/>
        <n v="81177.5342465754"/>
        <n v="83317.8082191781"/>
        <n v="92979.9763934426"/>
        <n v="98054.347826087"/>
        <n v="100988.653186813"/>
        <n v="106102.209944751"/>
        <n v="118637.837837838"/>
        <n v="126636.953424658"/>
        <n v="141724.483516484"/>
        <n v="146119.561643836"/>
        <n v="156698.82739726"/>
        <n v="165602.169863014"/>
        <n v="176997.6"/>
        <n v="194826.082191781"/>
        <n v="202041.863013699"/>
        <n v="254452.087912088"/>
        <n v="259768.109589041"/>
        <n v="292239.123287671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742" createdVersion="3">
  <cacheSource type="worksheet">
    <worksheetSource ref="A3:I11470" sheet="Invoices"/>
  </cacheSource>
  <cacheFields count="9">
    <cacheField name="Months" numFmtId="0">
      <sharedItems containsNonDate="0" containsDate="1" containsString="0" containsBlank="1" minDate="2024-09-01T00:00:00" maxDate="2025-10-01T00:00:00" count="15"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m/>
      </sharedItems>
    </cacheField>
    <cacheField name="Invoice Date" numFmtId="0">
      <sharedItems containsNonDate="0" containsDate="1" containsString="0" containsBlank="1" minDate="2024-09-22T00:00:00" maxDate="2025-10-31T00:00:00" count="264">
        <d v="2024-09-22T00:00:00"/>
        <d v="2024-09-30T00:00:00"/>
        <d v="2024-10-19T00:00:00"/>
        <d v="2024-10-21T00:00:00"/>
        <d v="2024-10-22T00:00:00"/>
        <d v="2024-10-29T00:00:00"/>
        <d v="2024-10-30T00:00:00"/>
        <d v="2024-11-07T00:00:00"/>
        <d v="2024-11-09T00:00:00"/>
        <d v="2024-11-19T00:00:00"/>
        <d v="2024-11-21T00:00:00"/>
        <d v="2024-11-22T00:00:00"/>
        <d v="2024-11-28T00:00:00"/>
        <d v="2024-11-29T00:00:00"/>
        <d v="2024-11-30T00:00:00"/>
        <d v="2024-12-02T00:00:00"/>
        <d v="2024-12-09T00:00:00"/>
        <d v="2024-12-12T00:00:00"/>
        <d v="2024-12-13T00:00:00"/>
        <d v="2024-12-14T00:00:00"/>
        <d v="2024-12-18T00:00:00"/>
        <d v="2024-12-19T00:00:00"/>
        <d v="2024-12-22T00:00:00"/>
        <d v="2024-12-25T00:00:00"/>
        <d v="2024-12-29T00:00:00"/>
        <d v="2024-12-31T00:00:00"/>
        <d v="2025-01-01T00:00:00"/>
        <d v="2025-01-05T00:00:00"/>
        <d v="2025-01-08T00:00:00"/>
        <d v="2025-01-09T00:00:00"/>
        <d v="2025-01-11T00:00:00"/>
        <d v="2025-01-14T00:00:00"/>
        <d v="2025-01-17T00:00:00"/>
        <d v="2025-01-18T00:00:00"/>
        <d v="2025-01-20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7T00:00:00"/>
        <d v="2025-02-09T00:00:00"/>
        <d v="2025-02-10T00:00:00"/>
        <d v="2025-02-11T00:00:00"/>
        <d v="2025-02-17T00:00:00"/>
        <d v="2025-02-23T00:00:00"/>
        <d v="2025-02-24T00:00:00"/>
        <d v="2025-02-25T00:00:00"/>
        <d v="2025-02-26T00:00:00"/>
        <d v="2025-02-27T00:00:00"/>
        <d v="2025-02-28T00:00:00"/>
        <d v="2025-03-03T00:00:00"/>
        <d v="2025-03-05T00:00:00"/>
        <d v="2025-03-08T00:00:00"/>
        <d v="2025-03-09T00:00:00"/>
        <d v="2025-03-11T00:00:00"/>
        <d v="2025-03-12T00:00:00"/>
        <d v="2025-03-14T00:00:00"/>
        <d v="2025-03-17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1T00:00:00"/>
        <d v="2025-04-02T00:00:00"/>
        <d v="2025-04-03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8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3T00:00:00"/>
        <d v="2025-05-26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6T00:00:00"/>
        <d v="2025-07-28T00:00:00"/>
        <d v="2025-07-29T00:00:00"/>
        <d v="2025-07-30T00:00:00"/>
        <d v="2025-07-31T00:00:00"/>
        <d v="2025-08-01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5T00:00:00"/>
        <d v="2025-09-26T00:00:00"/>
        <d v="2025-09-28T00:00:00"/>
        <d v="2025-09-29T00:00:00"/>
        <d v="2025-09-30T00:00:00"/>
        <d v="2025-10-01T00:00:00"/>
        <d v="2025-10-02T00:00:00"/>
        <d v="2025-10-03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m/>
      </sharedItems>
    </cacheField>
    <cacheField name="Invoice Number" numFmtId="0">
      <sharedItems containsBlank="1" count="741">
        <s v="CN-00001"/>
        <s v="CN-00002"/>
        <s v="CN-00003"/>
        <s v="CN-00004"/>
        <s v="CN-00007"/>
        <s v="CN-00008"/>
        <s v="CN-00009"/>
        <s v="CN-00010"/>
        <s v="CN-00012"/>
        <s v="CN-00013"/>
        <s v="CN-00023"/>
        <s v="CN-00025"/>
        <s v="CN-00027"/>
        <s v="CN-00028"/>
        <s v="CN-00029"/>
        <s v="CN-00030"/>
        <s v="CN-00031"/>
        <s v="CN-00032"/>
        <s v="CN-00033"/>
        <s v="CN-00034"/>
        <s v="CN-00035"/>
        <s v="CN-00036"/>
        <s v="CN-00037"/>
        <s v="INV-000001"/>
        <s v="INV-000002"/>
        <s v="INV-000003"/>
        <s v="INV-000004"/>
        <s v="INV-000005"/>
        <s v="INV-000006"/>
        <s v="INV-000007"/>
        <s v="INV-000008"/>
        <s v="INV-000009"/>
        <s v="INV-000010"/>
        <s v="INV-000011"/>
        <s v="INV-000012"/>
        <s v="INV-000013"/>
        <s v="INV-000014"/>
        <s v="INV-000015"/>
        <s v="INV-000016"/>
        <s v="INV-000017"/>
        <s v="INV-000018"/>
        <s v="INV-000019"/>
        <s v="INV-000020"/>
        <s v="INV-000021"/>
        <s v="INV-000022"/>
        <s v="INV-000023"/>
        <s v="INV-000024"/>
        <s v="INV-000025"/>
        <s v="INV-000026"/>
        <s v="INV-000027"/>
        <s v="INV-000028"/>
        <s v="INV-000029"/>
        <s v="INV-000030"/>
        <s v="INV-000031"/>
        <s v="INV-000032"/>
        <s v="INV-000033"/>
        <s v="INV-000034"/>
        <s v="INV-000035"/>
        <s v="INV-000036"/>
        <s v="INV-000037"/>
        <s v="INV-000038"/>
        <s v="INV-000039"/>
        <s v="INV-000040"/>
        <s v="INV-000041"/>
        <s v="INV-000042"/>
        <s v="INV-000043"/>
        <s v="INV-000044"/>
        <s v="INV-000045"/>
        <s v="INV-000046"/>
        <s v="INV-000047"/>
        <s v="INV-000048"/>
        <s v="INV-000049"/>
        <s v="INV-000050"/>
        <s v="INV-000051"/>
        <s v="INV-000052"/>
        <s v="INV-000053"/>
        <s v="INV-000054"/>
        <s v="INV-000055"/>
        <s v="INV-000056"/>
        <s v="INV-000057"/>
        <s v="INV-000058"/>
        <s v="INV-000059"/>
        <s v="INV-000060"/>
        <s v="INV-000061"/>
        <s v="INV-000062"/>
        <s v="INV-000063"/>
        <s v="INV-000064"/>
        <s v="INV-000065"/>
        <s v="INV-000066"/>
        <s v="INV-000067"/>
        <s v="INV-000068"/>
        <s v="INV-000069"/>
        <s v="INV-000070"/>
        <s v="INV-000071"/>
        <s v="INV-000072"/>
        <s v="INV-000073"/>
        <s v="INV-000074"/>
        <s v="INV-000075"/>
        <s v="INV-000076"/>
        <s v="INV-000077"/>
        <s v="INV-000078"/>
        <s v="INV-000079"/>
        <s v="INV-000080"/>
        <s v="INV-000081"/>
        <s v="INV-000082"/>
        <s v="INV-000083"/>
        <s v="INV-000084"/>
        <s v="INV-000085"/>
        <s v="INV-000086"/>
        <s v="INV-000087"/>
        <s v="INV-000088"/>
        <s v="INV-000089"/>
        <s v="INV-000090"/>
        <s v="INV-000091"/>
        <s v="INV-000092"/>
        <s v="INV-000093"/>
        <s v="INV-000094"/>
        <s v="INV-000095"/>
        <s v="INV-000096"/>
        <s v="INV-000097"/>
        <s v="INV-000098"/>
        <s v="INV-000099"/>
        <s v="INV-000100"/>
        <s v="INV-000101"/>
        <s v="INV-000102"/>
        <s v="INV-000103"/>
        <s v="INV-000104"/>
        <s v="INV-000105"/>
        <s v="INV-000106"/>
        <s v="INV-000107"/>
        <s v="INV-000108"/>
        <s v="INV-000109"/>
        <s v="INV-000110"/>
        <s v="INV-000111"/>
        <s v="INV-000112"/>
        <s v="INV-000113"/>
        <s v="INV-000114"/>
        <s v="INV-000115"/>
        <s v="INV-000116"/>
        <s v="INV-000117"/>
        <s v="INV-000118"/>
        <s v="INV-000119"/>
        <s v="INV-000120"/>
        <s v="INV-000121"/>
        <s v="INV-000122"/>
        <s v="INV-000123"/>
        <s v="INV-000124"/>
        <s v="INV-000125"/>
        <s v="INV-000126"/>
        <s v="INV-000127"/>
        <s v="INV-000128"/>
        <s v="INV-000129"/>
        <s v="INV-000130"/>
        <s v="INV-000131"/>
        <s v="INV-000132"/>
        <s v="INV-000133"/>
        <s v="INV-000134"/>
        <s v="INV-000135"/>
        <s v="INV-000136"/>
        <s v="INV-000137"/>
        <s v="INV-000138"/>
        <s v="INV-000139"/>
        <s v="INV-000140"/>
        <s v="INV-000141"/>
        <s v="INV-000142"/>
        <s v="INV-000143"/>
        <s v="INV-000144"/>
        <s v="INV-000145"/>
        <s v="INV-000146"/>
        <s v="INV-000147"/>
        <s v="INV-000148"/>
        <s v="INV-000149"/>
        <s v="INV-000150"/>
        <s v="INV-25-26-000001"/>
        <s v="INV-25-26-000002"/>
        <s v="INV-25-26-000003"/>
        <s v="INV-25-26-000004"/>
        <s v="INV-25-26-000005"/>
        <s v="INV-25-26-000006"/>
        <s v="INV-25-26-000007"/>
        <s v="INV-25-26-000008"/>
        <s v="INV-25-26-000009"/>
        <s v="INV-25-26-000010"/>
        <s v="INV-25-26-000011"/>
        <s v="INV-25-26-000012"/>
        <s v="INV-25-26-000013"/>
        <s v="INV-25-26-000014"/>
        <s v="INV-25-26-000015"/>
        <s v="INV-25-26-000016"/>
        <s v="INV-25-26-000017"/>
        <s v="INV-25-26-000019"/>
        <s v="INV-25-26-000020"/>
        <s v="INV-25-26-000021"/>
        <s v="INV-25-26-000022"/>
        <s v="INV-25-26-000023"/>
        <s v="INV-25-26-000024"/>
        <s v="INV-25-26-000025"/>
        <s v="INV-25-26-000026"/>
        <s v="INV-25-26-000028"/>
        <s v="INV-25-26-000029"/>
        <s v="INV-25-26-000030"/>
        <s v="INV-25-26-000031"/>
        <s v="INV-25-26-000032"/>
        <s v="INV-25-26-000033"/>
        <s v="INV-25-26-000034"/>
        <s v="INV-25-26-000035"/>
        <s v="INV-25-26-000036"/>
        <s v="INV-25-26-000037"/>
        <s v="INV-25-26-000038"/>
        <s v="INV-25-26-000039"/>
        <s v="INV-25-26-000040"/>
        <s v="INV-25-26-000041"/>
        <s v="INV-25-26-000042"/>
        <s v="INV-25-26-000043"/>
        <s v="INV-25-26-000044"/>
        <s v="INV-25-26-000045"/>
        <s v="INV-25-26-000046"/>
        <s v="INV-25-26-000047"/>
        <s v="INV-25-26-000048"/>
        <s v="INV-25-26-000049"/>
        <s v="INV-25-26-000050"/>
        <s v="INV-25-26-000051"/>
        <s v="INV-25-26-000052"/>
        <s v="INV-25-26-000053"/>
        <s v="INV-25-26-000054"/>
        <s v="INV-25-26-000055"/>
        <s v="INV-25-26-000056"/>
        <s v="INV-25-26-000057"/>
        <s v="INV-25-26-000058"/>
        <s v="INV-25-26-000059"/>
        <s v="INV-25-26-000060"/>
        <s v="INV-25-26-000061"/>
        <s v="INV-25-26-000062"/>
        <s v="INV-25-26-000063"/>
        <s v="INV-25-26-000064"/>
        <s v="INV-25-26-000065"/>
        <s v="INV-25-26-000066"/>
        <s v="INV-25-26-000067"/>
        <s v="INV-25-26-000068"/>
        <s v="INV-25-26-000069"/>
        <s v="INV-25-26-000070"/>
        <s v="INV-25-26-000071"/>
        <s v="INV-25-26-000072"/>
        <s v="INV-25-26-000073"/>
        <s v="INV-25-26-000074"/>
        <s v="INV-25-26-000075"/>
        <s v="INV-25-26-000076"/>
        <s v="INV-25-26-000077"/>
        <s v="INV-25-26-000078"/>
        <s v="INV-25-26-000079"/>
        <s v="INV-25-26-000080"/>
        <s v="INV-25-26-000081"/>
        <s v="INV-25-26-000082"/>
        <s v="INV-25-26-000089"/>
        <s v="INV-25-26-000090"/>
        <s v="INV-25-26-000091"/>
        <s v="INV-25-26-000092"/>
        <s v="INV-25-26-000093"/>
        <s v="INV-25-26-000094"/>
        <s v="INV-25-26-000095"/>
        <s v="INV-25-26-000096"/>
        <s v="INV-25-26-000097"/>
        <s v="INV-25-26-000098"/>
        <s v="INV-25-26-000099"/>
        <s v="INV-25-26-000100"/>
        <s v="INV-25-26-000101"/>
        <s v="INV-25-26-000102"/>
        <s v="INV-25-26-000103"/>
        <s v="INV-25-26-000104"/>
        <s v="INV-25-26-000105"/>
        <s v="INV-25-26-000106"/>
        <s v="INV-25-26-000107"/>
        <s v="INV-25-26-000108"/>
        <s v="INV-25-26-000109"/>
        <s v="INV-25-26-000110"/>
        <s v="INV-25-26-000111"/>
        <s v="INV-25-26-000112"/>
        <s v="INV-25-26-000113"/>
        <s v="INV-25-26-000114"/>
        <s v="INV-25-26-000115"/>
        <s v="INV-25-26-000116"/>
        <s v="INV-25-26-000117"/>
        <s v="INV-25-26-000118"/>
        <s v="INV-25-26-000119"/>
        <s v="INV-25-26-000120"/>
        <s v="INV-25-26-000121"/>
        <s v="INV-25-26-000122"/>
        <s v="INV-25-26-000123"/>
        <s v="INV-25-26-000124"/>
        <s v="INV-25-26-000125"/>
        <s v="INV-25-26-000126"/>
        <s v="INV-25-26-000127"/>
        <s v="INV-25-26-000128"/>
        <s v="INV-25-26-000129"/>
        <s v="INV-25-26-000130"/>
        <s v="INV-25-26-000131"/>
        <s v="INV-25-26-000132"/>
        <s v="INV-25-26-000133"/>
        <s v="INV-25-26-000134"/>
        <s v="INV-25-26-000135"/>
        <s v="INV-25-26-000136"/>
        <s v="INV-25-26-000137"/>
        <s v="INV-25-26-000138"/>
        <s v="INV-25-26-000139"/>
        <s v="INV-25-26-000140"/>
        <s v="INV-25-26-000141"/>
        <s v="INV-25-26-000142"/>
        <s v="INV-25-26-000143"/>
        <s v="INV-25-26-000144"/>
        <s v="INV-25-26-000145"/>
        <s v="INV-25-26-000146"/>
        <s v="INV-25-26-000147"/>
        <s v="INV-25-26-000148"/>
        <s v="INV-25-26-000149"/>
        <s v="INV-25-26-000150"/>
        <s v="INV-25-26-000151"/>
        <s v="INV-25-26-000152"/>
        <s v="INV-25-26-000153"/>
        <s v="INV-25-26-000154"/>
        <s v="INV-25-26-000155"/>
        <s v="INV-25-26-000156"/>
        <s v="INV-25-26-000157"/>
        <s v="INV-25-26-000158"/>
        <s v="INV-25-26-000159"/>
        <s v="INV-25-26-000160"/>
        <s v="INV-25-26-000161"/>
        <s v="INV-25-26-000162"/>
        <s v="INV-25-26-000163"/>
        <s v="INV-25-26-000164"/>
        <s v="INV-25-26-000165"/>
        <s v="INV-25-26-000166"/>
        <s v="INV-25-26-000167"/>
        <s v="INV-25-26-000168"/>
        <s v="INV-25-26-000169"/>
        <s v="INV-25-26-000170"/>
        <s v="INV-25-26-000171"/>
        <s v="INV-25-26-000172"/>
        <s v="INV-25-26-000173"/>
        <s v="INV-25-26-000174"/>
        <s v="INV-25-26-000175"/>
        <s v="INV-25-26-000176"/>
        <s v="INV-25-26-000177"/>
        <s v="INV-25-26-000178"/>
        <s v="INV-25-26-000179"/>
        <s v="INV-25-26-000180"/>
        <s v="INV-25-26-000181"/>
        <s v="INV-25-26-000182"/>
        <s v="INV-25-26-000183"/>
        <s v="INV-25-26-000184"/>
        <s v="INV-25-26-000185"/>
        <s v="INV-25-26-000186"/>
        <s v="INV-25-26-000187"/>
        <s v="INV-25-26-000188"/>
        <s v="INV-25-26-000189"/>
        <s v="INV-25-26-000190"/>
        <s v="INV-25-26-000191"/>
        <s v="INV-25-26-000192"/>
        <s v="INV-25-26-000193"/>
        <s v="INV-25-26-000194"/>
        <s v="INV-25-26-000195"/>
        <s v="INV-25-26-000196"/>
        <s v="INV-25-26-000197"/>
        <s v="INV-25-26-000198"/>
        <s v="INV-25-26-000199"/>
        <s v="INV-25-26-000200"/>
        <s v="INV-25-26-000201"/>
        <s v="INV-25-26-000202"/>
        <s v="INV-25-26-000203"/>
        <s v="INV-25-26-000204"/>
        <s v="INV-25-26-000205"/>
        <s v="INV-25-26-000206"/>
        <s v="INV-25-26-000207"/>
        <s v="INV-25-26-000208"/>
        <s v="INV-25-26-000209"/>
        <s v="INV-25-26-000210"/>
        <s v="INV-25-26-000211"/>
        <s v="INV-25-26-000212"/>
        <s v="INV-25-26-000213"/>
        <s v="INV-25-26-000214"/>
        <s v="INV-25-26-000215"/>
        <s v="INV-25-26-000216"/>
        <s v="INV-25-26-000217"/>
        <s v="INV-25-26-000218"/>
        <s v="INV-25-26-000219"/>
        <s v="INV-25-26-000220"/>
        <s v="INV-25-26-000221"/>
        <s v="INV-25-26-000222"/>
        <s v="INV-25-26-000223"/>
        <s v="INV-25-26-000224"/>
        <s v="INV-25-26-000225"/>
        <s v="INV-25-26-000226"/>
        <s v="INV-25-26-000227"/>
        <s v="INV-25-26-000228"/>
        <s v="INV-25-26-000229"/>
        <s v="INV-25-26-000230"/>
        <s v="INV-25-26-000231"/>
        <s v="INV-25-26-000232"/>
        <s v="INV-25-26-000233"/>
        <s v="INV-25-26-000234"/>
        <s v="INV-25-26-000235"/>
        <s v="INV-25-26-000236"/>
        <s v="INV-25-26-000237"/>
        <s v="INV-25-26-000238"/>
        <s v="INV-25-26-000239"/>
        <s v="INV-25-26-000240"/>
        <s v="INV-25-26-000241"/>
        <s v="INV-25-26-000242"/>
        <s v="INV-25-26-000243"/>
        <s v="INV-25-26-000244"/>
        <s v="INV-25-26-000245"/>
        <s v="INV-25-26-000246"/>
        <s v="INV-25-26-000248"/>
        <s v="INV-25-26-000249"/>
        <s v="INV-25-26-000250"/>
        <s v="INV-25-26-000251"/>
        <s v="INV-25-26-000252"/>
        <s v="INV-25-26-000253"/>
        <s v="INV-25-26-000254"/>
        <s v="INV-25-26-000255"/>
        <s v="INV-25-26-000256"/>
        <s v="INV-25-26-000257"/>
        <s v="INV-25-26-000258"/>
        <s v="INV-25-26-000259"/>
        <s v="INV-25-26-000260"/>
        <s v="INV-25-26-000261"/>
        <s v="INV-25-26-000262"/>
        <s v="INV-25-26-000263"/>
        <s v="INV-25-26-000264"/>
        <s v="INV-25-26-000265"/>
        <s v="INV-25-26-000266"/>
        <s v="INV-25-26-000267"/>
        <s v="INV-25-26-000268"/>
        <s v="INV-25-26-000269"/>
        <s v="INV-25-26-000270"/>
        <s v="INV-25-26-000271"/>
        <s v="INV-25-26-000272"/>
        <s v="INV-25-26-000273"/>
        <s v="INV-25-26-000274"/>
        <s v="INV-25-26-000275"/>
        <s v="INV-25-26-000276"/>
        <s v="INV-25-26-000277"/>
        <s v="INV-25-26-000278"/>
        <s v="INV-25-26-000279"/>
        <s v="INV-25-26-000280"/>
        <s v="INV-25-26-000281"/>
        <s v="INV-25-26-000282"/>
        <s v="INV-25-26-000283"/>
        <s v="INV-25-26-000284"/>
        <s v="INV-25-26-000285"/>
        <s v="INV-25-26-000286"/>
        <s v="INV-25-26-000287"/>
        <s v="INV-25-26-000288"/>
        <s v="INV-25-26-000289"/>
        <s v="INV-25-26-000290"/>
        <s v="INV-25-26-000291"/>
        <s v="INV-25-26-000292"/>
        <s v="INV-25-26-000293"/>
        <s v="INV-25-26-000294"/>
        <s v="INV-25-26-000295"/>
        <s v="INV-25-26-000296"/>
        <s v="INV-25-26-000297"/>
        <s v="INV-25-26-000298"/>
        <s v="INV-25-26-000299"/>
        <s v="INV-25-26-000300"/>
        <s v="INV-25-26-000301"/>
        <s v="INV-25-26-000302"/>
        <s v="INV-25-26-000303"/>
        <s v="INV-25-26-000304"/>
        <s v="INV-25-26-000305"/>
        <s v="INV-25-26-000306"/>
        <s v="INV-25-26-000307"/>
        <s v="INV-25-26-000308"/>
        <s v="INV-25-26-000309"/>
        <s v="INV-25-26-000310"/>
        <s v="INV-25-26-000311"/>
        <s v="INV-25-26-000312"/>
        <s v="INV-25-26-000313"/>
        <s v="INV-25-26-000314"/>
        <s v="INV-25-26-000315"/>
        <s v="INV-25-26-000316"/>
        <s v="INV-25-26-000317"/>
        <s v="INV-25-26-000318"/>
        <s v="INV-25-26-000319"/>
        <s v="INV-25-26-000320"/>
        <s v="INV-25-26-000321"/>
        <s v="INV-25-26-000322"/>
        <s v="INV-25-26-000323"/>
        <s v="INV-25-26-000324"/>
        <s v="INV-25-26-000325"/>
        <s v="INV-25-26-000326"/>
        <s v="INV-25-26-000327"/>
        <s v="INV-25-26-000328"/>
        <s v="INV-25-26-000329"/>
        <s v="INV-25-26-000330"/>
        <s v="INV-25-26-000331"/>
        <s v="INV-25-26-000332"/>
        <s v="INV-25-26-000333"/>
        <s v="INV-25-26-000334"/>
        <s v="INV-25-26-000335"/>
        <s v="INV-25-26-000336"/>
        <s v="INV-25-26-000337"/>
        <s v="INV-25-26-000338"/>
        <s v="INV-25-26-000339"/>
        <s v="INV-25-26-000340"/>
        <s v="INV-25-26-000341"/>
        <s v="INV-25-26-000342"/>
        <s v="INV-25-26-000343"/>
        <s v="INV-25-26-000344"/>
        <s v="INV-25-26-000345"/>
        <s v="INV-25-26-000346"/>
        <s v="INV-25-26-000347"/>
        <s v="INV-25-26-000348"/>
        <s v="INV-25-26-000349"/>
        <s v="INV-25-26-000350"/>
        <s v="INV-25-26-000351"/>
        <s v="INV-25-26-000352"/>
        <s v="INV-25-26-000353"/>
        <s v="INV-25-26-000354"/>
        <s v="INV-25-26-000355"/>
        <s v="INV-25-26-000356"/>
        <s v="INV-25-26-000357"/>
        <s v="INV-25-26-000358"/>
        <s v="INV-25-26-000359"/>
        <s v="INV-25-26-000360"/>
        <s v="INV-25-26-000361"/>
        <s v="INV-25-26-000362"/>
        <s v="INV-25-26-000363"/>
        <s v="INV-25-26-000364"/>
        <s v="INV-25-26-000365"/>
        <s v="INV-25-26-000366"/>
        <s v="INV-25-26-000367"/>
        <s v="INV-25-26-000368"/>
        <s v="INV-25-26-000369"/>
        <s v="INV-25-26-000370"/>
        <s v="INV-25-26-000371"/>
        <s v="INV-25-26-000372"/>
        <s v="INV-25-26-000373"/>
        <s v="INV-25-26-000374"/>
        <s v="INV-25-26-000375"/>
        <s v="INV-25-26-000376"/>
        <s v="INV-25-26-000377"/>
        <s v="INV-25-26-000378"/>
        <s v="INV-25-26-000379"/>
        <s v="INV-25-26-000380"/>
        <s v="INV-25-26-000381"/>
        <s v="INV-25-26-000382"/>
        <s v="INV-25-26-000383"/>
        <s v="INV-25-26-000384"/>
        <s v="INV-25-26-000385"/>
        <s v="INV-25-26-000386"/>
        <s v="INV-25-26-000387"/>
        <s v="INV-25-26-000388"/>
        <s v="INV-25-26-000389"/>
        <s v="INV-25-26-000390"/>
        <s v="INV-25-26-000391"/>
        <s v="INV-25-26-000392"/>
        <s v="INV-25-26-000393"/>
        <s v="INV-25-26-000394"/>
        <s v="INV-25-26-000395"/>
        <s v="INV-25-26-000396"/>
        <s v="INV-25-26-000397"/>
        <s v="INV-25-26-000398"/>
        <s v="INV-25-26-000399"/>
        <s v="INV-25-26-000400"/>
        <s v="INV-25-26-000401"/>
        <s v="INV-25-26-000402"/>
        <s v="INV-25-26-000403"/>
        <s v="INV-25-26-000404"/>
        <s v="INV-25-26-000405"/>
        <s v="INV-25-26-000406"/>
        <s v="INV-25-26-000407"/>
        <s v="INV-25-26-000408"/>
        <s v="INV-25-26-000409"/>
        <s v="INV-25-26-000410"/>
        <s v="INV-25-26-000411"/>
        <s v="INV-25-26-000412"/>
        <s v="INV-25-26-000413"/>
        <s v="INV-25-26-000414"/>
        <s v="INV-25-26-000415"/>
        <s v="INV-25-26-000416"/>
        <s v="INV-25-26-000417"/>
        <s v="INV-25-26-000418"/>
        <s v="INV-25-26-000419"/>
        <s v="INV-25-26-000420"/>
        <s v="INV-25-26-000421"/>
        <s v="INV-25-26-000422"/>
        <s v="INV-25-26-000423"/>
        <s v="INV-25-26-000424"/>
        <s v="INV-25-26-000425"/>
        <s v="INV-25-26-000426"/>
        <s v="INV-25-26-000427"/>
        <s v="INV-25-26-000428"/>
        <s v="INV-25-26-000429"/>
        <s v="INV-25-26-000430"/>
        <s v="INV-25-26-000431"/>
        <s v="INV-25-26-000432"/>
        <s v="INV-25-26-000433"/>
        <s v="INV-25-26-000434"/>
        <s v="INV-25-26-000435"/>
        <s v="INV-25-26-000436"/>
        <s v="INV-25-26-000437"/>
        <s v="INV-25-26-000438"/>
        <s v="INV-25-26-000439"/>
        <s v="INV-25-26-000440"/>
        <s v="INV-25-26-000441"/>
        <s v="INV-25-26-000442"/>
        <s v="INV-25-26-000443"/>
        <s v="INV-25-26-000444"/>
        <s v="INV-25-26-000445"/>
        <s v="INV-25-26-000446"/>
        <s v="INV-25-26-000447"/>
        <s v="INV-25-26-000448"/>
        <s v="INV-25-26-000449"/>
        <s v="INV-25-26-000450"/>
        <s v="INV-25-26-000451"/>
        <s v="INV-25-26-000452"/>
        <s v="INV-25-26-000453"/>
        <s v="INV-25-26-000454"/>
        <s v="INV-25-26-000455"/>
        <s v="INV-25-26-000456"/>
        <s v="INV-25-26-000457"/>
        <s v="INV-25-26-000458"/>
        <s v="INV-25-26-000459"/>
        <s v="INV-25-26-000460"/>
        <s v="INV-25-26-000461"/>
        <s v="INV-25-26-000462"/>
        <s v="INV-25-26-000463"/>
        <s v="INV-25-26-000464"/>
        <s v="INV-25-26-000465"/>
        <s v="INV-25-26-000466"/>
        <s v="INV-25-26-000467"/>
        <s v="INV-25-26-000468"/>
        <s v="INV-25-26-000469"/>
        <s v="INV-25-26-000470"/>
        <s v="INV-25-26-000471"/>
        <s v="INV-25-26-000472"/>
        <s v="INV-25-26-000473"/>
        <s v="INV-25-26-000474"/>
        <s v="INV-25-26-000475"/>
        <s v="INV-25-26-000476"/>
        <s v="INV-25-26-000477"/>
        <s v="INV-25-26-000478"/>
        <s v="INV-25-26-000479"/>
        <s v="INV-25-26-000480"/>
        <s v="INV-25-26-000481"/>
        <s v="INV-25-26-000482"/>
        <s v="INV-25-26-000483"/>
        <s v="INV-25-26-000484"/>
        <s v="INV-25-26-000485"/>
        <s v="INV-25-26-000486"/>
        <s v="INV-25-26-000487"/>
        <s v="INV-25-26-000488"/>
        <s v="INV-25-26-000489"/>
        <s v="INV-25-26-000490"/>
        <s v="INV-25-26-000491"/>
        <s v="INV-25-26-000492"/>
        <s v="INV-25-26-000493"/>
        <s v="INV-25-26-000494"/>
        <s v="INV-25-26-000495"/>
        <s v="INV-25-26-000496"/>
        <s v="INV-25-26-000497"/>
        <s v="INV-25-26-000498"/>
        <s v="INV-25-26-000499"/>
        <s v="INV-25-26-000500"/>
        <s v="INV-25-26-000501"/>
        <s v="INV-25-26-000502"/>
        <s v="INV-25-26-000503"/>
        <s v="INV-25-26-000504"/>
        <s v="INV-25-26-000505"/>
        <s v="INV-25-26-000506"/>
        <s v="INV-25-26-000507"/>
        <s v="INV-25-26-000508"/>
        <s v="INV-25-26-000509"/>
        <s v="INV-25-26-000510"/>
        <s v="INV-25-26-000511"/>
        <s v="INV-25-26-000512"/>
        <s v="INV-25-26-000513"/>
        <s v="INV-25-26-000514"/>
        <s v="INV-25-26-000515"/>
        <s v="INV-25-26-000516"/>
        <s v="INV-25-26-000517"/>
        <s v="INV-25-26-000518"/>
        <s v="INV-25-26-000519"/>
        <s v="INV-25-26-000520"/>
        <s v="INV-25-26-000521"/>
        <s v="INV-25-26-000522"/>
        <s v="INV-25-26-000523"/>
        <s v="INV-25-26-000524"/>
        <s v="INV-25-26-000525"/>
        <s v="INV-25-26-000526"/>
        <s v="INV-25-26-000528"/>
        <s v="INV-25-26-000529"/>
        <s v="INV-25-26-000530"/>
        <s v="INV-25-26-000531"/>
        <s v="INV-25-26-000532"/>
        <s v="INV-25-26-000533"/>
        <s v="INV-25-26-000534"/>
        <s v="INV-25-26-000535"/>
        <s v="INV-25-26-000536"/>
        <s v="INV-25-26-000537"/>
        <s v="INV-25-26-000538"/>
        <s v="INV-25-26-000539"/>
        <s v="INV-25-26-000540"/>
        <s v="INV-25-26-000541"/>
        <s v="INV-25-26-000542"/>
        <s v="INV-25-26-000543"/>
        <s v="INV-25-26-000544"/>
        <s v="INV-25-26-000545"/>
        <s v="INV-25-26-000546"/>
        <s v="INV-25-26-000547"/>
        <s v="INV-25-26-000548"/>
        <s v="INV-25-26-000549"/>
        <s v="INV-25-26-000550"/>
        <s v="INV-25-26-000551"/>
        <s v="INV-25-26-000552"/>
        <s v="INV-25-26-000553"/>
        <s v="INV-25-26-000554"/>
        <s v="INV-25-26-000555"/>
        <s v="INV-25-26-000556"/>
        <s v="INV-25-26-000557"/>
        <s v="INV-25-26-000558"/>
        <s v="INV-25-26-000559"/>
        <s v="INV-25-26-000560"/>
        <s v="INV-25-26-000561"/>
        <s v="INV-25-26-000562"/>
        <s v="INV-25-26-000563"/>
        <s v="INV-25-26-000564"/>
        <s v="INV-25-26-000565"/>
        <s v="INV-25-26-000566"/>
        <s v="INV-25-26-000567"/>
        <s v="INV-25-26-000568"/>
        <s v="INV-25-26-000569"/>
        <s v="INV-25-26-000570"/>
        <s v="INV-25-26-000571"/>
        <s v="INV-25-26-000572"/>
        <s v="INV-25-26-000573"/>
        <s v="INV-25-26-000574"/>
        <s v="INV-25-26-000575"/>
        <s v="INV-25-26-000576"/>
        <s v="INV-25-26-000577"/>
        <m/>
      </sharedItems>
    </cacheField>
    <cacheField name="Invoice Status" numFmtId="0">
      <sharedItems containsBlank="1" count="3">
        <s v="Closed"/>
        <s v="Overdue"/>
        <m/>
      </sharedItems>
    </cacheField>
    <cacheField name="Customer Name" numFmtId="0">
      <sharedItems containsBlank="1" count="361">
        <s v="Aakash Sharma"/>
        <s v="Aanchal Basur"/>
        <s v="Aarna Law LLP"/>
        <s v="Abel Tom Benny // Thomas and Thomas Advocates"/>
        <s v="Abhimanyu Garg / Methodica Legal"/>
        <s v="Acuity Law LLP"/>
        <s v="Adarsh Ramakrishnan"/>
        <s v="Aditya Narayan Mahajan"/>
        <s v="Aditya S Puar"/>
        <s v="Aditya Sikka / Tvashta Law"/>
        <s v="Advocate Rohit Jaiswal"/>
        <s v="Agama Law Associates"/>
        <s v="Agraa Legal"/>
        <s v="Ahan Gadkari"/>
        <s v="AHUJA VALECHA &amp; ASSOCIATES LLP"/>
        <s v="Ajinkya Kurdukar"/>
        <s v="AJNM LAW INDIA LLP"/>
        <s v="Akkash Bhadana"/>
        <s v="Akriti Chaubey"/>
        <s v="AKS Advocates"/>
        <s v="AKS LAW ASSOCIATES"/>
        <s v="Akshat Vachher"/>
        <s v="AL- Fanar Closed Joint Stock Company"/>
        <s v="Alankrit Bajpai"/>
        <s v="Amicus Lex &amp; Associates"/>
        <s v="Amit Bhagat"/>
        <s v="Amrit Grewal"/>
        <s v="Amrita Panda / Chambers of Amrita Panda"/>
        <s v="Amrut Joshi"/>
        <s v="AMS Legal"/>
        <s v="Anand and Anand"/>
        <s v="ANG Partners"/>
        <s v="Anirban Bhattacharya"/>
        <s v="Ankit Talsania"/>
        <s v="Ankita Sharma"/>
        <s v="Ankur Mahindro"/>
        <s v="ANM Global Inc"/>
        <s v="Anush Raajan"/>
        <s v="AP &amp; Partners Advocates"/>
        <s v="AP &amp; Partners, Advocates"/>
        <s v="Apoorv Kurup"/>
        <s v="Aquilaw"/>
        <s v="Aravindakshan Nair"/>
        <s v="Argus Partners"/>
        <s v="Arpit Gupta"/>
        <s v="Arun Kumar P"/>
        <s v="Arvind Menon"/>
        <s v="Asahi Legal LLP"/>
        <s v="ASREC India Ltd"/>
        <s v="Astik Vaid"/>
        <s v="ASV Legal LLP"/>
        <s v="Athena Legal"/>
        <s v="Aurtus Consulting LLP"/>
        <s v="B2C"/>
        <s v="Badar Durrez"/>
        <s v="Balbir Singh"/>
        <s v="Bathiya Legal"/>
        <s v="Bharat Chugh"/>
        <s v="Bimal Rajasekhar"/>
        <s v="Birendra Saraf"/>
        <s v="Bishwajit Dubey"/>
        <s v="Brijesh Oberoi"/>
        <s v="Burgeon Law LLP"/>
        <s v="C&amp;S Partners"/>
        <s v="Centre for Law and Policy Research Trust"/>
        <s v="Chambers of Aman Vachher"/>
        <s v="Chambers of Justice Mohit S Shah (Retd.) Former Chief Justice of Bombay and Calcutta High Courts"/>
        <s v="Chambers of Moazzam Khan"/>
        <s v="Chambers of Ninad Laud"/>
        <s v="Chambers of Pujari"/>
        <s v="Chavi V Jain"/>
        <s v="Chetan Dedhia"/>
        <s v="Chetan shah"/>
        <s v="Chirag shah, Advocate"/>
        <s v="Clavius Legal"/>
        <s v="Consera Legal LLP"/>
        <s v="Darius J. Khambata"/>
        <s v="Darshit Jain"/>
        <s v="Daswani &amp; Daswani"/>
        <s v="Debopriyo Moulik"/>
        <s v="Deep Cover Law- Chirag Narasimiah"/>
        <s v="Devina Sehgal"/>
        <s v="Dewani Associates"/>
        <s v="Dharma Law Partners"/>
        <s v="Dhru &amp; Co"/>
        <s v="Dhruve Liladhar &amp; Co"/>
        <s v="Dileep Poolakkot"/>
        <s v="Dipankar Majumdar"/>
        <s v="Divyanshu Rai"/>
        <s v="Diwan Law Associates"/>
        <s v="Diya Kapur"/>
        <s v="Dr Sanjay Jain"/>
        <s v="DSK Legal"/>
        <s v="Dua Associates"/>
        <s v="Ecclesia Advocates and Solicitors"/>
        <s v="Elixir Legal Services"/>
        <s v="Eternity Legal"/>
        <s v="Farhan Dubash"/>
        <s v="Federal &amp; Company"/>
        <s v="Feroze Patel"/>
        <s v="Foresight Law Offices"/>
        <s v="Ganesh &amp; Co."/>
        <s v="Gaurav Gupta"/>
        <s v="Gaurav Joshi"/>
        <s v="Gaurav Mehta"/>
        <s v="Gaurav Ray, Advocate on Record"/>
        <s v="Gauri Puri"/>
        <s v="GC Legal"/>
        <s v="Gera Developments Pvt. Ltd."/>
        <s v="Giriraj Subramanium"/>
        <s v="GM Legal"/>
        <s v="Gourab Banerji"/>
        <s v="Gourab Banreji"/>
        <s v="Gunjan Mangla"/>
        <s v="Gupta Law Associates"/>
        <s v="Hammurabi &amp; Solomon Partner"/>
        <s v="Hamsaanandini Nanduri"/>
        <s v="Hamza mir"/>
        <s v="Harshit Malik"/>
        <s v="Hiren Kamod"/>
        <s v="IC Legal"/>
        <s v="ICL CORPORATE ADVISORY PRIVATE LIMITED"/>
        <s v="Incanus Technologies Private Limited"/>
        <s v="IndusLaw"/>
        <s v="IndusLaw-ISD"/>
        <s v="Innovatus Law"/>
        <s v="IRIS LEGAL"/>
        <s v="Ish Jain / Regius Partners LLP"/>
        <s v="J INFRATECH LIMITED"/>
        <s v="J.R. LADDHA FINANCIAL SERVICES PRIVATE LIMITED"/>
        <s v="Jade Lex Partners"/>
        <s v="Jain and Talukdar"/>
        <s v="Jaiveer Shergil"/>
        <s v="Jani &amp; Parikh, Advocates and Solicitors"/>
        <s v="Jayakar and Partners"/>
        <s v="Jayant Mehta"/>
        <s v="Jehangir Jeejeebhoy"/>
        <s v="Jehangir Jejeebhoy"/>
        <s v="Jennifer Michael"/>
        <s v="Joy Baxi &amp; Associates"/>
        <s v="JSM Law Partners"/>
        <s v="Justice (Retd.) AK Sikri"/>
        <s v="Justice (Retd.) Kurian Joseph"/>
        <s v="Justice Ravindra Bhat"/>
        <s v="JYOT-A Public Trust"/>
        <s v="K R Prasad Advocates"/>
        <s v="Kachwaha &amp; Partners"/>
        <s v="Kaizen Law"/>
        <s v="Kajol Punjabi"/>
        <s v="Kamaljeet Singh"/>
        <s v="Kanungo &amp; Co."/>
        <s v="Karan Butalia"/>
        <s v="Karanjawala &amp; Company Advocates"/>
        <s v="Karthik Sundar"/>
        <s v="KATARIYA CONSULTANCY INDIA LLP"/>
        <s v="Kazan Shroff"/>
        <s v="Kevic Setalvad"/>
        <s v="Keystone Partners Advocates &amp; Solicitors"/>
        <s v="Khaitan Legal Asscoiates"/>
        <s v="Khaitan Legal Associates"/>
        <s v="KINJAL CIVILCON LLP"/>
        <s v="KK &amp; Co"/>
        <s v="Kochhar &amp; Co."/>
        <s v="Krati Gupta"/>
        <s v="KRISH HOMES"/>
        <s v="Krishna Dev Jagarlamudi"/>
        <s v="Krishnan Venugopal"/>
        <s v="KUAJ LEGAL"/>
        <s v="Kunal Kunango"/>
        <s v="Kunal Vaishnav"/>
        <s v="Kushagra Shah"/>
        <s v="Laksha Kalappa B"/>
        <s v="Law office of Amrita Sarkar"/>
        <s v="LegaLogic Consulting"/>
        <s v="LEGALOGIC CONSULTING LLP"/>
        <s v="Lighthouse Legal"/>
        <s v="Lzafeer Ahmad B F"/>
        <s v="Mahadeshwara. D"/>
        <s v="Mahek Bookwala"/>
        <s v="Major Nirvikar Singh (Retd.)"/>
        <s v="Malak Bhatt"/>
        <s v="Manaswi Agrawal"/>
        <s v="Manini Brar"/>
        <s v="Manish kelker"/>
        <s v="Manjari Shah"/>
        <s v="MD&amp;T Partners"/>
        <s v="MDP Legal"/>
        <s v="MEESHO LIMITED"/>
        <s v="Megha Chandra"/>
        <s v="Meghav Gupta"/>
        <s v="Meghna Talwar"/>
        <s v="MG Ramachandran"/>
        <s v="Miglani Varma &amp; Co."/>
        <s v="Mihir Desai"/>
        <s v="Mohammed Moin"/>
        <s v="Monalisa Kosaria"/>
        <s v="Mukul Sharma and Company"/>
        <s v="Mustafa S. Doctor"/>
        <s v="MV Law Partners"/>
        <s v="MZM Legal LLP"/>
        <s v="Narottam  Sharma"/>
        <s v="Naushad Engineer"/>
        <s v="Nayana Tara BG"/>
        <s v="NC Legal"/>
        <s v="Neeta Jain"/>
        <s v="NIKHIL DEELIP P"/>
        <s v="Nikhil Pai"/>
        <s v="NINE PILLARS INFRATECH LLP"/>
        <s v="Nitish Raj"/>
        <s v="NKR Law Offices"/>
        <s v="Nora Legal Consultants LLP"/>
        <s v="Nyayosh Bharucha"/>
        <s v="OASIS REALTY"/>
        <s v="Office of ASG (N. Venkatraman)"/>
        <s v="Optimus Legal"/>
        <s v="Parakram Legal"/>
        <s v="Parekh Legal Proprieter Ami Parekh"/>
        <s v="Parinam Law Associates"/>
        <s v="Parul Sharma"/>
        <s v="Philips India Limited"/>
        <s v="Phoenix Legal"/>
        <s v="Pioneer Legal"/>
        <s v="Piyush Raheja"/>
        <s v="Poovayya &amp; CO"/>
        <s v="Pradeep Sancheti"/>
        <s v="Pragati Law Chambers"/>
        <s v="Pramit Mohanty"/>
        <s v="Pranav Badheka"/>
        <s v="Pranay Chitale"/>
        <s v="Prantar"/>
        <s v="Pratap Venugopal, Senior Advocate"/>
        <s v="Prateek Rath"/>
        <s v="Pratik Patnaik"/>
        <s v="Pravah Law"/>
        <s v="Precinct Legal"/>
        <s v="Prerit Goyal"/>
        <s v="Priyanshi Kholia"/>
        <s v="Prompt Legal"/>
        <s v="PSN Legal Advocates and Legal Consultants"/>
        <s v="PSP Legal"/>
        <s v="Puneet Rathsharma"/>
        <s v="R. Ginodia &amp; Co. LLP"/>
        <s v="R. Vishnu Kumar Advocate"/>
        <s v="R. Vishnu Kumar, Advocate"/>
        <s v="Rahul Saboo, Advocate"/>
        <s v="RAJANI ASSOCIATES"/>
        <s v="Rajdeep Panda"/>
        <s v="Rajeev K. Virmani"/>
        <s v="Rashmikant and Partners"/>
        <s v="Ratan Kumar Singh"/>
        <s v="Reliance Corporate Advisors (R)"/>
        <s v="REMFRY &amp; SAGAR CONSULTANT PVT LTD"/>
        <s v="RHP Partners"/>
        <s v="Rithin Rai"/>
        <s v="Rohan Shah"/>
        <s v="Rohan Talwar"/>
        <s v="Rohit Gupta"/>
        <s v="Rohit Sharma"/>
        <s v="Roshan Santhalia"/>
        <s v="RPV LEGAL"/>
        <s v="RRG &amp; Associates"/>
        <s v="RUNWAL ENTERPRISES LIMITED"/>
        <s v="S Arjun Suresh"/>
        <s v="S C Sharada &amp; Associates| Company Secretaries"/>
        <s v="S Priya"/>
        <s v="SACH &amp; THARAAS ADVOCATES"/>
        <s v="SAGA LEGAL"/>
        <s v="Sagar Ghogre"/>
        <s v="Sagar Sheth"/>
        <s v="Sahil Singh"/>
        <s v="Sajal Awasthi"/>
        <s v="Sajan Poovayya"/>
        <s v="Samar Bansal"/>
        <s v="Samya Law Chambers"/>
        <s v="Sandip Agarwal and Co."/>
        <s v="Sanjay Udeshi &amp; Co"/>
        <s v="Santosh"/>
        <s v="Saqeb Mahbub"/>
        <s v="Saraf and Partners"/>
        <s v="Sarthak Advocates &amp; Solicitors"/>
        <s v="Sarvottam Law Offices"/>
        <s v="Saswat Mohanty"/>
        <s v="Saurabh Prakash"/>
        <s v="Shamik Sanjanwala"/>
        <s v="Shashwat Bajpai"/>
        <s v="Shiraz Rustomjee"/>
        <s v="Shobit Phutela"/>
        <s v="Shreeyash Lalit"/>
        <s v="Shrey Lodha"/>
        <s v="Shreya Desai"/>
        <s v="Shri Venkatesh SKV law offices"/>
        <s v="Shyam Kapadia"/>
        <s v="Siddhant Makkar"/>
        <s v="Singularity Legal LLP"/>
        <s v="SINHA &amp; COMPANY"/>
        <s v="Sir Sobha Singh &amp; Sons Pvt Ltd"/>
        <s v="SK Singhi and Partners"/>
        <s v="SKR &amp; associates"/>
        <s v="Sneha Phene"/>
        <s v="Solaris Legal"/>
        <s v="Solicitors India Law Offices"/>
        <s v="SomÂ Sinha &amp; Associates"/>
        <s v="Sourish Roy"/>
        <s v="Spark Legal"/>
        <s v="SRCO Legal / Salvador Raghav &amp; Co."/>
        <s v="Srivastava &amp; Company"/>
        <s v="Stride Legal"/>
        <s v="Sudhanshu Kumar"/>
        <s v="Sundeep Karnik"/>
        <s v="Surel Shah"/>
        <s v="Svarniti Law Offices"/>
        <s v="Swapna Sheshadri"/>
        <s v="Swapnil Wagh"/>
        <s v="Talha Abdul Rahman"/>
        <s v="Tarun G Reddy"/>
        <s v="Tatva Legal Hyderabad"/>
        <s v="Tejas Bhide"/>
        <s v="Tejeshwar Singh"/>
        <s v="The Guild | Advocates &amp; Associate Counsel"/>
        <s v="Tipping Mr Pink Private Limited"/>
        <s v="TLH, Advocates &amp; Solicitors"/>
        <s v="Touchstone Partners"/>
        <s v="TREELIFE VENTURES SERVICES PRIVATE LIMITED"/>
        <s v="TRILOK POWER AND CABLES PRIVATE LIMITED"/>
        <s v="Trust Law Advocate &amp; Solicitors"/>
        <s v="Tuli &amp; Co."/>
        <s v="Tushar Jarwal"/>
        <s v="Tvashta Law"/>
        <s v="U. S. GANDHI &amp; CO."/>
        <s v="Udai V. S. Rathore"/>
        <s v="Udyam Law Practice"/>
        <s v="Ujjwal Sharma"/>
        <s v="Utkarsh Joshi"/>
        <s v="VACUITAS COUNSELLOR LLP"/>
        <s v="Vaish Associates"/>
        <s v="Vardharma Chambers"/>
        <s v="Venkatesh Dhond"/>
        <s v="Venkatesh Mohanraj"/>
        <s v="Veritas Legal Advocates and Solicitors"/>
        <s v="Vesta Legal"/>
        <s v="Vidhii Partners"/>
        <s v="Vidhittas Legal"/>
        <s v="Vijay Manjreka"/>
        <s v="Vikas Mehta"/>
        <s v="Vinayak Sharma"/>
        <s v="Virmani &amp; Virmani"/>
        <s v="Vis Legis Law Practice"/>
        <s v="Vishal Kanade"/>
        <s v="Vivek Anand Anthony Britto"/>
        <s v="Vrinda Taneja"/>
        <s v="Vritti Law Partners"/>
        <s v="Vutts &amp; AssociatesÂ LLP"/>
        <s v="Vyom Shah"/>
        <s v="Wadia Ghandy &amp; Co."/>
        <s v="Yakshay Chheda"/>
        <s v="Yash Momaya"/>
        <s v="ZEUS Law Associates"/>
        <s v="Zoheb Hossain"/>
        <s v="Zubin Behramkamdin"/>
        <s v="Zulfiqar Jariwala"/>
        <m/>
      </sharedItems>
    </cacheField>
    <cacheField name="Taxable Value" numFmtId="0">
      <sharedItems containsString="0" containsBlank="1" containsNumber="1" minValue="-209576" maxValue="2592000" count="289">
        <n v="-209576"/>
        <n v="-129600"/>
        <n v="-92540"/>
        <n v="-84000"/>
        <n v="-25000"/>
        <n v="-22881"/>
        <n v="-21600"/>
        <n v="-20000"/>
        <n v="-15000"/>
        <n v="-10000"/>
        <n v="-5833.9"/>
        <n v="-5516"/>
        <n v="-5000"/>
        <n v="-1400"/>
        <n v="1"/>
        <n v="200"/>
        <n v="422.88"/>
        <n v="423"/>
        <n v="796"/>
        <n v="842"/>
        <n v="846"/>
        <n v="850"/>
        <n v="1264"/>
        <n v="1295"/>
        <n v="1394"/>
        <n v="1489"/>
        <n v="1493"/>
        <n v="1675"/>
        <n v="1684"/>
        <n v="1685"/>
        <n v="1691"/>
        <n v="1889"/>
        <n v="2000"/>
        <n v="2095"/>
        <n v="2106"/>
        <n v="2114"/>
        <n v="2114.4"/>
        <n v="2117.8"/>
        <n v="2118"/>
        <n v="2293"/>
        <n v="2392"/>
        <n v="2447"/>
        <n v="2491"/>
        <n v="2499"/>
        <n v="2500"/>
        <n v="2537"/>
        <n v="2541"/>
        <n v="2586"/>
        <n v="2708"/>
        <n v="2964"/>
        <n v="3000"/>
        <n v="3039"/>
        <n v="3378"/>
        <n v="3379"/>
        <n v="3386"/>
        <n v="3388.98"/>
        <n v="3389"/>
        <n v="3389.83"/>
        <n v="3687"/>
        <n v="3786"/>
        <n v="3999"/>
        <n v="4000"/>
        <n v="4237"/>
        <n v="4237.29"/>
        <n v="4487"/>
        <n v="4500"/>
        <n v="4652"/>
        <n v="4990"/>
        <n v="4999"/>
        <n v="5000"/>
        <n v="5084.75"/>
        <n v="5085"/>
        <n v="5481"/>
        <n v="5497"/>
        <n v="5501"/>
        <n v="5683"/>
        <n v="6000"/>
        <n v="6250"/>
        <n v="6347"/>
        <n v="6692"/>
        <n v="6753"/>
        <n v="6772.88"/>
        <n v="6773"/>
        <n v="6779.66"/>
        <n v="6780"/>
        <n v="7000"/>
        <n v="7199"/>
        <n v="7199.16"/>
        <n v="7374"/>
        <n v="7473"/>
        <n v="7500"/>
        <n v="7846"/>
        <n v="8000"/>
        <n v="8474.58"/>
        <n v="8475"/>
        <n v="8657"/>
        <n v="8729"/>
        <n v="9000"/>
        <n v="9069"/>
        <n v="9164"/>
        <n v="9267"/>
        <n v="9739.84"/>
        <n v="9999"/>
        <n v="10000"/>
        <n v="10970.69"/>
        <n v="11032"/>
        <n v="11032.26"/>
        <n v="11086.47"/>
        <n v="11400"/>
        <n v="11431"/>
        <n v="12000"/>
        <n v="12277"/>
        <n v="12500"/>
        <n v="12712"/>
        <n v="13000"/>
        <n v="13200"/>
        <n v="14000"/>
        <n v="15000"/>
        <n v="16000"/>
        <n v="16200"/>
        <n v="16258.06"/>
        <n v="16336"/>
        <n v="16949"/>
        <n v="16949.15"/>
        <n v="16950"/>
        <n v="17500"/>
        <n v="17781"/>
        <n v="17781.4"/>
        <n v="18000"/>
        <n v="19068"/>
        <n v="19236"/>
        <n v="19330"/>
        <n v="20000"/>
        <n v="21000"/>
        <n v="21186.44"/>
        <n v="21600"/>
        <n v="22034"/>
        <n v="22881"/>
        <n v="24000"/>
        <n v="25000"/>
        <n v="25423.73"/>
        <n v="25424"/>
        <n v="26193.55"/>
        <n v="27000"/>
        <n v="27119"/>
        <n v="28000"/>
        <n v="29166.1"/>
        <n v="29661"/>
        <n v="29661.02"/>
        <n v="30000"/>
        <n v="31144"/>
        <n v="31271.19"/>
        <n v="31500"/>
        <n v="32000"/>
        <n v="32500"/>
        <n v="33864"/>
        <n v="33898"/>
        <n v="33898.4"/>
        <n v="35000"/>
        <n v="35003"/>
        <n v="35313.85"/>
        <n v="36000"/>
        <n v="36450"/>
        <n v="36900"/>
        <n v="37500"/>
        <n v="37800"/>
        <n v="38000"/>
        <n v="40000"/>
        <n v="40500"/>
        <n v="40668"/>
        <n v="42372.88"/>
        <n v="42373"/>
        <n v="42500"/>
        <n v="44068"/>
        <n v="44916"/>
        <n v="45000"/>
        <n v="45762.71"/>
        <n v="45763"/>
        <n v="49998"/>
        <n v="50000"/>
        <n v="50847.46"/>
        <n v="54000"/>
        <n v="55000"/>
        <n v="55085"/>
        <n v="56000"/>
        <n v="59322"/>
        <n v="59322.03"/>
        <n v="59500"/>
        <n v="60000"/>
        <n v="60004"/>
        <n v="60169.49"/>
        <n v="63000"/>
        <n v="63559"/>
        <n v="64800"/>
        <n v="67000"/>
        <n v="67500"/>
        <n v="67796.61"/>
        <n v="67797"/>
        <n v="68000"/>
        <n v="69281"/>
        <n v="69492"/>
        <n v="70000"/>
        <n v="72033.9"/>
        <n v="75000"/>
        <n v="76271"/>
        <n v="80000"/>
        <n v="80400"/>
        <n v="81000"/>
        <n v="84000"/>
        <n v="85000"/>
        <n v="85500"/>
        <n v="86987"/>
        <n v="90000"/>
        <n v="91525"/>
        <n v="92540"/>
        <n v="96522"/>
        <n v="99000"/>
        <n v="100000"/>
        <n v="100002"/>
        <n v="103500"/>
        <n v="108000"/>
        <n v="110169"/>
        <n v="110169.5"/>
        <n v="118750"/>
        <n v="120000"/>
        <n v="122034"/>
        <n v="124200"/>
        <n v="126000"/>
        <n v="129600"/>
        <n v="133650"/>
        <n v="137288"/>
        <n v="138000"/>
        <n v="140000"/>
        <n v="142373"/>
        <n v="144000"/>
        <n v="146994"/>
        <n v="148305"/>
        <n v="150000"/>
        <n v="150012"/>
        <n v="150720"/>
        <n v="151200"/>
        <n v="152000"/>
        <n v="153116.13"/>
        <n v="160000"/>
        <n v="161017"/>
        <n v="162000"/>
        <n v="169491.53"/>
        <n v="171000"/>
        <n v="172800"/>
        <n v="180000"/>
        <n v="184593"/>
        <n v="195000"/>
        <n v="202500"/>
        <n v="205000"/>
        <n v="209576"/>
        <n v="211864.41"/>
        <n v="216000"/>
        <n v="240000"/>
        <n v="255000"/>
        <n v="259207"/>
        <n v="270000"/>
        <n v="299988"/>
        <n v="300000"/>
        <n v="302400"/>
        <n v="315000"/>
        <n v="343328"/>
        <n v="360819"/>
        <n v="405000"/>
        <n v="407440.8"/>
        <n v="415254.24"/>
        <n v="420000"/>
        <n v="486000"/>
        <n v="493220"/>
        <n v="538909"/>
        <n v="600000"/>
        <n v="720000"/>
        <n v="729000"/>
        <n v="826200"/>
        <n v="831384"/>
        <n v="993600"/>
        <n v="1008000"/>
        <n v="1015200"/>
        <n v="1050000"/>
        <n v="1101600"/>
        <n v="1263600"/>
        <n v="1266000"/>
        <n v="1458000"/>
        <n v="2592000"/>
        <m/>
      </sharedItems>
    </cacheField>
    <cacheField name="Total Tax" numFmtId="0">
      <sharedItems containsString="0" containsBlank="1" containsNumber="1" minValue="-37723.68" maxValue="466560" count="249">
        <n v="-37723.68"/>
        <n v="-23328"/>
        <n v="-16657.2"/>
        <n v="-15120"/>
        <n v="-4500"/>
        <n v="-4119"/>
        <n v="-3888"/>
        <n v="-3600"/>
        <n v="-2700"/>
        <n v="-1800"/>
        <n v="-1050.102"/>
        <n v="-993"/>
        <n v="-900"/>
        <n v="-252"/>
        <n v="0"/>
        <n v="36"/>
        <n v="76"/>
        <n v="76.1184"/>
        <n v="152"/>
        <n v="154"/>
        <n v="228"/>
        <n v="302"/>
        <n v="304"/>
        <n v="360"/>
        <n v="380"/>
        <n v="380.592"/>
        <n v="381"/>
        <n v="381.204"/>
        <n v="382"/>
        <n v="440"/>
        <n v="450"/>
        <n v="456"/>
        <n v="458"/>
        <n v="487.44"/>
        <n v="533"/>
        <n v="534"/>
        <n v="540"/>
        <n v="548"/>
        <n v="608"/>
        <n v="610"/>
        <n v="610.0164"/>
        <n v="610.1694"/>
        <n v="720"/>
        <n v="762"/>
        <n v="762.7122"/>
        <n v="763"/>
        <n v="810"/>
        <n v="838"/>
        <n v="900"/>
        <n v="915"/>
        <n v="915.255"/>
        <n v="990"/>
        <n v="1080"/>
        <n v="1125"/>
        <n v="1142"/>
        <n v="1204"/>
        <n v="1216"/>
        <n v="1219.1184"/>
        <n v="1220"/>
        <n v="1220.3388"/>
        <n v="1260"/>
        <n v="1295.8488"/>
        <n v="1296"/>
        <n v="1350"/>
        <n v="1412"/>
        <n v="1440"/>
        <n v="1525"/>
        <n v="1525.4244"/>
        <n v="1526"/>
        <n v="1571"/>
        <n v="1571.22"/>
        <n v="1620"/>
        <n v="1753.1712"/>
        <n v="1800"/>
        <n v="1974.7242"/>
        <n v="1985.8068"/>
        <n v="1986"/>
        <n v="1995.5646"/>
        <n v="2052"/>
        <n v="2058"/>
        <n v="2160"/>
        <n v="2210"/>
        <n v="2250"/>
        <n v="2288"/>
        <n v="2340"/>
        <n v="2376"/>
        <n v="2520"/>
        <n v="2700"/>
        <n v="2880"/>
        <n v="2916"/>
        <n v="2926.4508"/>
        <n v="3050.847"/>
        <n v="3051"/>
        <n v="3150"/>
        <n v="3200"/>
        <n v="3200.652"/>
        <n v="3240"/>
        <n v="3432"/>
        <n v="3462"/>
        <n v="3600"/>
        <n v="3780"/>
        <n v="3813.5592"/>
        <n v="3888"/>
        <n v="3966"/>
        <n v="4119"/>
        <n v="4320"/>
        <n v="4500"/>
        <n v="4576"/>
        <n v="4576.2714"/>
        <n v="4714.839"/>
        <n v="4860"/>
        <n v="4881"/>
        <n v="5040"/>
        <n v="5249.898"/>
        <n v="5338.9836"/>
        <n v="5339"/>
        <n v="5400"/>
        <n v="5606"/>
        <n v="5628.8142"/>
        <n v="5670"/>
        <n v="5760"/>
        <n v="5850"/>
        <n v="6096"/>
        <n v="6101.712"/>
        <n v="6102"/>
        <n v="6300"/>
        <n v="6301"/>
        <n v="6356.493"/>
        <n v="6480"/>
        <n v="6561"/>
        <n v="6750"/>
        <n v="6804"/>
        <n v="6840"/>
        <n v="7200"/>
        <n v="7290"/>
        <n v="7320"/>
        <n v="7627"/>
        <n v="7627.1184"/>
        <n v="7650"/>
        <n v="7932"/>
        <n v="8085"/>
        <n v="8100"/>
        <n v="8237"/>
        <n v="8237.2878"/>
        <n v="9000"/>
        <n v="9152.5428"/>
        <n v="9720"/>
        <n v="9900"/>
        <n v="9915"/>
        <n v="10080"/>
        <n v="10677.9654"/>
        <n v="10678"/>
        <n v="10710"/>
        <n v="10800"/>
        <n v="10801"/>
        <n v="10830.5082"/>
        <n v="11340"/>
        <n v="11441"/>
        <n v="11664"/>
        <n v="12060"/>
        <n v="12150"/>
        <n v="12203"/>
        <n v="12203.3898"/>
        <n v="12240"/>
        <n v="12471"/>
        <n v="12508"/>
        <n v="12600"/>
        <n v="12966.102"/>
        <n v="13500"/>
        <n v="13729"/>
        <n v="14400"/>
        <n v="14472"/>
        <n v="14580"/>
        <n v="15120"/>
        <n v="15300"/>
        <n v="15390"/>
        <n v="16200"/>
        <n v="16475"/>
        <n v="16657"/>
        <n v="17374"/>
        <n v="17820"/>
        <n v="18000"/>
        <n v="18000.36"/>
        <n v="18630"/>
        <n v="19440"/>
        <n v="19830.51"/>
        <n v="19831"/>
        <n v="21375"/>
        <n v="21600"/>
        <n v="21966"/>
        <n v="22356"/>
        <n v="22680"/>
        <n v="23328"/>
        <n v="24057"/>
        <n v="24712"/>
        <n v="24840"/>
        <n v="25200"/>
        <n v="25627"/>
        <n v="25920"/>
        <n v="26695"/>
        <n v="27000"/>
        <n v="27002"/>
        <n v="27130"/>
        <n v="27216"/>
        <n v="27360"/>
        <n v="27560.9034"/>
        <n v="28800"/>
        <n v="28983"/>
        <n v="29160"/>
        <n v="30508.4754"/>
        <n v="30780"/>
        <n v="31104"/>
        <n v="32400"/>
        <n v="33227"/>
        <n v="36450"/>
        <n v="36900"/>
        <n v="37723.68"/>
        <n v="38135.5938"/>
        <n v="38880"/>
        <n v="43200"/>
        <n v="45900"/>
        <n v="46657"/>
        <n v="48600"/>
        <n v="53998"/>
        <n v="54000"/>
        <n v="54432"/>
        <n v="56700"/>
        <n v="61799.04"/>
        <n v="72900"/>
        <n v="73339.344"/>
        <n v="74745.7632"/>
        <n v="75600"/>
        <n v="87480"/>
        <n v="88780"/>
        <n v="108000"/>
        <n v="129600"/>
        <n v="131220"/>
        <n v="148716"/>
        <n v="149649"/>
        <n v="178848"/>
        <n v="181440"/>
        <n v="182736"/>
        <n v="189000"/>
        <n v="198288"/>
        <n v="227448"/>
        <n v="227880"/>
        <n v="262440"/>
        <n v="466560"/>
        <m/>
      </sharedItems>
    </cacheField>
    <cacheField name="Total" numFmtId="0">
      <sharedItems containsString="0" containsBlank="1" containsNumber="1" minValue="-247299.68" maxValue="3058560" count="293">
        <n v="-247299.68"/>
        <n v="-152928"/>
        <n v="-109197.2"/>
        <n v="-99120"/>
        <n v="-29500"/>
        <n v="-27000"/>
        <n v="-25488"/>
        <n v="-23600"/>
        <n v="-17700"/>
        <n v="-11800"/>
        <n v="-6884.002"/>
        <n v="-6509"/>
        <n v="-5900"/>
        <n v="-1652"/>
        <n v="236"/>
        <n v="498.9984"/>
        <n v="499"/>
        <n v="796"/>
        <n v="993"/>
        <n v="994"/>
        <n v="998"/>
        <n v="1003"/>
        <n v="1295"/>
        <n v="1394"/>
        <n v="1489"/>
        <n v="1492"/>
        <n v="1493"/>
        <n v="1688"/>
        <n v="1691"/>
        <n v="1889"/>
        <n v="1976"/>
        <n v="1987"/>
        <n v="1988"/>
        <n v="2095"/>
        <n v="2293"/>
        <n v="2360"/>
        <n v="2392"/>
        <n v="2485"/>
        <n v="2491"/>
        <n v="2494.992"/>
        <n v="2495"/>
        <n v="2499"/>
        <n v="2499.004"/>
        <n v="2586"/>
        <n v="2887"/>
        <n v="2950"/>
        <n v="2994"/>
        <n v="2998"/>
        <n v="3195.44"/>
        <n v="3497"/>
        <n v="3540"/>
        <n v="3586"/>
        <n v="3687"/>
        <n v="3786"/>
        <n v="3986"/>
        <n v="3987"/>
        <n v="3996"/>
        <n v="3998.9964"/>
        <n v="3999"/>
        <n v="3999.9994"/>
        <n v="4487"/>
        <n v="4720"/>
        <n v="4990"/>
        <n v="4999"/>
        <n v="5000"/>
        <n v="5000.0022"/>
        <n v="5310"/>
        <n v="5481"/>
        <n v="5489"/>
        <n v="5683"/>
        <n v="5900"/>
        <n v="6000"/>
        <n v="6000.005"/>
        <n v="6487"/>
        <n v="6491"/>
        <n v="6780"/>
        <n v="7080"/>
        <n v="7374"/>
        <n v="7375"/>
        <n v="7473"/>
        <n v="7489"/>
        <n v="7896"/>
        <n v="7969"/>
        <n v="7991.9984"/>
        <n v="7992"/>
        <n v="7999.9988"/>
        <n v="8000"/>
        <n v="8260"/>
        <n v="8495"/>
        <n v="8495.0088"/>
        <n v="8657"/>
        <n v="8850"/>
        <n v="9069"/>
        <n v="9164"/>
        <n v="9258"/>
        <n v="9267"/>
        <n v="9440"/>
        <n v="10000"/>
        <n v="10000.0044"/>
        <n v="10300"/>
        <n v="10300.22"/>
        <n v="10620"/>
        <n v="11493.0112"/>
        <n v="11799"/>
        <n v="11800"/>
        <n v="12945.4142"/>
        <n v="13018"/>
        <n v="13018.0668"/>
        <n v="13082.0346"/>
        <n v="13452"/>
        <n v="13489"/>
        <n v="14160"/>
        <n v="14487"/>
        <n v="14750"/>
        <n v="15000"/>
        <n v="15340"/>
        <n v="15576"/>
        <n v="16336"/>
        <n v="16520"/>
        <n v="17700"/>
        <n v="18880"/>
        <n v="19116"/>
        <n v="19184.5108"/>
        <n v="19330"/>
        <n v="19999.997"/>
        <n v="20000"/>
        <n v="20001"/>
        <n v="20650"/>
        <n v="20982"/>
        <n v="20982.052"/>
        <n v="21240"/>
        <n v="22500"/>
        <n v="22698"/>
        <n v="23600"/>
        <n v="24780"/>
        <n v="24999.9992"/>
        <n v="25488"/>
        <n v="26000"/>
        <n v="27000"/>
        <n v="28320"/>
        <n v="29500"/>
        <n v="30000"/>
        <n v="30000.0014"/>
        <n v="30908.389"/>
        <n v="31860"/>
        <n v="32000"/>
        <n v="33040"/>
        <n v="34415.998"/>
        <n v="35000"/>
        <n v="35000.0036"/>
        <n v="35400"/>
        <n v="36750"/>
        <n v="36900"/>
        <n v="36900.0042"/>
        <n v="37170"/>
        <n v="37760"/>
        <n v="38350"/>
        <n v="39960"/>
        <n v="40000"/>
        <n v="40000.112"/>
        <n v="41300"/>
        <n v="41303"/>
        <n v="41670.343"/>
        <n v="42480"/>
        <n v="43011"/>
        <n v="44250"/>
        <n v="44604"/>
        <n v="44840"/>
        <n v="45000"/>
        <n v="47200"/>
        <n v="47790"/>
        <n v="47988"/>
        <n v="49998"/>
        <n v="49999.9984"/>
        <n v="50000"/>
        <n v="50150"/>
        <n v="52000"/>
        <n v="53000"/>
        <n v="53100"/>
        <n v="53999.9978"/>
        <n v="54000"/>
        <n v="59000"/>
        <n v="60000"/>
        <n v="60000.0028"/>
        <n v="63720"/>
        <n v="64900"/>
        <n v="65000"/>
        <n v="66080"/>
        <n v="69999.9954"/>
        <n v="70000"/>
        <n v="70210"/>
        <n v="70800"/>
        <n v="70805"/>
        <n v="70999.9982"/>
        <n v="74340"/>
        <n v="75000"/>
        <n v="76464"/>
        <n v="79060"/>
        <n v="79650"/>
        <n v="79999.9998"/>
        <n v="80000"/>
        <n v="80240"/>
        <n v="81752"/>
        <n v="82000"/>
        <n v="82600"/>
        <n v="85000.002"/>
        <n v="86987"/>
        <n v="88500"/>
        <n v="90000"/>
        <n v="94400"/>
        <n v="94872"/>
        <n v="95580"/>
        <n v="99120"/>
        <n v="100300"/>
        <n v="100890"/>
        <n v="106200"/>
        <n v="108000"/>
        <n v="109197"/>
        <n v="113896"/>
        <n v="116820"/>
        <n v="118000"/>
        <n v="118002.36"/>
        <n v="120000"/>
        <n v="122130"/>
        <n v="127440"/>
        <n v="130000"/>
        <n v="130000.01"/>
        <n v="140125"/>
        <n v="141600"/>
        <n v="144000"/>
        <n v="146556"/>
        <n v="146994"/>
        <n v="148680"/>
        <n v="152928"/>
        <n v="157707"/>
        <n v="162000"/>
        <n v="162840"/>
        <n v="165200"/>
        <n v="168000"/>
        <n v="169920"/>
        <n v="175000"/>
        <n v="177000"/>
        <n v="177014"/>
        <n v="177850"/>
        <n v="178416"/>
        <n v="179360"/>
        <n v="180677.0334"/>
        <n v="188800"/>
        <n v="190000"/>
        <n v="191160"/>
        <n v="195000"/>
        <n v="200000.0054"/>
        <n v="201780"/>
        <n v="203904"/>
        <n v="212400"/>
        <n v="217819"/>
        <n v="238950"/>
        <n v="241900"/>
        <n v="247299.68"/>
        <n v="250000.0038"/>
        <n v="254880"/>
        <n v="283200"/>
        <n v="300900"/>
        <n v="305864"/>
        <n v="318600"/>
        <n v="353986"/>
        <n v="354000"/>
        <n v="356832"/>
        <n v="360819"/>
        <n v="371700"/>
        <n v="405127.04"/>
        <n v="477900"/>
        <n v="480780.144"/>
        <n v="490000.0032"/>
        <n v="495600"/>
        <n v="538909"/>
        <n v="573480"/>
        <n v="582000"/>
        <n v="708000"/>
        <n v="849600"/>
        <n v="860220"/>
        <n v="974916"/>
        <n v="981033"/>
        <n v="1172448"/>
        <n v="1189440"/>
        <n v="1197936"/>
        <n v="1239000"/>
        <n v="1299888"/>
        <n v="1491048"/>
        <n v="1493880"/>
        <n v="1720440"/>
        <n v="3058560"/>
        <m/>
      </sharedItems>
    </cacheField>
    <cacheField name="Nature" numFmtId="0">
      <sharedItems containsBlank="1" count="3">
        <s v="B2B"/>
        <s v="B2C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82" createdVersion="3">
  <cacheSource type="worksheet">
    <worksheetSource ref="A1:CN83" sheet="DPCache_Bill (1)"/>
  </cacheSource>
  <cacheFields count="92">
    <cacheField name="Bill Date" numFmtId="0">
      <sharedItems containsSemiMixedTypes="0" containsNonDate="0" containsDate="1" containsString="0" minDate="2024-08-31T00:00:00" maxDate="2025-05-01T00:00:00" count="53">
        <d v="2024-08-31T00:00:00"/>
        <d v="2024-09-01T00:00:00"/>
        <d v="2024-09-30T00:00:00"/>
        <d v="2024-10-01T00:00:00"/>
        <d v="2024-10-19T00:00:00"/>
        <d v="2024-10-31T00:00:00"/>
        <d v="2024-11-01T00:00:00"/>
        <d v="2024-11-02T00:00:00"/>
        <d v="2024-11-13T00:00:00"/>
        <d v="2024-11-22T00:00:00"/>
        <d v="2024-11-29T00:00:00"/>
        <d v="2024-11-30T00:00:00"/>
        <d v="2024-12-01T00:00:00"/>
        <d v="2024-12-09T00:00:00"/>
        <d v="2024-12-10T00:00:00"/>
        <d v="2024-12-23T00:00:00"/>
        <d v="2024-12-30T00:00:00"/>
        <d v="2024-12-31T00:00:00"/>
        <d v="2025-01-01T00:00:00"/>
        <d v="2025-01-13T00:00:00"/>
        <d v="2025-01-14T00:00:00"/>
        <d v="2025-01-15T00:00:00"/>
        <d v="2025-01-20T00:00:00"/>
        <d v="2025-01-21T00:00:00"/>
        <d v="2025-01-28T00:00:00"/>
        <d v="2025-01-30T00:00:00"/>
        <d v="2025-02-01T00:00:00"/>
        <d v="2025-02-03T00:00:00"/>
        <d v="2025-02-11T00:00:00"/>
        <d v="2025-02-16T00:00:00"/>
        <d v="2025-02-28T00:00:00"/>
        <d v="2025-03-01T00:00:00"/>
        <d v="2025-03-03T00:00:00"/>
        <d v="2025-03-18T00:00:00"/>
        <d v="2025-03-21T00:00:00"/>
        <d v="2025-03-24T00:00:00"/>
        <d v="2025-03-25T00:00:00"/>
        <d v="2025-03-26T00:00:00"/>
        <d v="2025-03-28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11T00:00:00"/>
        <d v="2025-04-16T00:00:00"/>
        <d v="2025-04-25T00:00:00"/>
        <d v="2025-04-29T00:00:00"/>
        <d v="2025-04-30T00:00:00"/>
        <d v="2025-05-01T00:00:00"/>
      </sharedItems>
    </cacheField>
    <cacheField name="Due Date" numFmtId="0">
      <sharedItems containsSemiMixedTypes="0" containsNonDate="0" containsDate="1" containsString="0" minDate="2024-08-31T00:00:00" maxDate="2025-05-01T00:00:00" count="53">
        <d v="2024-08-31T00:00:00"/>
        <d v="2024-09-01T00:00:00"/>
        <d v="2024-09-30T00:00:00"/>
        <d v="2024-10-01T00:00:00"/>
        <d v="2024-10-19T00:00:00"/>
        <d v="2024-10-31T00:00:00"/>
        <d v="2024-11-01T00:00:00"/>
        <d v="2024-11-02T00:00:00"/>
        <d v="2024-11-13T00:00:00"/>
        <d v="2024-11-22T00:00:00"/>
        <d v="2024-11-29T00:00:00"/>
        <d v="2024-11-30T00:00:00"/>
        <d v="2024-12-01T00:00:00"/>
        <d v="2024-12-09T00:00:00"/>
        <d v="2024-12-10T00:00:00"/>
        <d v="2024-12-23T00:00:00"/>
        <d v="2024-12-30T00:00:00"/>
        <d v="2024-12-31T00:00:00"/>
        <d v="2025-01-01T00:00:00"/>
        <d v="2025-01-13T00:00:00"/>
        <d v="2025-01-14T00:00:00"/>
        <d v="2025-01-15T00:00:00"/>
        <d v="2025-01-20T00:00:00"/>
        <d v="2025-01-21T00:00:00"/>
        <d v="2025-01-28T00:00:00"/>
        <d v="2025-01-30T00:00:00"/>
        <d v="2025-02-01T00:00:00"/>
        <d v="2025-02-03T00:00:00"/>
        <d v="2025-02-11T00:00:00"/>
        <d v="2025-02-16T00:00:00"/>
        <d v="2025-02-28T00:00:00"/>
        <d v="2025-03-01T00:00:00"/>
        <d v="2025-03-03T00:00:00"/>
        <d v="2025-03-18T00:00:00"/>
        <d v="2025-03-21T00:00:00"/>
        <d v="2025-03-24T00:00:00"/>
        <d v="2025-03-25T00:00:00"/>
        <d v="2025-03-26T00:00:00"/>
        <d v="2025-03-28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11T00:00:00"/>
        <d v="2025-04-16T00:00:00"/>
        <d v="2025-04-25T00:00:00"/>
        <d v="2025-04-29T00:00:00"/>
        <d v="2025-04-30T00:00:00"/>
        <d v="2025-05-01T00:00:00"/>
      </sharedItems>
    </cacheField>
    <cacheField name="Bill ID" numFmtId="0">
      <sharedItems containsSemiMixedTypes="0" containsString="0" containsNumber="1" containsInteger="1" minValue="2.29715200000003E+018" maxValue="2.29715200000023E+018" count="8">
        <n v="2.29715200000003E+018"/>
        <n v="2.29715200000005E+018"/>
        <n v="2.29715200000009E+018"/>
        <n v="2.29715200000012E+018"/>
        <n v="2.29715200000014E+018"/>
        <n v="2.29715200000016E+018"/>
        <n v="2.29715200000019E+018"/>
        <n v="2.29715200000023E+018"/>
      </sharedItems>
    </cacheField>
    <cacheField name="Vendor Name" numFmtId="0">
      <sharedItems count="22">
        <s v="Amazon Web Service INC"/>
        <s v="Amazon Web Services India Private Limited"/>
        <s v="Amit Kumar Ghosh"/>
        <s v="ANTHROPIC"/>
        <s v="BHIVE Workspace"/>
        <s v="CURSOR, AI POWERED"/>
        <s v="First Principles Law"/>
        <s v="Google Workspace"/>
        <s v="Indian Kanoon (IKanoon)"/>
        <s v="Jai Vardhan Malaviya"/>
        <s v="JAYANTH BJ"/>
        <s v="OLAMBIT CONSULTING PRIVATE LIMITED"/>
        <s v="PRACHETA RATHORE"/>
        <s v="Razorpay Creditors"/>
        <s v="RAZORPAY SOFTWARE PVT LTD(Sales Platform)"/>
        <s v="Ritik Maheshwari"/>
        <s v="Riversys Technologies Pvt Ltd(SCRUT AUTOMATION)"/>
        <s v="Sab Media and Publication Services Pvt. Ltd."/>
        <s v="SalesForce"/>
        <s v="TECHNOWIRE DATA"/>
        <s v="Treelife Ventures Services Private Limited"/>
        <s v="ZOHO Corporation Private Limited"/>
      </sharedItems>
    </cacheField>
    <cacheField name="Entity Discount Percent" numFmtId="0">
      <sharedItems containsSemiMixedTypes="0" containsString="0" containsNumber="1" containsInteger="1" minValue="0" maxValue="0" count="1">
        <n v="0"/>
      </sharedItems>
    </cacheField>
    <cacheField name="Payment Terms" numFmtId="0">
      <sharedItems containsSemiMixedTypes="0" containsString="0" containsNumber="1" containsInteger="1" minValue="0" maxValue="0" count="1">
        <n v="0"/>
      </sharedItems>
    </cacheField>
    <cacheField name="Payment Terms Label" numFmtId="0">
      <sharedItems count="2">
        <s v="Custom"/>
        <s v="Due On Receipt"/>
      </sharedItems>
    </cacheField>
    <cacheField name="Bill Number" numFmtId="0">
      <sharedItems containsMixedTypes="1" containsNumber="1" containsInteger="1" minValue="1" maxValue="1024250439264" count="51">
        <n v="1"/>
        <n v="2"/>
        <n v="3"/>
        <n v="4"/>
        <n v="5"/>
        <n v="6"/>
        <n v="7"/>
        <n v="8"/>
        <n v="10070"/>
        <n v="10071"/>
        <n v="249028"/>
        <n v="254326"/>
        <n v="254979"/>
        <n v="32264906"/>
        <n v="2115377585"/>
        <n v="2121043933"/>
        <n v="1024250439264"/>
        <s v="1/2025-26"/>
        <s v="2/2025-26"/>
        <s v="2025/02"/>
        <s v="2025/03"/>
        <s v="3/2025-26"/>
        <s v="41AF6FAD-0009"/>
        <s v="41AF6FAD-0013"/>
        <s v="41AF6FAD-0017"/>
        <s v="41AF6FAD-0018"/>
        <s v="41AF6FAD-0020"/>
        <s v="API-30715-25"/>
        <s v="BHV/2425/10176"/>
        <s v="BHV/2425/10194"/>
        <s v="BHV/2425/10232"/>
        <s v="BHV/2425/10406"/>
        <s v="BHV/2425/10407"/>
        <s v="BHV/2425/10445"/>
        <s v="BHV/25-26/00584"/>
        <s v="BHV/25-26/00630"/>
        <s v="BHV/25-26/00873"/>
        <s v="FPL/202504-03"/>
        <s v="FY 25-26/02"/>
        <s v="FY 25-26/1"/>
        <s v="GST-2025-00016"/>
        <s v="GST/2024/126"/>
        <s v="INV-2324-3572"/>
        <s v="INV-2324-3573"/>
        <s v="INV-2526-0021"/>
        <s v="INV-2526-0110"/>
        <s v="NAHGTQ81YYWY0225"/>
        <s v="NAHGTQ81YYWY0325"/>
        <s v="NAHGTQ81YYWY0425"/>
        <s v="Proforma7/24-25"/>
        <s v="Quote Number: Q-09344861"/>
      </sharedItems>
    </cacheField>
    <cacheField name="PurchaseOrder" numFmtId="0">
      <sharedItems containsString="0" containsBlank="1" count="1">
        <m/>
      </sharedItems>
    </cacheField>
    <cacheField name="Currency Code" numFmtId="0">
      <sharedItems count="1">
        <s v="INR"/>
      </sharedItems>
    </cacheField>
    <cacheField name="Exchange Rate" numFmtId="0">
      <sharedItems containsSemiMixedTypes="0" containsString="0" containsNumber="1" containsInteger="1" minValue="1" maxValue="1" count="1">
        <n v="1"/>
      </sharedItems>
    </cacheField>
    <cacheField name="SubTotal" numFmtId="0">
      <sharedItems containsSemiMixedTypes="0" containsString="0" containsNumber="1" minValue="15" maxValue="256100" count="58">
        <n v="15"/>
        <n v="100"/>
        <n v="698"/>
        <n v="1047"/>
        <n v="1760.73"/>
        <n v="1786.19"/>
        <n v="1787.65"/>
        <n v="1804.89"/>
        <n v="1824.06"/>
        <n v="3422"/>
        <n v="3540"/>
        <n v="4012"/>
        <n v="4861.23"/>
        <n v="5081.67"/>
        <n v="6790.02"/>
        <n v="8988"/>
        <n v="9956.86"/>
        <n v="10000"/>
        <n v="10376.42"/>
        <n v="11185.68"/>
        <n v="11800"/>
        <n v="12950.15"/>
        <n v="15310"/>
        <n v="20000"/>
        <n v="20326.68"/>
        <n v="23010"/>
        <n v="23585"/>
        <n v="25000"/>
        <n v="26561.94"/>
        <n v="26820.06"/>
        <n v="27408.94"/>
        <n v="28000"/>
        <n v="30680"/>
        <n v="38500"/>
        <n v="40000"/>
        <n v="48000"/>
        <n v="50000"/>
        <n v="52572"/>
        <n v="53204.85"/>
        <n v="53296.23"/>
        <n v="60000"/>
        <n v="65000"/>
        <n v="68564.08"/>
        <n v="78000"/>
        <n v="80605"/>
        <n v="82000"/>
        <n v="89795"/>
        <n v="100000"/>
        <n v="105000"/>
        <n v="110000"/>
        <n v="114456"/>
        <n v="121651"/>
        <n v="125000"/>
        <n v="126846"/>
        <n v="127383.75"/>
        <n v="128450"/>
        <n v="129910"/>
        <n v="256100"/>
      </sharedItems>
    </cacheField>
    <cacheField name="Total" numFmtId="0">
      <sharedItems containsSemiMixedTypes="0" containsString="0" containsNumber="1" minValue="17.7" maxValue="297076" count="60">
        <n v="17.7"/>
        <n v="118"/>
        <n v="823.64"/>
        <n v="1235.46"/>
        <n v="1760.73"/>
        <n v="1786.19"/>
        <n v="1787.65"/>
        <n v="1804.89"/>
        <n v="1824.06"/>
        <n v="3422"/>
        <n v="3540"/>
        <n v="4012"/>
        <n v="5081.67"/>
        <n v="5736.25"/>
        <n v="8010.44"/>
        <n v="8961.17"/>
        <n v="10376.42"/>
        <n v="10605.84"/>
        <n v="11800"/>
        <n v="12950.15"/>
        <n v="12973.6"/>
        <n v="15310"/>
        <n v="18000"/>
        <n v="20000"/>
        <n v="20326.68"/>
        <n v="23010"/>
        <n v="23585"/>
        <n v="24668.05"/>
        <n v="25000"/>
        <n v="26561.94"/>
        <n v="26820.06"/>
        <n v="28000"/>
        <n v="28080"/>
        <n v="40000"/>
        <n v="45430"/>
        <n v="48000"/>
        <n v="49500"/>
        <n v="50000"/>
        <n v="52072"/>
        <n v="53204.85"/>
        <n v="53296.23"/>
        <n v="60000"/>
        <n v="68564.08"/>
        <n v="70200"/>
        <n v="78000"/>
        <n v="82000"/>
        <n v="86205"/>
        <n v="89795"/>
        <n v="90000"/>
        <n v="99000"/>
        <n v="103950"/>
        <n v="110000"/>
        <n v="113456"/>
        <n v="120651"/>
        <n v="126846"/>
        <n v="145000"/>
        <n v="147765.15"/>
        <n v="149002"/>
        <n v="150695.6"/>
        <n v="297076"/>
      </sharedItems>
    </cacheField>
    <cacheField name="Balance" numFmtId="0">
      <sharedItems containsSemiMixedTypes="0" containsString="0" containsNumber="1" minValue="0" maxValue="150695.6" count="14">
        <n v="0"/>
        <n v="0.84"/>
        <n v="630"/>
        <n v="823.64"/>
        <n v="1235.46"/>
        <n v="12973.6"/>
        <n v="20410"/>
        <n v="45430"/>
        <n v="46125"/>
        <n v="63200"/>
        <n v="89795"/>
        <n v="126846"/>
        <n v="149002"/>
        <n v="150695.6"/>
      </sharedItems>
    </cacheField>
    <cacheField name="TCS Amount" numFmtId="0">
      <sharedItems containsString="0" containsBlank="1" count="1">
        <m/>
      </sharedItems>
    </cacheField>
    <cacheField name="Vendor Notes" numFmtId="0">
      <sharedItems containsString="0" containsBlank="1" count="1">
        <m/>
      </sharedItems>
    </cacheField>
    <cacheField name="Terms &amp; Conditions" numFmtId="0">
      <sharedItems containsString="0" containsBlank="1" count="1">
        <m/>
      </sharedItems>
    </cacheField>
    <cacheField name="Adjustment" numFmtId="0">
      <sharedItems containsSemiMixedTypes="0" containsString="0" containsNumber="1" containsInteger="1" minValue="0" maxValue="0" count="1">
        <n v="0"/>
      </sharedItems>
    </cacheField>
    <cacheField name="Adjustment Description" numFmtId="0">
      <sharedItems count="1">
        <s v="Adjustment"/>
      </sharedItems>
    </cacheField>
    <cacheField name="Is Inclusive Tax" numFmtId="0">
      <sharedItems containsString="0" containsBlank="1" count="1">
        <m/>
      </sharedItems>
    </cacheField>
    <cacheField name="Submitted By" numFmtId="0">
      <sharedItems containsString="0" containsBlank="1" count="1">
        <m/>
      </sharedItems>
    </cacheField>
    <cacheField name="Approved By" numFmtId="0">
      <sharedItems containsString="0" containsBlank="1" count="1">
        <m/>
      </sharedItems>
    </cacheField>
    <cacheField name="Submitted Date" numFmtId="0">
      <sharedItems containsString="0" containsBlank="1" count="1">
        <m/>
      </sharedItems>
    </cacheField>
    <cacheField name="Approved Date" numFmtId="0">
      <sharedItems containsString="0" containsBlank="1" count="1">
        <m/>
      </sharedItems>
    </cacheField>
    <cacheField name="Bill Status" numFmtId="0">
      <sharedItems count="3">
        <s v="Draft"/>
        <s v="Overdue"/>
        <s v="Paid"/>
      </sharedItems>
    </cacheField>
    <cacheField name="Created By" numFmtId="0">
      <sharedItems count="1">
        <s v="ridhi25madan"/>
      </sharedItems>
    </cacheField>
    <cacheField name="Product ID" numFmtId="0">
      <sharedItems containsString="0" containsBlank="1" count="1">
        <m/>
      </sharedItems>
    </cacheField>
    <cacheField name="Item Name" numFmtId="0">
      <sharedItems containsString="0" containsBlank="1" count="1">
        <m/>
      </sharedItems>
    </cacheField>
    <cacheField name="Account" numFmtId="0">
      <sharedItems count="11">
        <s v="Advertising And Marketing"/>
        <s v="Content Writing Exp."/>
        <s v="Employee Reimbursements"/>
        <s v="IT and Internet Expenses"/>
        <s v="Legal &amp; Professional Charges"/>
        <s v="Platform Charges"/>
        <s v="Reimbursement"/>
        <s v="Security &amp; Certification Charges"/>
        <s v="Subscription charges"/>
        <s v="Travel Expense"/>
        <s v="Workspace Rent"/>
      </sharedItems>
    </cacheField>
    <cacheField name="Account Code" numFmtId="0">
      <sharedItems containsString="0" containsBlank="1" count="1">
        <m/>
      </sharedItems>
    </cacheField>
    <cacheField name="Description" numFmtId="0">
      <sharedItems containsBlank="1" count="13">
        <s v="Annual Collaboration, Deliverables: 12 articles or announcements. Duration 12 months."/>
        <s v="AWS Marketplace Charges"/>
        <s v="AWS Service Charges"/>
        <s v="content Writing"/>
        <s v="Legal &amp; Professional"/>
        <s v="Reimbursement"/>
        <s v="Security &amp; certificate charges"/>
        <s v="Subs charges"/>
        <s v="Subscription"/>
        <s v="Subscription charges"/>
        <s v="Travelling Reimb"/>
        <s v="Trvelling Reimb"/>
        <m/>
      </sharedItems>
    </cacheField>
    <cacheField name="Quantity" numFmtId="0">
      <sharedItems containsSemiMixedTypes="0" containsString="0" containsNumber="1" containsInteger="1" minValue="1" maxValue="4" count="3">
        <n v="1"/>
        <n v="3"/>
        <n v="4"/>
      </sharedItems>
    </cacheField>
    <cacheField name="Usage unit" numFmtId="0">
      <sharedItems containsString="0" containsBlank="1" count="1">
        <m/>
      </sharedItems>
    </cacheField>
    <cacheField name="Tax Amount" numFmtId="0">
      <sharedItems containsSemiMixedTypes="0" containsString="0" containsNumber="1" minValue="0" maxValue="46098" count="18">
        <n v="0"/>
        <n v="2.7"/>
        <n v="18"/>
        <n v="125.64"/>
        <n v="188.46"/>
        <n v="875.02"/>
        <n v="1220.42"/>
        <n v="1617.84"/>
        <n v="1800"/>
        <n v="2011.63"/>
        <n v="6930"/>
        <n v="11700"/>
        <n v="12600"/>
        <n v="22500"/>
        <n v="22929.08"/>
        <n v="23121"/>
        <n v="23383.8"/>
        <n v="46098"/>
      </sharedItems>
    </cacheField>
    <cacheField name="Item Total" numFmtId="0">
      <sharedItems containsSemiMixedTypes="0" containsString="0" containsNumber="1" minValue="9.89" maxValue="256100" count="61">
        <n v="9.89"/>
        <n v="9.98"/>
        <n v="15"/>
        <n v="100"/>
        <n v="698"/>
        <n v="1047"/>
        <n v="1760.73"/>
        <n v="1786.19"/>
        <n v="1787.65"/>
        <n v="1804.89"/>
        <n v="1824.06"/>
        <n v="2572"/>
        <n v="3422"/>
        <n v="3540"/>
        <n v="4012"/>
        <n v="4861.23"/>
        <n v="5081.67"/>
        <n v="6780.13"/>
        <n v="8988"/>
        <n v="9956.86"/>
        <n v="10000"/>
        <n v="10376.42"/>
        <n v="10605"/>
        <n v="11175.7"/>
        <n v="11800"/>
        <n v="12950.15"/>
        <n v="14456"/>
        <n v="15310"/>
        <n v="20000"/>
        <n v="20326.68"/>
        <n v="21651"/>
        <n v="23010"/>
        <n v="23585"/>
        <n v="25000"/>
        <n v="26561.94"/>
        <n v="26820.06"/>
        <n v="27408.94"/>
        <n v="28000"/>
        <n v="30680"/>
        <n v="38500"/>
        <n v="40000"/>
        <n v="48000"/>
        <n v="50000"/>
        <n v="53204.85"/>
        <n v="53296.23"/>
        <n v="60000"/>
        <n v="65000"/>
        <n v="68564.08"/>
        <n v="70000"/>
        <n v="78000"/>
        <n v="82000"/>
        <n v="89795"/>
        <n v="100000"/>
        <n v="105000"/>
        <n v="110000"/>
        <n v="125000"/>
        <n v="126846"/>
        <n v="127383.75"/>
        <n v="128450"/>
        <n v="129910"/>
        <n v="256100"/>
      </sharedItems>
    </cacheField>
    <cacheField name="Is Billable" numFmtId="0">
      <sharedItems containsString="0" containsBlank="1" count="1">
        <m/>
      </sharedItems>
    </cacheField>
    <cacheField name="Reference Invoice Type" numFmtId="0">
      <sharedItems containsString="0" containsBlank="1" count="1">
        <m/>
      </sharedItems>
    </cacheField>
    <cacheField name="Source of Supply" numFmtId="0">
      <sharedItems containsBlank="1" count="8">
        <s v="DL"/>
        <s v="GJ"/>
        <s v="KA"/>
        <s v="MH"/>
        <s v="MP"/>
        <s v="TN"/>
        <s v="UP"/>
        <m/>
      </sharedItems>
    </cacheField>
    <cacheField name="Destination of Supply" numFmtId="0">
      <sharedItems count="1">
        <s v="UP"/>
      </sharedItems>
    </cacheField>
    <cacheField name="GST Treatment" numFmtId="0">
      <sharedItems count="3">
        <s v="business_gst"/>
        <s v="business_none"/>
        <s v="overseas"/>
      </sharedItems>
    </cacheField>
    <cacheField name="GST Identification Number (GSTIN)" numFmtId="0">
      <sharedItems containsBlank="1" count="11">
        <s v="07AADCO7267R1ZL"/>
        <s v="27AAFCT8389M1ZD"/>
        <s v="29AADCI5875P2ZM"/>
        <s v="29AAFCT2273G1Z7"/>
        <s v="29AAGCR4375J1ZU"/>
        <s v="29AAJCS3582R1ZB"/>
        <s v="29AAKCR1346R1ZL"/>
        <s v="29AAKCR4702K1Z1"/>
        <s v="29AAMCS6235L1ZO"/>
        <s v="33AAACZ4322M2Z9"/>
        <m/>
      </sharedItems>
    </cacheField>
    <cacheField name="TDS Calculation Type" numFmtId="0">
      <sharedItems count="2">
        <s v="entity_level"/>
        <s v="item_level"/>
      </sharedItems>
    </cacheField>
    <cacheField name="TDS TaxID" numFmtId="0">
      <sharedItems containsString="0" containsBlank="1" containsNumber="1" containsInteger="1" minValue="2.29715200000003E+018" maxValue="2.29715200000003E+018" count="2">
        <n v="2.29715200000003E+018"/>
        <m/>
      </sharedItems>
    </cacheField>
    <cacheField name="TDS Name" numFmtId="0">
      <sharedItems containsBlank="1" count="6">
        <s v="Commission or Brokerage"/>
        <s v="Payment of contractors for Others"/>
        <s v="Payment of contractors HUF/Indiv"/>
        <s v="Professional Fees"/>
        <s v="Technical Fees (2%)"/>
        <m/>
      </sharedItems>
    </cacheField>
    <cacheField name="TDS Percentage" numFmtId="0">
      <sharedItems containsSemiMixedTypes="0" containsString="0" containsNumber="1" containsInteger="1" minValue="0" maxValue="10" count="4">
        <n v="0"/>
        <n v="1"/>
        <n v="2"/>
        <n v="10"/>
      </sharedItems>
    </cacheField>
    <cacheField name="TDS Section Code" numFmtId="0">
      <sharedItems containsBlank="1" count="4">
        <s v="194C"/>
        <s v="194H"/>
        <s v="194J"/>
        <m/>
      </sharedItems>
    </cacheField>
    <cacheField name="TDS Section" numFmtId="0">
      <sharedItems containsBlank="1" count="4">
        <s v="Section 194 C"/>
        <s v="Section 194 H"/>
        <s v="Section 194 J"/>
        <m/>
      </sharedItems>
    </cacheField>
    <cacheField name="TDS Amount" numFmtId="0">
      <sharedItems containsSemiMixedTypes="0" containsString="0" containsNumber="1" minValue="0" maxValue="10000" count="17">
        <n v="0"/>
        <n v="223.71"/>
        <n v="500"/>
        <n v="995.69"/>
        <n v="1000"/>
        <n v="1050"/>
        <n v="2000"/>
        <n v="2500"/>
        <n v="2547.68"/>
        <n v="2569"/>
        <n v="2598.2"/>
        <n v="2600"/>
        <n v="2740.89"/>
        <n v="5122"/>
        <n v="6500"/>
        <n v="7000"/>
        <n v="10000"/>
      </sharedItems>
    </cacheField>
    <cacheField name="TCS Tax Name" numFmtId="0">
      <sharedItems containsString="0" containsBlank="1" count="1">
        <m/>
      </sharedItems>
    </cacheField>
    <cacheField name="TCS Percentage" numFmtId="0">
      <sharedItems containsString="0" containsBlank="1" count="1">
        <m/>
      </sharedItems>
    </cacheField>
    <cacheField name="Nature Of Collection" numFmtId="0">
      <sharedItems containsString="0" containsBlank="1" count="1">
        <m/>
      </sharedItems>
    </cacheField>
    <cacheField name="Rate" numFmtId="0">
      <sharedItems containsSemiMixedTypes="0" containsString="0" containsNumber="1" minValue="9.89" maxValue="256100" count="60">
        <n v="9.89"/>
        <n v="9.98"/>
        <n v="15"/>
        <n v="100"/>
        <n v="698"/>
        <n v="1047"/>
        <n v="1760.73"/>
        <n v="1786.19"/>
        <n v="1787.65"/>
        <n v="1804.89"/>
        <n v="1824.06"/>
        <n v="2572"/>
        <n v="3422"/>
        <n v="3540"/>
        <n v="4012"/>
        <n v="4861.23"/>
        <n v="5081.67"/>
        <n v="6780.13"/>
        <n v="7670"/>
        <n v="8988"/>
        <n v="9956.856"/>
        <n v="10000"/>
        <n v="10376.42"/>
        <n v="10605"/>
        <n v="11175.7"/>
        <n v="11800"/>
        <n v="12950.15"/>
        <n v="14456"/>
        <n v="15310"/>
        <n v="20000"/>
        <n v="20326.68"/>
        <n v="21651"/>
        <n v="23585"/>
        <n v="25000"/>
        <n v="26561.94"/>
        <n v="26820.06"/>
        <n v="27408.94"/>
        <n v="28000"/>
        <n v="38500"/>
        <n v="40000"/>
        <n v="48000"/>
        <n v="50000"/>
        <n v="53204.85"/>
        <n v="53296.23"/>
        <n v="60000"/>
        <n v="65000"/>
        <n v="68564.08"/>
        <n v="70000"/>
        <n v="78000"/>
        <n v="82000"/>
        <n v="89795"/>
        <n v="100000"/>
        <n v="105000"/>
        <n v="110000"/>
        <n v="125000"/>
        <n v="126846"/>
        <n v="127383.75"/>
        <n v="128450"/>
        <n v="129910"/>
        <n v="256100"/>
      </sharedItems>
    </cacheField>
    <cacheField name="Discount Type" numFmtId="0">
      <sharedItems count="1">
        <s v="entity_level"/>
      </sharedItems>
    </cacheField>
    <cacheField name="Is Discount Before Tax" numFmtId="0">
      <sharedItems containsString="0" containsBlank="1" count="1">
        <m/>
      </sharedItems>
    </cacheField>
    <cacheField name="Discount" numFmtId="0">
      <sharedItems containsSemiMixedTypes="0" containsString="0" containsNumber="1" containsInteger="1" minValue="0" maxValue="0" count="1">
        <n v="0"/>
      </sharedItems>
    </cacheField>
    <cacheField name="Discount Amount" numFmtId="0">
      <sharedItems containsSemiMixedTypes="0" containsString="0" containsNumber="1" containsInteger="1" minValue="0" maxValue="0" count="1">
        <n v="0"/>
      </sharedItems>
    </cacheField>
    <cacheField name="HSN/SAC" numFmtId="0">
      <sharedItems containsString="0" containsBlank="1" count="1">
        <m/>
      </sharedItems>
    </cacheField>
    <cacheField name="Purchase Order Number" numFmtId="0">
      <sharedItems containsString="0" containsBlank="1" count="1">
        <m/>
      </sharedItems>
    </cacheField>
    <cacheField name="Tax ID" numFmtId="0">
      <sharedItems containsString="0" containsBlank="1" containsNumber="1" containsInteger="1" minValue="2.29715200000003E+018" maxValue="2.29715200000003E+018" count="2">
        <n v="2.29715200000003E+018"/>
        <m/>
      </sharedItems>
    </cacheField>
    <cacheField name="Tax Name" numFmtId="0">
      <sharedItems containsBlank="1" count="3">
        <s v="IGST0"/>
        <s v="IGST18"/>
        <m/>
      </sharedItems>
    </cacheField>
    <cacheField name="Tax Percentage" numFmtId="0">
      <sharedItems containsString="0" containsBlank="1" containsNumber="1" containsInteger="1" minValue="0" maxValue="18" count="3">
        <n v="0"/>
        <n v="18"/>
        <m/>
      </sharedItems>
    </cacheField>
    <cacheField name="Tax Type" numFmtId="0">
      <sharedItems containsBlank="1" count="2">
        <s v="ItemAmount"/>
        <m/>
      </sharedItems>
    </cacheField>
    <cacheField name="Item TDS Name" numFmtId="0">
      <sharedItems containsString="0" containsBlank="1" count="1">
        <m/>
      </sharedItems>
    </cacheField>
    <cacheField name="Item TDS Percentage" numFmtId="0">
      <sharedItems containsString="0" containsBlank="1" count="1">
        <m/>
      </sharedItems>
    </cacheField>
    <cacheField name="Item TDS Amount" numFmtId="0">
      <sharedItems containsString="0" containsBlank="1" containsNumber="1" containsInteger="1" minValue="0" maxValue="0" count="2">
        <n v="0"/>
        <m/>
      </sharedItems>
    </cacheField>
    <cacheField name="Item TDS Section Code" numFmtId="0">
      <sharedItems containsString="0" containsBlank="1" count="1">
        <m/>
      </sharedItems>
    </cacheField>
    <cacheField name="Item TDS Section" numFmtId="0">
      <sharedItems containsString="0" containsBlank="1" count="1">
        <m/>
      </sharedItems>
    </cacheField>
    <cacheField name="Item Exemption Code" numFmtId="0">
      <sharedItems containsString="0" containsBlank="1" count="1">
        <m/>
      </sharedItems>
    </cacheField>
    <cacheField name="Item Type" numFmtId="0">
      <sharedItems count="1">
        <s v="service"/>
      </sharedItems>
    </cacheField>
    <cacheField name="Reverse Charge Tax Name" numFmtId="0">
      <sharedItems containsBlank="1" count="2">
        <s v="IGST18"/>
        <m/>
      </sharedItems>
    </cacheField>
    <cacheField name="Reverse Charge Tax Rate" numFmtId="0">
      <sharedItems containsString="0" containsBlank="1" containsNumber="1" containsInteger="1" minValue="18" maxValue="18" count="2">
        <n v="18"/>
        <m/>
      </sharedItems>
    </cacheField>
    <cacheField name="Reverse Charge Tax Type" numFmtId="0">
      <sharedItems containsBlank="1" count="2">
        <s v="ItemAmount"/>
        <m/>
      </sharedItems>
    </cacheField>
    <cacheField name="Supply Type" numFmtId="0">
      <sharedItems containsBlank="1" count="2">
        <s v="Out of Scope"/>
        <m/>
      </sharedItems>
    </cacheField>
    <cacheField name="ITC Eligibility" numFmtId="0">
      <sharedItems containsBlank="1" count="2">
        <s v="eligible"/>
        <m/>
      </sharedItems>
    </cacheField>
    <cacheField name="Entity Discount Amount" numFmtId="0">
      <sharedItems containsSemiMixedTypes="0" containsString="0" containsNumber="1" containsInteger="1" minValue="0" maxValue="0" count="1">
        <n v="0"/>
      </sharedItems>
    </cacheField>
    <cacheField name="Discount Account" numFmtId="0">
      <sharedItems containsString="0" containsBlank="1" count="1">
        <m/>
      </sharedItems>
    </cacheField>
    <cacheField name="Discount Account Code" numFmtId="0">
      <sharedItems containsString="0" containsBlank="1" count="1">
        <m/>
      </sharedItems>
    </cacheField>
    <cacheField name="Is Landed Cost" numFmtId="0">
      <sharedItems containsString="0" containsBlank="1" count="1">
        <m/>
      </sharedItems>
    </cacheField>
    <cacheField name="Customer Name" numFmtId="0">
      <sharedItems containsString="0" containsBlank="1" count="1">
        <m/>
      </sharedItems>
    </cacheField>
    <cacheField name="Project Name" numFmtId="0">
      <sharedItems containsString="0" containsBlank="1" count="1">
        <m/>
      </sharedItems>
    </cacheField>
    <cacheField name="CGST Rate %" numFmtId="0">
      <sharedItems containsString="0" containsBlank="1" containsNumber="1" containsInteger="1" minValue="0" maxValue="0" count="2">
        <n v="0"/>
        <m/>
      </sharedItems>
    </cacheField>
    <cacheField name="SGST Rate %" numFmtId="0">
      <sharedItems containsString="0" containsBlank="1" containsNumber="1" containsInteger="1" minValue="0" maxValue="0" count="2">
        <n v="0"/>
        <m/>
      </sharedItems>
    </cacheField>
    <cacheField name="IGST Rate %" numFmtId="0">
      <sharedItems containsString="0" containsBlank="1" containsNumber="1" containsInteger="1" minValue="0" maxValue="18" count="3">
        <n v="0"/>
        <n v="18"/>
        <m/>
      </sharedItems>
    </cacheField>
    <cacheField name="CESS Rate %" numFmtId="0">
      <sharedItems containsString="0" containsBlank="1" containsNumber="1" containsInteger="1" minValue="0" maxValue="0" count="2">
        <n v="0"/>
        <m/>
      </sharedItems>
    </cacheField>
    <cacheField name="CGST(FCY)" numFmtId="0">
      <sharedItems containsString="0" containsBlank="1" containsNumber="1" containsInteger="1" minValue="0" maxValue="0" count="2">
        <n v="0"/>
        <m/>
      </sharedItems>
    </cacheField>
    <cacheField name="SGST(FCY)" numFmtId="0">
      <sharedItems containsString="0" containsBlank="1" containsNumber="1" containsInteger="1" minValue="0" maxValue="0" count="2">
        <n v="0"/>
        <m/>
      </sharedItems>
    </cacheField>
    <cacheField name="IGST(FCY)" numFmtId="0">
      <sharedItems containsString="0" containsBlank="1" containsNumber="1" minValue="0" maxValue="46098" count="19">
        <n v="0"/>
        <n v="2.7"/>
        <n v="18"/>
        <n v="125.64"/>
        <n v="188.46"/>
        <n v="875.02"/>
        <n v="1220.42"/>
        <n v="1617.84"/>
        <n v="1800"/>
        <n v="2011.63"/>
        <n v="6930"/>
        <n v="11700"/>
        <n v="12600"/>
        <n v="22500"/>
        <n v="22929.08"/>
        <n v="23121"/>
        <n v="23383.8"/>
        <n v="46098"/>
        <m/>
      </sharedItems>
    </cacheField>
    <cacheField name="CESS(FCY)" numFmtId="0">
      <sharedItems containsString="0" containsBlank="1" containsNumber="1" containsInteger="1" minValue="0" maxValue="0" count="2">
        <n v="0"/>
        <m/>
      </sharedItems>
    </cacheField>
    <cacheField name="CGST" numFmtId="0">
      <sharedItems containsString="0" containsBlank="1" containsNumber="1" containsInteger="1" minValue="0" maxValue="0" count="2">
        <n v="0"/>
        <m/>
      </sharedItems>
    </cacheField>
    <cacheField name="SGST" numFmtId="0">
      <sharedItems containsString="0" containsBlank="1" containsNumber="1" containsInteger="1" minValue="0" maxValue="0" count="2">
        <n v="0"/>
        <m/>
      </sharedItems>
    </cacheField>
    <cacheField name="IGST" numFmtId="0">
      <sharedItems containsString="0" containsBlank="1" containsNumber="1" minValue="0" maxValue="46098" count="19">
        <n v="0"/>
        <n v="2.7"/>
        <n v="18"/>
        <n v="125.64"/>
        <n v="188.46"/>
        <n v="875.02"/>
        <n v="1220.42"/>
        <n v="1617.84"/>
        <n v="1800"/>
        <n v="2011.63"/>
        <n v="6930"/>
        <n v="11700"/>
        <n v="12600"/>
        <n v="22500"/>
        <n v="22929.08"/>
        <n v="23121"/>
        <n v="23383.8"/>
        <n v="46098"/>
        <m/>
      </sharedItems>
    </cacheField>
    <cacheField name="CESS" numFmtId="0">
      <sharedItems containsString="0" containsBlank="1" containsNumber="1" containsInteger="1" minValue="0" maxValue="0" count="2">
        <n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8">
  <r>
    <x v="0"/>
    <x v="6"/>
    <x v="317"/>
    <x v="71"/>
    <x v="2"/>
    <x v="55"/>
    <x v="51"/>
    <x v="16"/>
    <x v="84"/>
    <x v="39"/>
    <x v="52"/>
    <x v="18"/>
    <x v="26"/>
    <x v="88"/>
    <x v="27"/>
    <x v="109"/>
    <x v="55"/>
    <x v="26"/>
    <x v="120"/>
    <x v="99"/>
    <x v="27"/>
    <x v="172"/>
    <x v="0"/>
    <x v="0"/>
    <x v="0"/>
    <x v="25"/>
    <x v="128"/>
    <x v="176"/>
    <x v="25"/>
    <x v="143"/>
    <x v="202"/>
  </r>
  <r>
    <x v="6"/>
    <x v="6"/>
    <x v="58"/>
    <x v="72"/>
    <x v="2"/>
    <x v="55"/>
    <x v="35"/>
    <x v="13"/>
    <x v="52"/>
    <x v="35"/>
    <x v="47"/>
    <x v="12"/>
    <x v="26"/>
    <x v="81"/>
    <x v="27"/>
    <x v="100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334"/>
    <x v="73"/>
    <x v="2"/>
    <x v="56"/>
    <x v="95"/>
    <x v="22"/>
    <x v="191"/>
    <x v="52"/>
    <x v="66"/>
    <x v="28"/>
    <x v="25"/>
    <x v="102"/>
    <x v="27"/>
    <x v="124"/>
    <x v="72"/>
    <x v="26"/>
    <x v="135"/>
    <x v="96"/>
    <x v="27"/>
    <x v="169"/>
    <x v="27"/>
    <x v="104"/>
    <x v="165"/>
    <x v="23"/>
    <x v="123"/>
    <x v="170"/>
    <x v="1"/>
    <x v="143"/>
    <x v="122"/>
  </r>
  <r>
    <x v="0"/>
    <x v="13"/>
    <x v="171"/>
    <x v="74"/>
    <x v="2"/>
    <x v="55"/>
    <x v="35"/>
    <x v="12"/>
    <x v="84"/>
    <x v="47"/>
    <x v="60"/>
    <x v="12"/>
    <x v="26"/>
    <x v="97"/>
    <x v="27"/>
    <x v="118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329"/>
    <x v="75"/>
    <x v="2"/>
    <x v="57"/>
    <x v="161"/>
    <x v="30"/>
    <x v="114"/>
    <x v="18"/>
    <x v="25"/>
    <x v="42"/>
    <x v="24"/>
    <x v="53"/>
    <x v="27"/>
    <x v="63"/>
    <x v="26"/>
    <x v="26"/>
    <x v="72"/>
    <x v="36"/>
    <x v="27"/>
    <x v="96"/>
    <x v="27"/>
    <x v="40"/>
    <x v="87"/>
    <x v="23"/>
    <x v="47"/>
    <x v="86"/>
    <x v="24"/>
    <x v="57"/>
    <x v="102"/>
  </r>
  <r>
    <x v="7"/>
    <x v="6"/>
    <x v="323"/>
    <x v="76"/>
    <x v="1"/>
    <x v="55"/>
    <x v="20"/>
    <x v="0"/>
    <x v="2"/>
    <x v="3"/>
    <x v="69"/>
    <x v="6"/>
    <x v="26"/>
    <x v="13"/>
    <x v="0"/>
    <x v="0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324"/>
    <x v="77"/>
    <x v="2"/>
    <x v="58"/>
    <x v="38"/>
    <x v="13"/>
    <x v="17"/>
    <x v="8"/>
    <x v="10"/>
    <x v="12"/>
    <x v="21"/>
    <x v="26"/>
    <x v="27"/>
    <x v="33"/>
    <x v="75"/>
    <x v="5"/>
    <x v="7"/>
    <x v="99"/>
    <x v="27"/>
    <x v="172"/>
    <x v="0"/>
    <x v="0"/>
    <x v="0"/>
    <x v="25"/>
    <x v="128"/>
    <x v="176"/>
    <x v="25"/>
    <x v="143"/>
    <x v="202"/>
  </r>
  <r>
    <x v="8"/>
    <x v="6"/>
    <x v="11"/>
    <x v="78"/>
    <x v="2"/>
    <x v="65"/>
    <x v="26"/>
    <x v="0"/>
    <x v="8"/>
    <x v="10"/>
    <x v="1"/>
    <x v="6"/>
    <x v="13"/>
    <x v="22"/>
    <x v="11"/>
    <x v="19"/>
    <x v="75"/>
    <x v="27"/>
    <x v="0"/>
    <x v="99"/>
    <x v="29"/>
    <x v="0"/>
    <x v="0"/>
    <x v="0"/>
    <x v="0"/>
    <x v="25"/>
    <x v="128"/>
    <x v="176"/>
    <x v="25"/>
    <x v="143"/>
    <x v="202"/>
  </r>
  <r>
    <x v="0"/>
    <x v="6"/>
    <x v="86"/>
    <x v="79"/>
    <x v="2"/>
    <x v="59"/>
    <x v="163"/>
    <x v="30"/>
    <x v="84"/>
    <x v="10"/>
    <x v="14"/>
    <x v="42"/>
    <x v="20"/>
    <x v="33"/>
    <x v="27"/>
    <x v="40"/>
    <x v="12"/>
    <x v="26"/>
    <x v="45"/>
    <x v="16"/>
    <x v="27"/>
    <x v="60"/>
    <x v="27"/>
    <x v="20"/>
    <x v="55"/>
    <x v="23"/>
    <x v="25"/>
    <x v="54"/>
    <x v="24"/>
    <x v="29"/>
    <x v="63"/>
  </r>
  <r>
    <x v="0"/>
    <x v="6"/>
    <x v="328"/>
    <x v="80"/>
    <x v="2"/>
    <x v="59"/>
    <x v="39"/>
    <x v="13"/>
    <x v="10"/>
    <x v="5"/>
    <x v="6"/>
    <x v="12"/>
    <x v="20"/>
    <x v="18"/>
    <x v="27"/>
    <x v="24"/>
    <x v="75"/>
    <x v="6"/>
    <x v="6"/>
    <x v="99"/>
    <x v="27"/>
    <x v="172"/>
    <x v="0"/>
    <x v="0"/>
    <x v="0"/>
    <x v="25"/>
    <x v="128"/>
    <x v="176"/>
    <x v="25"/>
    <x v="143"/>
    <x v="202"/>
  </r>
  <r>
    <x v="0"/>
    <x v="6"/>
    <x v="148"/>
    <x v="81"/>
    <x v="2"/>
    <x v="59"/>
    <x v="39"/>
    <x v="13"/>
    <x v="5"/>
    <x v="3"/>
    <x v="4"/>
    <x v="12"/>
    <x v="20"/>
    <x v="7"/>
    <x v="27"/>
    <x v="16"/>
    <x v="75"/>
    <x v="6"/>
    <x v="3"/>
    <x v="99"/>
    <x v="27"/>
    <x v="172"/>
    <x v="0"/>
    <x v="0"/>
    <x v="0"/>
    <x v="25"/>
    <x v="128"/>
    <x v="176"/>
    <x v="25"/>
    <x v="143"/>
    <x v="202"/>
  </r>
  <r>
    <x v="0"/>
    <x v="25"/>
    <x v="12"/>
    <x v="0"/>
    <x v="2"/>
    <x v="15"/>
    <x v="127"/>
    <x v="29"/>
    <x v="166"/>
    <x v="44"/>
    <x v="57"/>
    <x v="42"/>
    <x v="26"/>
    <x v="95"/>
    <x v="27"/>
    <x v="114"/>
    <x v="59"/>
    <x v="26"/>
    <x v="124"/>
    <x v="78"/>
    <x v="27"/>
    <x v="152"/>
    <x v="27"/>
    <x v="83"/>
    <x v="144"/>
    <x v="23"/>
    <x v="93"/>
    <x v="144"/>
    <x v="24"/>
    <x v="106"/>
    <x v="164"/>
  </r>
  <r>
    <x v="6"/>
    <x v="6"/>
    <x v="245"/>
    <x v="82"/>
    <x v="2"/>
    <x v="60"/>
    <x v="23"/>
    <x v="0"/>
    <x v="41"/>
    <x v="41"/>
    <x v="69"/>
    <x v="6"/>
    <x v="18"/>
    <x v="80"/>
    <x v="7"/>
    <x v="47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332"/>
    <x v="83"/>
    <x v="2"/>
    <x v="37"/>
    <x v="82"/>
    <x v="22"/>
    <x v="109"/>
    <x v="33"/>
    <x v="45"/>
    <x v="25"/>
    <x v="26"/>
    <x v="77"/>
    <x v="27"/>
    <x v="96"/>
    <x v="47"/>
    <x v="26"/>
    <x v="104"/>
    <x v="63"/>
    <x v="27"/>
    <x v="132"/>
    <x v="23"/>
    <x v="0"/>
    <x v="116"/>
    <x v="25"/>
    <x v="128"/>
    <x v="176"/>
    <x v="25"/>
    <x v="143"/>
    <x v="202"/>
  </r>
  <r>
    <x v="0"/>
    <x v="40"/>
    <x v="118"/>
    <x v="42"/>
    <x v="2"/>
    <x v="40"/>
    <x v="23"/>
    <x v="12"/>
    <x v="40"/>
    <x v="22"/>
    <x v="69"/>
    <x v="13"/>
    <x v="26"/>
    <x v="62"/>
    <x v="7"/>
    <x v="23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239"/>
    <x v="84"/>
    <x v="2"/>
    <x v="60"/>
    <x v="164"/>
    <x v="30"/>
    <x v="141"/>
    <x v="30"/>
    <x v="39"/>
    <x v="42"/>
    <x v="18"/>
    <x v="58"/>
    <x v="27"/>
    <x v="89"/>
    <x v="41"/>
    <x v="26"/>
    <x v="97"/>
    <x v="56"/>
    <x v="27"/>
    <x v="123"/>
    <x v="27"/>
    <x v="62"/>
    <x v="115"/>
    <x v="23"/>
    <x v="69"/>
    <x v="116"/>
    <x v="24"/>
    <x v="82"/>
    <x v="133"/>
  </r>
  <r>
    <x v="0"/>
    <x v="16"/>
    <x v="309"/>
    <x v="85"/>
    <x v="2"/>
    <x v="60"/>
    <x v="75"/>
    <x v="19"/>
    <x v="66"/>
    <x v="22"/>
    <x v="30"/>
    <x v="22"/>
    <x v="18"/>
    <x v="49"/>
    <x v="27"/>
    <x v="73"/>
    <x v="31"/>
    <x v="26"/>
    <x v="79"/>
    <x v="43"/>
    <x v="27"/>
    <x v="104"/>
    <x v="9"/>
    <x v="109"/>
    <x v="25"/>
    <x v="25"/>
    <x v="128"/>
    <x v="176"/>
    <x v="25"/>
    <x v="143"/>
    <x v="202"/>
  </r>
  <r>
    <x v="0"/>
    <x v="6"/>
    <x v="348"/>
    <x v="86"/>
    <x v="2"/>
    <x v="61"/>
    <x v="57"/>
    <x v="16"/>
    <x v="52"/>
    <x v="22"/>
    <x v="30"/>
    <x v="18"/>
    <x v="17"/>
    <x v="47"/>
    <x v="27"/>
    <x v="74"/>
    <x v="31"/>
    <x v="26"/>
    <x v="81"/>
    <x v="99"/>
    <x v="9"/>
    <x v="37"/>
    <x v="0"/>
    <x v="0"/>
    <x v="0"/>
    <x v="25"/>
    <x v="128"/>
    <x v="176"/>
    <x v="25"/>
    <x v="143"/>
    <x v="202"/>
  </r>
  <r>
    <x v="0"/>
    <x v="24"/>
    <x v="76"/>
    <x v="29"/>
    <x v="2"/>
    <x v="30"/>
    <x v="140"/>
    <x v="32"/>
    <x v="154"/>
    <x v="37"/>
    <x v="49"/>
    <x v="42"/>
    <x v="26"/>
    <x v="84"/>
    <x v="27"/>
    <x v="105"/>
    <x v="51"/>
    <x v="26"/>
    <x v="112"/>
    <x v="68"/>
    <x v="27"/>
    <x v="140"/>
    <x v="27"/>
    <x v="74"/>
    <x v="133"/>
    <x v="23"/>
    <x v="82"/>
    <x v="134"/>
    <x v="24"/>
    <x v="93"/>
    <x v="153"/>
  </r>
  <r>
    <x v="0"/>
    <x v="6"/>
    <x v="189"/>
    <x v="87"/>
    <x v="2"/>
    <x v="61"/>
    <x v="57"/>
    <x v="16"/>
    <x v="30"/>
    <x v="10"/>
    <x v="14"/>
    <x v="18"/>
    <x v="17"/>
    <x v="28"/>
    <x v="27"/>
    <x v="41"/>
    <x v="12"/>
    <x v="26"/>
    <x v="46"/>
    <x v="99"/>
    <x v="9"/>
    <x v="17"/>
    <x v="0"/>
    <x v="0"/>
    <x v="0"/>
    <x v="25"/>
    <x v="128"/>
    <x v="176"/>
    <x v="25"/>
    <x v="143"/>
    <x v="202"/>
  </r>
  <r>
    <x v="6"/>
    <x v="6"/>
    <x v="333"/>
    <x v="88"/>
    <x v="2"/>
    <x v="62"/>
    <x v="24"/>
    <x v="0"/>
    <x v="8"/>
    <x v="10"/>
    <x v="69"/>
    <x v="6"/>
    <x v="16"/>
    <x v="27"/>
    <x v="9"/>
    <x v="11"/>
    <x v="75"/>
    <x v="26"/>
    <x v="138"/>
    <x v="99"/>
    <x v="27"/>
    <x v="172"/>
    <x v="0"/>
    <x v="0"/>
    <x v="0"/>
    <x v="25"/>
    <x v="128"/>
    <x v="176"/>
    <x v="25"/>
    <x v="143"/>
    <x v="202"/>
  </r>
  <r>
    <x v="6"/>
    <x v="6"/>
    <x v="128"/>
    <x v="89"/>
    <x v="2"/>
    <x v="62"/>
    <x v="24"/>
    <x v="0"/>
    <x v="10"/>
    <x v="13"/>
    <x v="69"/>
    <x v="6"/>
    <x v="16"/>
    <x v="34"/>
    <x v="9"/>
    <x v="17"/>
    <x v="75"/>
    <x v="26"/>
    <x v="138"/>
    <x v="99"/>
    <x v="27"/>
    <x v="172"/>
    <x v="0"/>
    <x v="0"/>
    <x v="0"/>
    <x v="25"/>
    <x v="128"/>
    <x v="176"/>
    <x v="25"/>
    <x v="143"/>
    <x v="202"/>
  </r>
  <r>
    <x v="6"/>
    <x v="6"/>
    <x v="24"/>
    <x v="90"/>
    <x v="2"/>
    <x v="62"/>
    <x v="24"/>
    <x v="0"/>
    <x v="8"/>
    <x v="10"/>
    <x v="69"/>
    <x v="6"/>
    <x v="16"/>
    <x v="27"/>
    <x v="9"/>
    <x v="11"/>
    <x v="75"/>
    <x v="26"/>
    <x v="138"/>
    <x v="99"/>
    <x v="27"/>
    <x v="172"/>
    <x v="0"/>
    <x v="0"/>
    <x v="0"/>
    <x v="25"/>
    <x v="128"/>
    <x v="176"/>
    <x v="25"/>
    <x v="143"/>
    <x v="202"/>
  </r>
  <r>
    <x v="6"/>
    <x v="6"/>
    <x v="54"/>
    <x v="91"/>
    <x v="2"/>
    <x v="63"/>
    <x v="25"/>
    <x v="0"/>
    <x v="8"/>
    <x v="10"/>
    <x v="69"/>
    <x v="6"/>
    <x v="15"/>
    <x v="25"/>
    <x v="10"/>
    <x v="15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248"/>
    <x v="92"/>
    <x v="2"/>
    <x v="64"/>
    <x v="166"/>
    <x v="30"/>
    <x v="158"/>
    <x v="38"/>
    <x v="51"/>
    <x v="42"/>
    <x v="14"/>
    <x v="65"/>
    <x v="27"/>
    <x v="106"/>
    <x v="54"/>
    <x v="26"/>
    <x v="116"/>
    <x v="71"/>
    <x v="27"/>
    <x v="146"/>
    <x v="27"/>
    <x v="77"/>
    <x v="137"/>
    <x v="23"/>
    <x v="86"/>
    <x v="137"/>
    <x v="24"/>
    <x v="98"/>
    <x v="157"/>
  </r>
  <r>
    <x v="0"/>
    <x v="17"/>
    <x v="316"/>
    <x v="93"/>
    <x v="2"/>
    <x v="65"/>
    <x v="60"/>
    <x v="15"/>
    <x v="181"/>
    <x v="51"/>
    <x v="65"/>
    <x v="18"/>
    <x v="13"/>
    <x v="101"/>
    <x v="27"/>
    <x v="123"/>
    <x v="71"/>
    <x v="26"/>
    <x v="134"/>
    <x v="99"/>
    <x v="13"/>
    <x v="165"/>
    <x v="0"/>
    <x v="0"/>
    <x v="0"/>
    <x v="25"/>
    <x v="128"/>
    <x v="176"/>
    <x v="25"/>
    <x v="143"/>
    <x v="202"/>
  </r>
  <r>
    <x v="0"/>
    <x v="6"/>
    <x v="286"/>
    <x v="94"/>
    <x v="2"/>
    <x v="65"/>
    <x v="97"/>
    <x v="22"/>
    <x v="60"/>
    <x v="13"/>
    <x v="19"/>
    <x v="27"/>
    <x v="13"/>
    <x v="26"/>
    <x v="27"/>
    <x v="46"/>
    <x v="18"/>
    <x v="26"/>
    <x v="55"/>
    <x v="24"/>
    <x v="27"/>
    <x v="76"/>
    <x v="27"/>
    <x v="28"/>
    <x v="72"/>
    <x v="23"/>
    <x v="36"/>
    <x v="69"/>
    <x v="8"/>
    <x v="143"/>
    <x v="29"/>
  </r>
  <r>
    <x v="0"/>
    <x v="6"/>
    <x v="82"/>
    <x v="95"/>
    <x v="2"/>
    <x v="65"/>
    <x v="43"/>
    <x v="13"/>
    <x v="40"/>
    <x v="22"/>
    <x v="30"/>
    <x v="13"/>
    <x v="13"/>
    <x v="42"/>
    <x v="27"/>
    <x v="70"/>
    <x v="75"/>
    <x v="14"/>
    <x v="42"/>
    <x v="99"/>
    <x v="27"/>
    <x v="172"/>
    <x v="0"/>
    <x v="0"/>
    <x v="0"/>
    <x v="25"/>
    <x v="128"/>
    <x v="176"/>
    <x v="25"/>
    <x v="143"/>
    <x v="202"/>
  </r>
  <r>
    <x v="0"/>
    <x v="18"/>
    <x v="243"/>
    <x v="96"/>
    <x v="2"/>
    <x v="65"/>
    <x v="167"/>
    <x v="32"/>
    <x v="154"/>
    <x v="37"/>
    <x v="49"/>
    <x v="42"/>
    <x v="13"/>
    <x v="59"/>
    <x v="27"/>
    <x v="105"/>
    <x v="51"/>
    <x v="26"/>
    <x v="112"/>
    <x v="68"/>
    <x v="27"/>
    <x v="140"/>
    <x v="27"/>
    <x v="74"/>
    <x v="133"/>
    <x v="23"/>
    <x v="82"/>
    <x v="134"/>
    <x v="24"/>
    <x v="93"/>
    <x v="153"/>
  </r>
  <r>
    <x v="0"/>
    <x v="39"/>
    <x v="352"/>
    <x v="97"/>
    <x v="2"/>
    <x v="66"/>
    <x v="27"/>
    <x v="0"/>
    <x v="23"/>
    <x v="22"/>
    <x v="69"/>
    <x v="6"/>
    <x v="12"/>
    <x v="41"/>
    <x v="12"/>
    <x v="38"/>
    <x v="0"/>
    <x v="26"/>
    <x v="0"/>
    <x v="0"/>
    <x v="27"/>
    <x v="0"/>
    <x v="0"/>
    <x v="0"/>
    <x v="0"/>
    <x v="25"/>
    <x v="128"/>
    <x v="176"/>
    <x v="25"/>
    <x v="143"/>
    <x v="202"/>
  </r>
  <r>
    <x v="6"/>
    <x v="6"/>
    <x v="71"/>
    <x v="98"/>
    <x v="2"/>
    <x v="66"/>
    <x v="27"/>
    <x v="0"/>
    <x v="30"/>
    <x v="35"/>
    <x v="69"/>
    <x v="6"/>
    <x v="12"/>
    <x v="51"/>
    <x v="12"/>
    <x v="52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203"/>
    <x v="99"/>
    <x v="2"/>
    <x v="76"/>
    <x v="173"/>
    <x v="30"/>
    <x v="95"/>
    <x v="54"/>
    <x v="17"/>
    <x v="42"/>
    <x v="0"/>
    <x v="0"/>
    <x v="27"/>
    <x v="44"/>
    <x v="16"/>
    <x v="26"/>
    <x v="51"/>
    <x v="22"/>
    <x v="27"/>
    <x v="67"/>
    <x v="27"/>
    <x v="25"/>
    <x v="63"/>
    <x v="23"/>
    <x v="33"/>
    <x v="61"/>
    <x v="24"/>
    <x v="38"/>
    <x v="72"/>
  </r>
  <r>
    <x v="6"/>
    <x v="6"/>
    <x v="1"/>
    <x v="100"/>
    <x v="2"/>
    <x v="67"/>
    <x v="28"/>
    <x v="0"/>
    <x v="8"/>
    <x v="10"/>
    <x v="69"/>
    <x v="7"/>
    <x v="11"/>
    <x v="15"/>
    <x v="14"/>
    <x v="23"/>
    <x v="75"/>
    <x v="26"/>
    <x v="138"/>
    <x v="99"/>
    <x v="27"/>
    <x v="172"/>
    <x v="0"/>
    <x v="0"/>
    <x v="0"/>
    <x v="25"/>
    <x v="128"/>
    <x v="176"/>
    <x v="25"/>
    <x v="143"/>
    <x v="202"/>
  </r>
  <r>
    <x v="6"/>
    <x v="6"/>
    <x v="266"/>
    <x v="101"/>
    <x v="2"/>
    <x v="64"/>
    <x v="26"/>
    <x v="0"/>
    <x v="40"/>
    <x v="39"/>
    <x v="69"/>
    <x v="7"/>
    <x v="14"/>
    <x v="68"/>
    <x v="11"/>
    <x v="68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259"/>
    <x v="102"/>
    <x v="2"/>
    <x v="68"/>
    <x v="168"/>
    <x v="30"/>
    <x v="139"/>
    <x v="28"/>
    <x v="37"/>
    <x v="42"/>
    <x v="8"/>
    <x v="30"/>
    <x v="27"/>
    <x v="86"/>
    <x v="39"/>
    <x v="26"/>
    <x v="94"/>
    <x v="54"/>
    <x v="27"/>
    <x v="120"/>
    <x v="27"/>
    <x v="60"/>
    <x v="112"/>
    <x v="23"/>
    <x v="67"/>
    <x v="113"/>
    <x v="24"/>
    <x v="80"/>
    <x v="130"/>
  </r>
  <r>
    <x v="0"/>
    <x v="6"/>
    <x v="40"/>
    <x v="103"/>
    <x v="2"/>
    <x v="70"/>
    <x v="64"/>
    <x v="16"/>
    <x v="44"/>
    <x v="17"/>
    <x v="24"/>
    <x v="17"/>
    <x v="6"/>
    <x v="11"/>
    <x v="27"/>
    <x v="57"/>
    <x v="25"/>
    <x v="26"/>
    <x v="69"/>
    <x v="99"/>
    <x v="20"/>
    <x v="69"/>
    <x v="0"/>
    <x v="0"/>
    <x v="0"/>
    <x v="25"/>
    <x v="128"/>
    <x v="176"/>
    <x v="25"/>
    <x v="143"/>
    <x v="202"/>
  </r>
  <r>
    <x v="8"/>
    <x v="17"/>
    <x v="229"/>
    <x v="104"/>
    <x v="2"/>
    <x v="69"/>
    <x v="30"/>
    <x v="0"/>
    <x v="30"/>
    <x v="35"/>
    <x v="69"/>
    <x v="6"/>
    <x v="7"/>
    <x v="36"/>
    <x v="18"/>
    <x v="79"/>
    <x v="75"/>
    <x v="27"/>
    <x v="138"/>
    <x v="99"/>
    <x v="29"/>
    <x v="172"/>
    <x v="0"/>
    <x v="0"/>
    <x v="0"/>
    <x v="25"/>
    <x v="128"/>
    <x v="176"/>
    <x v="25"/>
    <x v="143"/>
    <x v="202"/>
  </r>
  <r>
    <x v="6"/>
    <x v="6"/>
    <x v="302"/>
    <x v="105"/>
    <x v="2"/>
    <x v="70"/>
    <x v="31"/>
    <x v="0"/>
    <x v="23"/>
    <x v="22"/>
    <x v="69"/>
    <x v="6"/>
    <x v="6"/>
    <x v="20"/>
    <x v="19"/>
    <x v="53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56"/>
    <x v="106"/>
    <x v="2"/>
    <x v="70"/>
    <x v="65"/>
    <x v="16"/>
    <x v="52"/>
    <x v="22"/>
    <x v="30"/>
    <x v="19"/>
    <x v="6"/>
    <x v="19"/>
    <x v="27"/>
    <x v="71"/>
    <x v="31"/>
    <x v="26"/>
    <x v="76"/>
    <x v="99"/>
    <x v="22"/>
    <x v="91"/>
    <x v="0"/>
    <x v="0"/>
    <x v="0"/>
    <x v="25"/>
    <x v="128"/>
    <x v="176"/>
    <x v="25"/>
    <x v="143"/>
    <x v="202"/>
  </r>
  <r>
    <x v="0"/>
    <x v="6"/>
    <x v="139"/>
    <x v="107"/>
    <x v="2"/>
    <x v="73"/>
    <x v="171"/>
    <x v="30"/>
    <x v="140"/>
    <x v="29"/>
    <x v="38"/>
    <x v="42"/>
    <x v="3"/>
    <x v="9"/>
    <x v="27"/>
    <x v="88"/>
    <x v="40"/>
    <x v="26"/>
    <x v="96"/>
    <x v="55"/>
    <x v="27"/>
    <x v="122"/>
    <x v="27"/>
    <x v="61"/>
    <x v="114"/>
    <x v="23"/>
    <x v="68"/>
    <x v="115"/>
    <x v="24"/>
    <x v="81"/>
    <x v="132"/>
  </r>
  <r>
    <x v="0"/>
    <x v="6"/>
    <x v="293"/>
    <x v="108"/>
    <x v="2"/>
    <x v="71"/>
    <x v="169"/>
    <x v="30"/>
    <x v="150"/>
    <x v="34"/>
    <x v="46"/>
    <x v="42"/>
    <x v="5"/>
    <x v="24"/>
    <x v="27"/>
    <x v="97"/>
    <x v="48"/>
    <x v="26"/>
    <x v="105"/>
    <x v="64"/>
    <x v="27"/>
    <x v="133"/>
    <x v="27"/>
    <x v="70"/>
    <x v="127"/>
    <x v="23"/>
    <x v="78"/>
    <x v="127"/>
    <x v="24"/>
    <x v="90"/>
    <x v="146"/>
  </r>
  <r>
    <x v="0"/>
    <x v="6"/>
    <x v="77"/>
    <x v="109"/>
    <x v="2"/>
    <x v="71"/>
    <x v="169"/>
    <x v="30"/>
    <x v="42"/>
    <x v="1"/>
    <x v="2"/>
    <x v="42"/>
    <x v="5"/>
    <x v="3"/>
    <x v="27"/>
    <x v="12"/>
    <x v="1"/>
    <x v="26"/>
    <x v="14"/>
    <x v="3"/>
    <x v="27"/>
    <x v="20"/>
    <x v="27"/>
    <x v="4"/>
    <x v="12"/>
    <x v="23"/>
    <x v="5"/>
    <x v="15"/>
    <x v="24"/>
    <x v="5"/>
    <x v="18"/>
  </r>
  <r>
    <x v="0"/>
    <x v="6"/>
    <x v="267"/>
    <x v="110"/>
    <x v="2"/>
    <x v="71"/>
    <x v="169"/>
    <x v="30"/>
    <x v="42"/>
    <x v="1"/>
    <x v="2"/>
    <x v="42"/>
    <x v="5"/>
    <x v="3"/>
    <x v="27"/>
    <x v="12"/>
    <x v="1"/>
    <x v="26"/>
    <x v="14"/>
    <x v="3"/>
    <x v="27"/>
    <x v="20"/>
    <x v="27"/>
    <x v="4"/>
    <x v="12"/>
    <x v="23"/>
    <x v="5"/>
    <x v="15"/>
    <x v="24"/>
    <x v="5"/>
    <x v="18"/>
  </r>
  <r>
    <x v="0"/>
    <x v="6"/>
    <x v="72"/>
    <x v="111"/>
    <x v="2"/>
    <x v="71"/>
    <x v="169"/>
    <x v="30"/>
    <x v="42"/>
    <x v="1"/>
    <x v="2"/>
    <x v="42"/>
    <x v="5"/>
    <x v="3"/>
    <x v="27"/>
    <x v="12"/>
    <x v="1"/>
    <x v="26"/>
    <x v="14"/>
    <x v="3"/>
    <x v="27"/>
    <x v="20"/>
    <x v="27"/>
    <x v="4"/>
    <x v="12"/>
    <x v="23"/>
    <x v="5"/>
    <x v="15"/>
    <x v="24"/>
    <x v="5"/>
    <x v="18"/>
  </r>
  <r>
    <x v="0"/>
    <x v="6"/>
    <x v="297"/>
    <x v="112"/>
    <x v="2"/>
    <x v="71"/>
    <x v="169"/>
    <x v="30"/>
    <x v="42"/>
    <x v="1"/>
    <x v="2"/>
    <x v="42"/>
    <x v="5"/>
    <x v="3"/>
    <x v="27"/>
    <x v="12"/>
    <x v="1"/>
    <x v="26"/>
    <x v="14"/>
    <x v="3"/>
    <x v="27"/>
    <x v="20"/>
    <x v="27"/>
    <x v="4"/>
    <x v="12"/>
    <x v="23"/>
    <x v="5"/>
    <x v="15"/>
    <x v="24"/>
    <x v="5"/>
    <x v="18"/>
  </r>
  <r>
    <x v="0"/>
    <x v="6"/>
    <x v="113"/>
    <x v="113"/>
    <x v="2"/>
    <x v="71"/>
    <x v="169"/>
    <x v="30"/>
    <x v="42"/>
    <x v="1"/>
    <x v="2"/>
    <x v="42"/>
    <x v="5"/>
    <x v="3"/>
    <x v="27"/>
    <x v="12"/>
    <x v="1"/>
    <x v="26"/>
    <x v="14"/>
    <x v="3"/>
    <x v="27"/>
    <x v="20"/>
    <x v="27"/>
    <x v="4"/>
    <x v="12"/>
    <x v="23"/>
    <x v="5"/>
    <x v="15"/>
    <x v="24"/>
    <x v="5"/>
    <x v="18"/>
  </r>
  <r>
    <x v="0"/>
    <x v="6"/>
    <x v="356"/>
    <x v="114"/>
    <x v="2"/>
    <x v="71"/>
    <x v="169"/>
    <x v="30"/>
    <x v="42"/>
    <x v="1"/>
    <x v="2"/>
    <x v="42"/>
    <x v="5"/>
    <x v="3"/>
    <x v="27"/>
    <x v="12"/>
    <x v="1"/>
    <x v="26"/>
    <x v="14"/>
    <x v="3"/>
    <x v="27"/>
    <x v="20"/>
    <x v="27"/>
    <x v="4"/>
    <x v="12"/>
    <x v="23"/>
    <x v="5"/>
    <x v="15"/>
    <x v="24"/>
    <x v="5"/>
    <x v="18"/>
  </r>
  <r>
    <x v="0"/>
    <x v="6"/>
    <x v="181"/>
    <x v="115"/>
    <x v="2"/>
    <x v="71"/>
    <x v="169"/>
    <x v="30"/>
    <x v="42"/>
    <x v="1"/>
    <x v="2"/>
    <x v="42"/>
    <x v="5"/>
    <x v="3"/>
    <x v="27"/>
    <x v="12"/>
    <x v="1"/>
    <x v="26"/>
    <x v="14"/>
    <x v="3"/>
    <x v="27"/>
    <x v="20"/>
    <x v="27"/>
    <x v="4"/>
    <x v="12"/>
    <x v="23"/>
    <x v="5"/>
    <x v="15"/>
    <x v="24"/>
    <x v="5"/>
    <x v="18"/>
  </r>
  <r>
    <x v="0"/>
    <x v="6"/>
    <x v="268"/>
    <x v="116"/>
    <x v="2"/>
    <x v="71"/>
    <x v="169"/>
    <x v="30"/>
    <x v="42"/>
    <x v="1"/>
    <x v="2"/>
    <x v="42"/>
    <x v="5"/>
    <x v="3"/>
    <x v="27"/>
    <x v="12"/>
    <x v="1"/>
    <x v="26"/>
    <x v="14"/>
    <x v="3"/>
    <x v="27"/>
    <x v="20"/>
    <x v="27"/>
    <x v="4"/>
    <x v="12"/>
    <x v="23"/>
    <x v="5"/>
    <x v="15"/>
    <x v="24"/>
    <x v="5"/>
    <x v="18"/>
  </r>
  <r>
    <x v="0"/>
    <x v="6"/>
    <x v="175"/>
    <x v="117"/>
    <x v="2"/>
    <x v="71"/>
    <x v="169"/>
    <x v="30"/>
    <x v="42"/>
    <x v="1"/>
    <x v="2"/>
    <x v="42"/>
    <x v="5"/>
    <x v="3"/>
    <x v="27"/>
    <x v="12"/>
    <x v="1"/>
    <x v="26"/>
    <x v="14"/>
    <x v="3"/>
    <x v="27"/>
    <x v="20"/>
    <x v="27"/>
    <x v="4"/>
    <x v="12"/>
    <x v="23"/>
    <x v="5"/>
    <x v="15"/>
    <x v="24"/>
    <x v="5"/>
    <x v="18"/>
  </r>
  <r>
    <x v="0"/>
    <x v="15"/>
    <x v="225"/>
    <x v="118"/>
    <x v="2"/>
    <x v="71"/>
    <x v="169"/>
    <x v="30"/>
    <x v="0"/>
    <x v="0"/>
    <x v="1"/>
    <x v="42"/>
    <x v="5"/>
    <x v="0"/>
    <x v="27"/>
    <x v="0"/>
    <x v="0"/>
    <x v="26"/>
    <x v="0"/>
    <x v="0"/>
    <x v="27"/>
    <x v="0"/>
    <x v="27"/>
    <x v="0"/>
    <x v="0"/>
    <x v="23"/>
    <x v="0"/>
    <x v="0"/>
    <x v="24"/>
    <x v="0"/>
    <x v="0"/>
  </r>
  <r>
    <x v="0"/>
    <x v="6"/>
    <x v="15"/>
    <x v="119"/>
    <x v="2"/>
    <x v="74"/>
    <x v="67"/>
    <x v="16"/>
    <x v="101"/>
    <x v="45"/>
    <x v="58"/>
    <x v="18"/>
    <x v="2"/>
    <x v="21"/>
    <x v="27"/>
    <x v="115"/>
    <x v="60"/>
    <x v="26"/>
    <x v="125"/>
    <x v="99"/>
    <x v="25"/>
    <x v="150"/>
    <x v="0"/>
    <x v="0"/>
    <x v="0"/>
    <x v="25"/>
    <x v="128"/>
    <x v="176"/>
    <x v="25"/>
    <x v="143"/>
    <x v="202"/>
  </r>
  <r>
    <x v="0"/>
    <x v="6"/>
    <x v="121"/>
    <x v="120"/>
    <x v="2"/>
    <x v="71"/>
    <x v="47"/>
    <x v="13"/>
    <x v="66"/>
    <x v="39"/>
    <x v="52"/>
    <x v="12"/>
    <x v="5"/>
    <x v="35"/>
    <x v="27"/>
    <x v="108"/>
    <x v="75"/>
    <x v="21"/>
    <x v="108"/>
    <x v="99"/>
    <x v="29"/>
    <x v="172"/>
    <x v="28"/>
    <x v="109"/>
    <x v="169"/>
    <x v="25"/>
    <x v="128"/>
    <x v="176"/>
    <x v="25"/>
    <x v="143"/>
    <x v="202"/>
  </r>
  <r>
    <x v="6"/>
    <x v="6"/>
    <x v="44"/>
    <x v="121"/>
    <x v="2"/>
    <x v="72"/>
    <x v="33"/>
    <x v="0"/>
    <x v="23"/>
    <x v="22"/>
    <x v="69"/>
    <x v="7"/>
    <x v="4"/>
    <x v="8"/>
    <x v="22"/>
    <x v="62"/>
    <x v="75"/>
    <x v="26"/>
    <x v="138"/>
    <x v="99"/>
    <x v="27"/>
    <x v="172"/>
    <x v="0"/>
    <x v="0"/>
    <x v="0"/>
    <x v="25"/>
    <x v="128"/>
    <x v="176"/>
    <x v="25"/>
    <x v="143"/>
    <x v="202"/>
  </r>
  <r>
    <x v="9"/>
    <x v="18"/>
    <x v="233"/>
    <x v="122"/>
    <x v="2"/>
    <x v="72"/>
    <x v="170"/>
    <x v="32"/>
    <x v="138"/>
    <x v="27"/>
    <x v="36"/>
    <x v="42"/>
    <x v="4"/>
    <x v="12"/>
    <x v="28"/>
    <x v="122"/>
    <x v="38"/>
    <x v="26"/>
    <x v="93"/>
    <x v="53"/>
    <x v="27"/>
    <x v="119"/>
    <x v="27"/>
    <x v="59"/>
    <x v="110"/>
    <x v="23"/>
    <x v="66"/>
    <x v="111"/>
    <x v="24"/>
    <x v="79"/>
    <x v="129"/>
  </r>
  <r>
    <x v="0"/>
    <x v="28"/>
    <x v="280"/>
    <x v="123"/>
    <x v="2"/>
    <x v="26"/>
    <x v="138"/>
    <x v="33"/>
    <x v="132"/>
    <x v="25"/>
    <x v="34"/>
    <x v="43"/>
    <x v="26"/>
    <x v="69"/>
    <x v="27"/>
    <x v="81"/>
    <x v="36"/>
    <x v="26"/>
    <x v="88"/>
    <x v="49"/>
    <x v="27"/>
    <x v="114"/>
    <x v="27"/>
    <x v="54"/>
    <x v="104"/>
    <x v="23"/>
    <x v="61"/>
    <x v="105"/>
    <x v="24"/>
    <x v="74"/>
    <x v="123"/>
  </r>
  <r>
    <x v="0"/>
    <x v="6"/>
    <x v="65"/>
    <x v="124"/>
    <x v="2"/>
    <x v="52"/>
    <x v="160"/>
    <x v="30"/>
    <x v="150"/>
    <x v="34"/>
    <x v="46"/>
    <x v="43"/>
    <x v="26"/>
    <x v="76"/>
    <x v="27"/>
    <x v="95"/>
    <x v="48"/>
    <x v="26"/>
    <x v="103"/>
    <x v="64"/>
    <x v="27"/>
    <x v="131"/>
    <x v="27"/>
    <x v="70"/>
    <x v="126"/>
    <x v="23"/>
    <x v="78"/>
    <x v="126"/>
    <x v="24"/>
    <x v="90"/>
    <x v="145"/>
  </r>
  <r>
    <x v="0"/>
    <x v="6"/>
    <x v="295"/>
    <x v="125"/>
    <x v="2"/>
    <x v="52"/>
    <x v="160"/>
    <x v="30"/>
    <x v="165"/>
    <x v="43"/>
    <x v="56"/>
    <x v="43"/>
    <x v="26"/>
    <x v="94"/>
    <x v="27"/>
    <x v="113"/>
    <x v="58"/>
    <x v="26"/>
    <x v="123"/>
    <x v="77"/>
    <x v="27"/>
    <x v="151"/>
    <x v="27"/>
    <x v="82"/>
    <x v="143"/>
    <x v="23"/>
    <x v="92"/>
    <x v="143"/>
    <x v="24"/>
    <x v="105"/>
    <x v="163"/>
  </r>
  <r>
    <x v="6"/>
    <x v="6"/>
    <x v="64"/>
    <x v="126"/>
    <x v="2"/>
    <x v="75"/>
    <x v="34"/>
    <x v="0"/>
    <x v="5"/>
    <x v="8"/>
    <x v="69"/>
    <x v="6"/>
    <x v="1"/>
    <x v="2"/>
    <x v="24"/>
    <x v="30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18"/>
    <x v="296"/>
    <x v="127"/>
    <x v="2"/>
    <x v="60"/>
    <x v="164"/>
    <x v="32"/>
    <x v="117"/>
    <x v="20"/>
    <x v="28"/>
    <x v="42"/>
    <x v="18"/>
    <x v="44"/>
    <x v="27"/>
    <x v="67"/>
    <x v="28"/>
    <x v="26"/>
    <x v="73"/>
    <x v="38"/>
    <x v="27"/>
    <x v="98"/>
    <x v="27"/>
    <x v="42"/>
    <x v="90"/>
    <x v="23"/>
    <x v="49"/>
    <x v="88"/>
    <x v="24"/>
    <x v="60"/>
    <x v="104"/>
  </r>
  <r>
    <x v="0"/>
    <x v="14"/>
    <x v="304"/>
    <x v="128"/>
    <x v="2"/>
    <x v="75"/>
    <x v="172"/>
    <x v="31"/>
    <x v="94"/>
    <x v="11"/>
    <x v="16"/>
    <x v="42"/>
    <x v="1"/>
    <x v="4"/>
    <x v="27"/>
    <x v="43"/>
    <x v="15"/>
    <x v="26"/>
    <x v="50"/>
    <x v="21"/>
    <x v="27"/>
    <x v="66"/>
    <x v="27"/>
    <x v="24"/>
    <x v="62"/>
    <x v="23"/>
    <x v="32"/>
    <x v="60"/>
    <x v="24"/>
    <x v="37"/>
    <x v="71"/>
  </r>
  <r>
    <x v="0"/>
    <x v="6"/>
    <x v="223"/>
    <x v="129"/>
    <x v="2"/>
    <x v="75"/>
    <x v="172"/>
    <x v="30"/>
    <x v="43"/>
    <x v="2"/>
    <x v="3"/>
    <x v="42"/>
    <x v="1"/>
    <x v="1"/>
    <x v="27"/>
    <x v="13"/>
    <x v="2"/>
    <x v="26"/>
    <x v="15"/>
    <x v="4"/>
    <x v="27"/>
    <x v="21"/>
    <x v="27"/>
    <x v="5"/>
    <x v="13"/>
    <x v="23"/>
    <x v="6"/>
    <x v="16"/>
    <x v="24"/>
    <x v="6"/>
    <x v="19"/>
  </r>
  <r>
    <x v="0"/>
    <x v="6"/>
    <x v="99"/>
    <x v="130"/>
    <x v="2"/>
    <x v="75"/>
    <x v="172"/>
    <x v="30"/>
    <x v="43"/>
    <x v="2"/>
    <x v="3"/>
    <x v="42"/>
    <x v="1"/>
    <x v="1"/>
    <x v="27"/>
    <x v="13"/>
    <x v="2"/>
    <x v="26"/>
    <x v="15"/>
    <x v="4"/>
    <x v="27"/>
    <x v="21"/>
    <x v="27"/>
    <x v="5"/>
    <x v="13"/>
    <x v="23"/>
    <x v="6"/>
    <x v="16"/>
    <x v="24"/>
    <x v="6"/>
    <x v="19"/>
  </r>
  <r>
    <x v="0"/>
    <x v="6"/>
    <x v="152"/>
    <x v="131"/>
    <x v="2"/>
    <x v="75"/>
    <x v="172"/>
    <x v="30"/>
    <x v="43"/>
    <x v="2"/>
    <x v="3"/>
    <x v="42"/>
    <x v="1"/>
    <x v="1"/>
    <x v="27"/>
    <x v="13"/>
    <x v="2"/>
    <x v="26"/>
    <x v="15"/>
    <x v="4"/>
    <x v="27"/>
    <x v="21"/>
    <x v="27"/>
    <x v="5"/>
    <x v="13"/>
    <x v="23"/>
    <x v="6"/>
    <x v="16"/>
    <x v="24"/>
    <x v="6"/>
    <x v="19"/>
  </r>
  <r>
    <x v="0"/>
    <x v="6"/>
    <x v="145"/>
    <x v="132"/>
    <x v="2"/>
    <x v="75"/>
    <x v="172"/>
    <x v="30"/>
    <x v="43"/>
    <x v="2"/>
    <x v="3"/>
    <x v="42"/>
    <x v="1"/>
    <x v="1"/>
    <x v="27"/>
    <x v="13"/>
    <x v="2"/>
    <x v="26"/>
    <x v="15"/>
    <x v="4"/>
    <x v="27"/>
    <x v="21"/>
    <x v="27"/>
    <x v="5"/>
    <x v="13"/>
    <x v="23"/>
    <x v="6"/>
    <x v="16"/>
    <x v="24"/>
    <x v="6"/>
    <x v="19"/>
  </r>
  <r>
    <x v="0"/>
    <x v="6"/>
    <x v="204"/>
    <x v="133"/>
    <x v="2"/>
    <x v="75"/>
    <x v="172"/>
    <x v="30"/>
    <x v="43"/>
    <x v="2"/>
    <x v="3"/>
    <x v="42"/>
    <x v="1"/>
    <x v="1"/>
    <x v="27"/>
    <x v="13"/>
    <x v="2"/>
    <x v="26"/>
    <x v="15"/>
    <x v="4"/>
    <x v="27"/>
    <x v="21"/>
    <x v="27"/>
    <x v="5"/>
    <x v="13"/>
    <x v="23"/>
    <x v="6"/>
    <x v="16"/>
    <x v="24"/>
    <x v="6"/>
    <x v="19"/>
  </r>
  <r>
    <x v="0"/>
    <x v="6"/>
    <x v="30"/>
    <x v="134"/>
    <x v="2"/>
    <x v="75"/>
    <x v="172"/>
    <x v="30"/>
    <x v="43"/>
    <x v="2"/>
    <x v="3"/>
    <x v="42"/>
    <x v="1"/>
    <x v="1"/>
    <x v="27"/>
    <x v="13"/>
    <x v="2"/>
    <x v="26"/>
    <x v="15"/>
    <x v="4"/>
    <x v="27"/>
    <x v="21"/>
    <x v="27"/>
    <x v="5"/>
    <x v="13"/>
    <x v="23"/>
    <x v="6"/>
    <x v="16"/>
    <x v="24"/>
    <x v="6"/>
    <x v="19"/>
  </r>
  <r>
    <x v="0"/>
    <x v="26"/>
    <x v="103"/>
    <x v="135"/>
    <x v="2"/>
    <x v="75"/>
    <x v="172"/>
    <x v="29"/>
    <x v="152"/>
    <x v="36"/>
    <x v="48"/>
    <x v="42"/>
    <x v="26"/>
    <x v="82"/>
    <x v="27"/>
    <x v="101"/>
    <x v="50"/>
    <x v="26"/>
    <x v="107"/>
    <x v="66"/>
    <x v="27"/>
    <x v="136"/>
    <x v="27"/>
    <x v="72"/>
    <x v="130"/>
    <x v="23"/>
    <x v="80"/>
    <x v="130"/>
    <x v="24"/>
    <x v="92"/>
    <x v="150"/>
  </r>
  <r>
    <x v="0"/>
    <x v="6"/>
    <x v="146"/>
    <x v="136"/>
    <x v="2"/>
    <x v="75"/>
    <x v="104"/>
    <x v="22"/>
    <x v="60"/>
    <x v="13"/>
    <x v="19"/>
    <x v="27"/>
    <x v="1"/>
    <x v="5"/>
    <x v="27"/>
    <x v="46"/>
    <x v="18"/>
    <x v="26"/>
    <x v="55"/>
    <x v="24"/>
    <x v="27"/>
    <x v="76"/>
    <x v="27"/>
    <x v="28"/>
    <x v="72"/>
    <x v="23"/>
    <x v="36"/>
    <x v="69"/>
    <x v="21"/>
    <x v="143"/>
    <x v="68"/>
  </r>
  <r>
    <x v="6"/>
    <x v="6"/>
    <x v="277"/>
    <x v="137"/>
    <x v="2"/>
    <x v="76"/>
    <x v="35"/>
    <x v="0"/>
    <x v="71"/>
    <x v="54"/>
    <x v="63"/>
    <x v="7"/>
    <x v="0"/>
    <x v="0"/>
    <x v="27"/>
    <x v="121"/>
    <x v="75"/>
    <x v="26"/>
    <x v="138"/>
    <x v="99"/>
    <x v="27"/>
    <x v="172"/>
    <x v="0"/>
    <x v="0"/>
    <x v="0"/>
    <x v="25"/>
    <x v="128"/>
    <x v="176"/>
    <x v="25"/>
    <x v="143"/>
    <x v="202"/>
  </r>
  <r>
    <x v="6"/>
    <x v="6"/>
    <x v="222"/>
    <x v="138"/>
    <x v="2"/>
    <x v="75"/>
    <x v="35"/>
    <x v="0"/>
    <x v="30"/>
    <x v="35"/>
    <x v="69"/>
    <x v="9"/>
    <x v="1"/>
    <x v="6"/>
    <x v="27"/>
    <x v="93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6"/>
    <x v="93"/>
    <x v="139"/>
    <x v="2"/>
    <x v="76"/>
    <x v="51"/>
    <x v="13"/>
    <x v="31"/>
    <x v="54"/>
    <x v="24"/>
    <x v="12"/>
    <x v="0"/>
    <x v="0"/>
    <x v="27"/>
    <x v="56"/>
    <x v="25"/>
    <x v="26"/>
    <x v="68"/>
    <x v="99"/>
    <x v="27"/>
    <x v="172"/>
    <x v="0"/>
    <x v="0"/>
    <x v="0"/>
    <x v="25"/>
    <x v="128"/>
    <x v="176"/>
    <x v="25"/>
    <x v="143"/>
    <x v="202"/>
  </r>
  <r>
    <x v="0"/>
    <x v="46"/>
    <x v="180"/>
    <x v="1"/>
    <x v="2"/>
    <x v="4"/>
    <x v="111"/>
    <x v="32"/>
    <x v="67"/>
    <x v="6"/>
    <x v="8"/>
    <x v="43"/>
    <x v="26"/>
    <x v="29"/>
    <x v="27"/>
    <x v="28"/>
    <x v="5"/>
    <x v="26"/>
    <x v="29"/>
    <x v="7"/>
    <x v="27"/>
    <x v="39"/>
    <x v="27"/>
    <x v="8"/>
    <x v="31"/>
    <x v="23"/>
    <x v="10"/>
    <x v="32"/>
    <x v="24"/>
    <x v="12"/>
    <x v="33"/>
  </r>
  <r>
    <x v="0"/>
    <x v="21"/>
    <x v="89"/>
    <x v="31"/>
    <x v="2"/>
    <x v="9"/>
    <x v="121"/>
    <x v="32"/>
    <x v="75"/>
    <x v="9"/>
    <x v="11"/>
    <x v="43"/>
    <x v="26"/>
    <x v="38"/>
    <x v="27"/>
    <x v="36"/>
    <x v="7"/>
    <x v="26"/>
    <x v="36"/>
    <x v="12"/>
    <x v="27"/>
    <x v="49"/>
    <x v="27"/>
    <x v="13"/>
    <x v="42"/>
    <x v="23"/>
    <x v="17"/>
    <x v="43"/>
    <x v="24"/>
    <x v="20"/>
    <x v="45"/>
  </r>
  <r>
    <x v="0"/>
    <x v="52"/>
    <x v="303"/>
    <x v="65"/>
    <x v="2"/>
    <x v="3"/>
    <x v="105"/>
    <x v="32"/>
    <x v="106"/>
    <x v="15"/>
    <x v="22"/>
    <x v="43"/>
    <x v="26"/>
    <x v="48"/>
    <x v="27"/>
    <x v="50"/>
    <x v="22"/>
    <x v="26"/>
    <x v="62"/>
    <x v="29"/>
    <x v="27"/>
    <x v="85"/>
    <x v="27"/>
    <x v="34"/>
    <x v="78"/>
    <x v="23"/>
    <x v="42"/>
    <x v="76"/>
    <x v="22"/>
    <x v="143"/>
    <x v="86"/>
  </r>
  <r>
    <x v="0"/>
    <x v="7"/>
    <x v="278"/>
    <x v="140"/>
    <x v="1"/>
    <x v="77"/>
    <x v="36"/>
    <x v="0"/>
    <x v="23"/>
    <x v="54"/>
    <x v="30"/>
    <x v="7"/>
    <x v="27"/>
    <x v="104"/>
    <x v="26"/>
    <x v="69"/>
    <x v="75"/>
    <x v="1"/>
    <x v="2"/>
    <x v="99"/>
    <x v="27"/>
    <x v="172"/>
    <x v="0"/>
    <x v="0"/>
    <x v="0"/>
    <x v="25"/>
    <x v="128"/>
    <x v="176"/>
    <x v="25"/>
    <x v="143"/>
    <x v="202"/>
  </r>
  <r>
    <x v="0"/>
    <x v="7"/>
    <x v="114"/>
    <x v="141"/>
    <x v="1"/>
    <x v="77"/>
    <x v="36"/>
    <x v="0"/>
    <x v="30"/>
    <x v="54"/>
    <x v="47"/>
    <x v="7"/>
    <x v="27"/>
    <x v="104"/>
    <x v="26"/>
    <x v="94"/>
    <x v="75"/>
    <x v="1"/>
    <x v="4"/>
    <x v="99"/>
    <x v="27"/>
    <x v="172"/>
    <x v="0"/>
    <x v="0"/>
    <x v="0"/>
    <x v="25"/>
    <x v="128"/>
    <x v="176"/>
    <x v="25"/>
    <x v="143"/>
    <x v="202"/>
  </r>
  <r>
    <x v="6"/>
    <x v="7"/>
    <x v="277"/>
    <x v="142"/>
    <x v="1"/>
    <x v="76"/>
    <x v="35"/>
    <x v="0"/>
    <x v="23"/>
    <x v="54"/>
    <x v="30"/>
    <x v="7"/>
    <x v="27"/>
    <x v="104"/>
    <x v="27"/>
    <x v="70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7"/>
    <x v="165"/>
    <x v="143"/>
    <x v="2"/>
    <x v="78"/>
    <x v="174"/>
    <x v="30"/>
    <x v="67"/>
    <x v="54"/>
    <x v="8"/>
    <x v="42"/>
    <x v="27"/>
    <x v="104"/>
    <x v="25"/>
    <x v="27"/>
    <x v="5"/>
    <x v="26"/>
    <x v="30"/>
    <x v="7"/>
    <x v="27"/>
    <x v="41"/>
    <x v="27"/>
    <x v="8"/>
    <x v="32"/>
    <x v="23"/>
    <x v="10"/>
    <x v="33"/>
    <x v="24"/>
    <x v="12"/>
    <x v="34"/>
  </r>
  <r>
    <x v="0"/>
    <x v="7"/>
    <x v="88"/>
    <x v="144"/>
    <x v="2"/>
    <x v="80"/>
    <x v="175"/>
    <x v="30"/>
    <x v="89"/>
    <x v="54"/>
    <x v="15"/>
    <x v="42"/>
    <x v="27"/>
    <x v="104"/>
    <x v="23"/>
    <x v="37"/>
    <x v="14"/>
    <x v="26"/>
    <x v="48"/>
    <x v="20"/>
    <x v="27"/>
    <x v="63"/>
    <x v="27"/>
    <x v="23"/>
    <x v="59"/>
    <x v="23"/>
    <x v="29"/>
    <x v="57"/>
    <x v="24"/>
    <x v="34"/>
    <x v="67"/>
  </r>
  <r>
    <x v="9"/>
    <x v="42"/>
    <x v="117"/>
    <x v="145"/>
    <x v="1"/>
    <x v="41"/>
    <x v="87"/>
    <x v="23"/>
    <x v="52"/>
    <x v="10"/>
    <x v="14"/>
    <x v="28"/>
    <x v="26"/>
    <x v="40"/>
    <x v="27"/>
    <x v="39"/>
    <x v="12"/>
    <x v="26"/>
    <x v="44"/>
    <x v="16"/>
    <x v="27"/>
    <x v="59"/>
    <x v="27"/>
    <x v="20"/>
    <x v="54"/>
    <x v="7"/>
    <x v="128"/>
    <x v="13"/>
    <x v="25"/>
    <x v="143"/>
    <x v="202"/>
  </r>
  <r>
    <x v="0"/>
    <x v="44"/>
    <x v="68"/>
    <x v="146"/>
    <x v="2"/>
    <x v="81"/>
    <x v="162"/>
    <x v="32"/>
    <x v="120"/>
    <x v="54"/>
    <x v="29"/>
    <x v="37"/>
    <x v="27"/>
    <x v="104"/>
    <x v="22"/>
    <x v="65"/>
    <x v="30"/>
    <x v="26"/>
    <x v="80"/>
    <x v="40"/>
    <x v="27"/>
    <x v="105"/>
    <x v="27"/>
    <x v="44"/>
    <x v="97"/>
    <x v="23"/>
    <x v="51"/>
    <x v="96"/>
    <x v="24"/>
    <x v="62"/>
    <x v="114"/>
  </r>
  <r>
    <x v="0"/>
    <x v="7"/>
    <x v="108"/>
    <x v="147"/>
    <x v="2"/>
    <x v="81"/>
    <x v="37"/>
    <x v="0"/>
    <x v="29"/>
    <x v="54"/>
    <x v="44"/>
    <x v="7"/>
    <x v="27"/>
    <x v="104"/>
    <x v="22"/>
    <x v="84"/>
    <x v="75"/>
    <x v="4"/>
    <x v="19"/>
    <x v="99"/>
    <x v="27"/>
    <x v="172"/>
    <x v="0"/>
    <x v="0"/>
    <x v="0"/>
    <x v="25"/>
    <x v="128"/>
    <x v="176"/>
    <x v="25"/>
    <x v="143"/>
    <x v="202"/>
  </r>
  <r>
    <x v="0"/>
    <x v="7"/>
    <x v="104"/>
    <x v="148"/>
    <x v="2"/>
    <x v="82"/>
    <x v="73"/>
    <x v="16"/>
    <x v="54"/>
    <x v="54"/>
    <x v="33"/>
    <x v="19"/>
    <x v="27"/>
    <x v="104"/>
    <x v="21"/>
    <x v="66"/>
    <x v="35"/>
    <x v="26"/>
    <x v="86"/>
    <x v="48"/>
    <x v="27"/>
    <x v="112"/>
    <x v="6"/>
    <x v="0"/>
    <x v="17"/>
    <x v="25"/>
    <x v="128"/>
    <x v="176"/>
    <x v="25"/>
    <x v="143"/>
    <x v="202"/>
  </r>
  <r>
    <x v="0"/>
    <x v="7"/>
    <x v="182"/>
    <x v="149"/>
    <x v="1"/>
    <x v="83"/>
    <x v="39"/>
    <x v="0"/>
    <x v="5"/>
    <x v="54"/>
    <x v="10"/>
    <x v="7"/>
    <x v="27"/>
    <x v="104"/>
    <x v="20"/>
    <x v="25"/>
    <x v="75"/>
    <x v="6"/>
    <x v="9"/>
    <x v="99"/>
    <x v="27"/>
    <x v="172"/>
    <x v="0"/>
    <x v="0"/>
    <x v="0"/>
    <x v="25"/>
    <x v="128"/>
    <x v="176"/>
    <x v="25"/>
    <x v="143"/>
    <x v="202"/>
  </r>
  <r>
    <x v="0"/>
    <x v="7"/>
    <x v="143"/>
    <x v="150"/>
    <x v="2"/>
    <x v="85"/>
    <x v="176"/>
    <x v="30"/>
    <x v="157"/>
    <x v="54"/>
    <x v="50"/>
    <x v="42"/>
    <x v="27"/>
    <x v="104"/>
    <x v="16"/>
    <x v="85"/>
    <x v="53"/>
    <x v="26"/>
    <x v="114"/>
    <x v="70"/>
    <x v="27"/>
    <x v="145"/>
    <x v="27"/>
    <x v="76"/>
    <x v="136"/>
    <x v="23"/>
    <x v="85"/>
    <x v="136"/>
    <x v="24"/>
    <x v="97"/>
    <x v="156"/>
  </r>
  <r>
    <x v="6"/>
    <x v="7"/>
    <x v="354"/>
    <x v="151"/>
    <x v="1"/>
    <x v="72"/>
    <x v="32"/>
    <x v="0"/>
    <x v="27"/>
    <x v="31"/>
    <x v="69"/>
    <x v="6"/>
    <x v="4"/>
    <x v="16"/>
    <x v="21"/>
    <x v="76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7"/>
    <x v="344"/>
    <x v="152"/>
    <x v="2"/>
    <x v="88"/>
    <x v="43"/>
    <x v="0"/>
    <x v="27"/>
    <x v="54"/>
    <x v="41"/>
    <x v="7"/>
    <x v="27"/>
    <x v="104"/>
    <x v="13"/>
    <x v="49"/>
    <x v="75"/>
    <x v="14"/>
    <x v="57"/>
    <x v="99"/>
    <x v="27"/>
    <x v="172"/>
    <x v="0"/>
    <x v="0"/>
    <x v="0"/>
    <x v="25"/>
    <x v="128"/>
    <x v="176"/>
    <x v="25"/>
    <x v="143"/>
    <x v="202"/>
  </r>
  <r>
    <x v="0"/>
    <x v="7"/>
    <x v="347"/>
    <x v="153"/>
    <x v="1"/>
    <x v="85"/>
    <x v="41"/>
    <x v="0"/>
    <x v="10"/>
    <x v="54"/>
    <x v="19"/>
    <x v="7"/>
    <x v="27"/>
    <x v="104"/>
    <x v="16"/>
    <x v="32"/>
    <x v="75"/>
    <x v="10"/>
    <x v="18"/>
    <x v="99"/>
    <x v="27"/>
    <x v="172"/>
    <x v="0"/>
    <x v="0"/>
    <x v="0"/>
    <x v="25"/>
    <x v="128"/>
    <x v="176"/>
    <x v="25"/>
    <x v="143"/>
    <x v="202"/>
  </r>
  <r>
    <x v="0"/>
    <x v="7"/>
    <x v="293"/>
    <x v="154"/>
    <x v="2"/>
    <x v="86"/>
    <x v="177"/>
    <x v="30"/>
    <x v="140"/>
    <x v="54"/>
    <x v="38"/>
    <x v="42"/>
    <x v="27"/>
    <x v="104"/>
    <x v="15"/>
    <x v="55"/>
    <x v="40"/>
    <x v="26"/>
    <x v="96"/>
    <x v="55"/>
    <x v="27"/>
    <x v="122"/>
    <x v="27"/>
    <x v="61"/>
    <x v="114"/>
    <x v="23"/>
    <x v="68"/>
    <x v="115"/>
    <x v="24"/>
    <x v="81"/>
    <x v="132"/>
  </r>
  <r>
    <x v="0"/>
    <x v="7"/>
    <x v="63"/>
    <x v="155"/>
    <x v="1"/>
    <x v="87"/>
    <x v="42"/>
    <x v="0"/>
    <x v="25"/>
    <x v="54"/>
    <x v="36"/>
    <x v="7"/>
    <x v="27"/>
    <x v="104"/>
    <x v="14"/>
    <x v="51"/>
    <x v="75"/>
    <x v="12"/>
    <x v="47"/>
    <x v="99"/>
    <x v="27"/>
    <x v="172"/>
    <x v="0"/>
    <x v="0"/>
    <x v="0"/>
    <x v="25"/>
    <x v="128"/>
    <x v="176"/>
    <x v="25"/>
    <x v="143"/>
    <x v="202"/>
  </r>
  <r>
    <x v="0"/>
    <x v="7"/>
    <x v="48"/>
    <x v="156"/>
    <x v="2"/>
    <x v="79"/>
    <x v="71"/>
    <x v="16"/>
    <x v="38"/>
    <x v="54"/>
    <x v="21"/>
    <x v="20"/>
    <x v="27"/>
    <x v="104"/>
    <x v="24"/>
    <x v="42"/>
    <x v="20"/>
    <x v="26"/>
    <x v="57"/>
    <x v="27"/>
    <x v="27"/>
    <x v="79"/>
    <x v="4"/>
    <x v="0"/>
    <x v="6"/>
    <x v="25"/>
    <x v="128"/>
    <x v="176"/>
    <x v="25"/>
    <x v="143"/>
    <x v="202"/>
  </r>
  <r>
    <x v="0"/>
    <x v="7"/>
    <x v="67"/>
    <x v="157"/>
    <x v="2"/>
    <x v="86"/>
    <x v="112"/>
    <x v="22"/>
    <x v="105"/>
    <x v="54"/>
    <x v="43"/>
    <x v="28"/>
    <x v="27"/>
    <x v="104"/>
    <x v="15"/>
    <x v="59"/>
    <x v="45"/>
    <x v="26"/>
    <x v="100"/>
    <x v="61"/>
    <x v="27"/>
    <x v="127"/>
    <x v="27"/>
    <x v="67"/>
    <x v="121"/>
    <x v="23"/>
    <x v="74"/>
    <x v="120"/>
    <x v="24"/>
    <x v="86"/>
    <x v="139"/>
  </r>
  <r>
    <x v="0"/>
    <x v="7"/>
    <x v="343"/>
    <x v="158"/>
    <x v="2"/>
    <x v="80"/>
    <x v="37"/>
    <x v="0"/>
    <x v="40"/>
    <x v="54"/>
    <x v="52"/>
    <x v="8"/>
    <x v="27"/>
    <x v="104"/>
    <x v="23"/>
    <x v="103"/>
    <x v="75"/>
    <x v="4"/>
    <x v="26"/>
    <x v="99"/>
    <x v="27"/>
    <x v="172"/>
    <x v="0"/>
    <x v="0"/>
    <x v="0"/>
    <x v="25"/>
    <x v="128"/>
    <x v="176"/>
    <x v="25"/>
    <x v="143"/>
    <x v="202"/>
  </r>
  <r>
    <x v="0"/>
    <x v="7"/>
    <x v="221"/>
    <x v="159"/>
    <x v="2"/>
    <x v="88"/>
    <x v="61"/>
    <x v="13"/>
    <x v="115"/>
    <x v="54"/>
    <x v="64"/>
    <x v="13"/>
    <x v="27"/>
    <x v="104"/>
    <x v="13"/>
    <x v="117"/>
    <x v="68"/>
    <x v="26"/>
    <x v="132"/>
    <x v="99"/>
    <x v="15"/>
    <x v="154"/>
    <x v="0"/>
    <x v="0"/>
    <x v="0"/>
    <x v="25"/>
    <x v="128"/>
    <x v="176"/>
    <x v="25"/>
    <x v="143"/>
    <x v="202"/>
  </r>
  <r>
    <x v="0"/>
    <x v="7"/>
    <x v="207"/>
    <x v="160"/>
    <x v="2"/>
    <x v="88"/>
    <x v="178"/>
    <x v="30"/>
    <x v="79"/>
    <x v="54"/>
    <x v="12"/>
    <x v="42"/>
    <x v="27"/>
    <x v="104"/>
    <x v="13"/>
    <x v="20"/>
    <x v="8"/>
    <x v="26"/>
    <x v="40"/>
    <x v="13"/>
    <x v="27"/>
    <x v="52"/>
    <x v="27"/>
    <x v="15"/>
    <x v="47"/>
    <x v="23"/>
    <x v="20"/>
    <x v="46"/>
    <x v="24"/>
    <x v="24"/>
    <x v="54"/>
  </r>
  <r>
    <x v="0"/>
    <x v="7"/>
    <x v="126"/>
    <x v="161"/>
    <x v="1"/>
    <x v="88"/>
    <x v="44"/>
    <x v="0"/>
    <x v="5"/>
    <x v="54"/>
    <x v="10"/>
    <x v="8"/>
    <x v="27"/>
    <x v="104"/>
    <x v="13"/>
    <x v="15"/>
    <x v="75"/>
    <x v="15"/>
    <x v="17"/>
    <x v="99"/>
    <x v="27"/>
    <x v="172"/>
    <x v="0"/>
    <x v="0"/>
    <x v="0"/>
    <x v="25"/>
    <x v="128"/>
    <x v="176"/>
    <x v="25"/>
    <x v="143"/>
    <x v="202"/>
  </r>
  <r>
    <x v="0"/>
    <x v="23"/>
    <x v="335"/>
    <x v="162"/>
    <x v="2"/>
    <x v="28"/>
    <x v="218"/>
    <x v="24"/>
    <x v="153"/>
    <x v="48"/>
    <x v="61"/>
    <x v="50"/>
    <x v="26"/>
    <x v="64"/>
    <x v="27"/>
    <x v="75"/>
    <x v="63"/>
    <x v="26"/>
    <x v="82"/>
    <x v="83"/>
    <x v="27"/>
    <x v="106"/>
    <x v="2"/>
    <x v="109"/>
    <x v="3"/>
    <x v="25"/>
    <x v="128"/>
    <x v="176"/>
    <x v="25"/>
    <x v="143"/>
    <x v="202"/>
  </r>
  <r>
    <x v="0"/>
    <x v="7"/>
    <x v="349"/>
    <x v="163"/>
    <x v="2"/>
    <x v="89"/>
    <x v="179"/>
    <x v="30"/>
    <x v="61"/>
    <x v="54"/>
    <x v="7"/>
    <x v="42"/>
    <x v="27"/>
    <x v="104"/>
    <x v="10"/>
    <x v="8"/>
    <x v="4"/>
    <x v="26"/>
    <x v="24"/>
    <x v="6"/>
    <x v="27"/>
    <x v="34"/>
    <x v="27"/>
    <x v="7"/>
    <x v="26"/>
    <x v="23"/>
    <x v="9"/>
    <x v="30"/>
    <x v="24"/>
    <x v="10"/>
    <x v="32"/>
  </r>
  <r>
    <x v="0"/>
    <x v="7"/>
    <x v="355"/>
    <x v="164"/>
    <x v="2"/>
    <x v="89"/>
    <x v="179"/>
    <x v="30"/>
    <x v="61"/>
    <x v="54"/>
    <x v="7"/>
    <x v="42"/>
    <x v="27"/>
    <x v="104"/>
    <x v="10"/>
    <x v="8"/>
    <x v="4"/>
    <x v="26"/>
    <x v="24"/>
    <x v="6"/>
    <x v="27"/>
    <x v="34"/>
    <x v="27"/>
    <x v="7"/>
    <x v="26"/>
    <x v="23"/>
    <x v="9"/>
    <x v="30"/>
    <x v="24"/>
    <x v="10"/>
    <x v="32"/>
  </r>
  <r>
    <x v="0"/>
    <x v="7"/>
    <x v="135"/>
    <x v="165"/>
    <x v="2"/>
    <x v="89"/>
    <x v="179"/>
    <x v="30"/>
    <x v="61"/>
    <x v="54"/>
    <x v="7"/>
    <x v="42"/>
    <x v="27"/>
    <x v="104"/>
    <x v="10"/>
    <x v="8"/>
    <x v="4"/>
    <x v="26"/>
    <x v="24"/>
    <x v="6"/>
    <x v="27"/>
    <x v="34"/>
    <x v="27"/>
    <x v="7"/>
    <x v="26"/>
    <x v="23"/>
    <x v="9"/>
    <x v="30"/>
    <x v="24"/>
    <x v="10"/>
    <x v="32"/>
  </r>
  <r>
    <x v="0"/>
    <x v="7"/>
    <x v="300"/>
    <x v="166"/>
    <x v="2"/>
    <x v="89"/>
    <x v="179"/>
    <x v="30"/>
    <x v="61"/>
    <x v="54"/>
    <x v="7"/>
    <x v="42"/>
    <x v="27"/>
    <x v="104"/>
    <x v="10"/>
    <x v="8"/>
    <x v="4"/>
    <x v="26"/>
    <x v="24"/>
    <x v="6"/>
    <x v="27"/>
    <x v="34"/>
    <x v="27"/>
    <x v="7"/>
    <x v="26"/>
    <x v="23"/>
    <x v="9"/>
    <x v="30"/>
    <x v="24"/>
    <x v="10"/>
    <x v="32"/>
  </r>
  <r>
    <x v="0"/>
    <x v="7"/>
    <x v="199"/>
    <x v="167"/>
    <x v="2"/>
    <x v="89"/>
    <x v="179"/>
    <x v="30"/>
    <x v="163"/>
    <x v="54"/>
    <x v="55"/>
    <x v="42"/>
    <x v="27"/>
    <x v="104"/>
    <x v="10"/>
    <x v="60"/>
    <x v="57"/>
    <x v="26"/>
    <x v="122"/>
    <x v="75"/>
    <x v="27"/>
    <x v="149"/>
    <x v="27"/>
    <x v="80"/>
    <x v="141"/>
    <x v="23"/>
    <x v="90"/>
    <x v="141"/>
    <x v="24"/>
    <x v="103"/>
    <x v="161"/>
  </r>
  <r>
    <x v="0"/>
    <x v="45"/>
    <x v="305"/>
    <x v="168"/>
    <x v="2"/>
    <x v="90"/>
    <x v="45"/>
    <x v="0"/>
    <x v="23"/>
    <x v="54"/>
    <x v="30"/>
    <x v="7"/>
    <x v="27"/>
    <x v="104"/>
    <x v="8"/>
    <x v="26"/>
    <x v="75"/>
    <x v="18"/>
    <x v="63"/>
    <x v="99"/>
    <x v="29"/>
    <x v="172"/>
    <x v="28"/>
    <x v="109"/>
    <x v="169"/>
    <x v="25"/>
    <x v="128"/>
    <x v="176"/>
    <x v="25"/>
    <x v="143"/>
    <x v="202"/>
  </r>
  <r>
    <x v="0"/>
    <x v="7"/>
    <x v="253"/>
    <x v="169"/>
    <x v="1"/>
    <x v="81"/>
    <x v="37"/>
    <x v="0"/>
    <x v="8"/>
    <x v="54"/>
    <x v="14"/>
    <x v="7"/>
    <x v="27"/>
    <x v="104"/>
    <x v="22"/>
    <x v="34"/>
    <x v="75"/>
    <x v="4"/>
    <x v="8"/>
    <x v="99"/>
    <x v="27"/>
    <x v="172"/>
    <x v="0"/>
    <x v="0"/>
    <x v="0"/>
    <x v="25"/>
    <x v="128"/>
    <x v="176"/>
    <x v="25"/>
    <x v="143"/>
    <x v="202"/>
  </r>
  <r>
    <x v="0"/>
    <x v="7"/>
    <x v="71"/>
    <x v="170"/>
    <x v="2"/>
    <x v="91"/>
    <x v="180"/>
    <x v="30"/>
    <x v="138"/>
    <x v="54"/>
    <x v="36"/>
    <x v="42"/>
    <x v="27"/>
    <x v="104"/>
    <x v="7"/>
    <x v="29"/>
    <x v="38"/>
    <x v="26"/>
    <x v="93"/>
    <x v="53"/>
    <x v="27"/>
    <x v="119"/>
    <x v="27"/>
    <x v="59"/>
    <x v="110"/>
    <x v="23"/>
    <x v="66"/>
    <x v="111"/>
    <x v="24"/>
    <x v="79"/>
    <x v="129"/>
  </r>
  <r>
    <x v="0"/>
    <x v="7"/>
    <x v="354"/>
    <x v="171"/>
    <x v="2"/>
    <x v="92"/>
    <x v="181"/>
    <x v="30"/>
    <x v="134"/>
    <x v="54"/>
    <x v="35"/>
    <x v="42"/>
    <x v="27"/>
    <x v="104"/>
    <x v="6"/>
    <x v="18"/>
    <x v="37"/>
    <x v="26"/>
    <x v="92"/>
    <x v="50"/>
    <x v="27"/>
    <x v="117"/>
    <x v="27"/>
    <x v="55"/>
    <x v="107"/>
    <x v="23"/>
    <x v="62"/>
    <x v="107"/>
    <x v="24"/>
    <x v="75"/>
    <x v="125"/>
  </r>
  <r>
    <x v="0"/>
    <x v="7"/>
    <x v="186"/>
    <x v="172"/>
    <x v="2"/>
    <x v="92"/>
    <x v="116"/>
    <x v="22"/>
    <x v="63"/>
    <x v="54"/>
    <x v="20"/>
    <x v="28"/>
    <x v="27"/>
    <x v="104"/>
    <x v="6"/>
    <x v="9"/>
    <x v="19"/>
    <x v="26"/>
    <x v="58"/>
    <x v="26"/>
    <x v="27"/>
    <x v="80"/>
    <x v="27"/>
    <x v="30"/>
    <x v="75"/>
    <x v="23"/>
    <x v="38"/>
    <x v="72"/>
    <x v="24"/>
    <x v="43"/>
    <x v="85"/>
  </r>
  <r>
    <x v="0"/>
    <x v="7"/>
    <x v="283"/>
    <x v="173"/>
    <x v="2"/>
    <x v="93"/>
    <x v="182"/>
    <x v="30"/>
    <x v="98"/>
    <x v="54"/>
    <x v="18"/>
    <x v="42"/>
    <x v="27"/>
    <x v="104"/>
    <x v="5"/>
    <x v="6"/>
    <x v="17"/>
    <x v="26"/>
    <x v="53"/>
    <x v="23"/>
    <x v="27"/>
    <x v="75"/>
    <x v="27"/>
    <x v="27"/>
    <x v="70"/>
    <x v="23"/>
    <x v="35"/>
    <x v="67"/>
    <x v="24"/>
    <x v="40"/>
    <x v="78"/>
  </r>
  <r>
    <x v="0"/>
    <x v="7"/>
    <x v="179"/>
    <x v="174"/>
    <x v="2"/>
    <x v="119"/>
    <x v="69"/>
    <x v="0"/>
    <x v="23"/>
    <x v="54"/>
    <x v="69"/>
    <x v="7"/>
    <x v="27"/>
    <x v="104"/>
    <x v="0"/>
    <x v="0"/>
    <x v="75"/>
    <x v="0"/>
    <x v="138"/>
    <x v="43"/>
    <x v="27"/>
    <x v="102"/>
    <x v="0"/>
    <x v="0"/>
    <x v="0"/>
    <x v="25"/>
    <x v="128"/>
    <x v="176"/>
    <x v="25"/>
    <x v="143"/>
    <x v="202"/>
  </r>
  <r>
    <x v="0"/>
    <x v="7"/>
    <x v="209"/>
    <x v="175"/>
    <x v="2"/>
    <x v="93"/>
    <x v="183"/>
    <x v="30"/>
    <x v="82"/>
    <x v="54"/>
    <x v="13"/>
    <x v="43"/>
    <x v="27"/>
    <x v="104"/>
    <x v="5"/>
    <x v="5"/>
    <x v="11"/>
    <x v="26"/>
    <x v="43"/>
    <x v="15"/>
    <x v="27"/>
    <x v="58"/>
    <x v="27"/>
    <x v="18"/>
    <x v="53"/>
    <x v="23"/>
    <x v="23"/>
    <x v="51"/>
    <x v="24"/>
    <x v="27"/>
    <x v="60"/>
  </r>
  <r>
    <x v="0"/>
    <x v="7"/>
    <x v="42"/>
    <x v="176"/>
    <x v="2"/>
    <x v="94"/>
    <x v="49"/>
    <x v="0"/>
    <x v="40"/>
    <x v="54"/>
    <x v="52"/>
    <x v="7"/>
    <x v="27"/>
    <x v="104"/>
    <x v="4"/>
    <x v="21"/>
    <x v="75"/>
    <x v="23"/>
    <x v="113"/>
    <x v="99"/>
    <x v="27"/>
    <x v="172"/>
    <x v="0"/>
    <x v="0"/>
    <x v="0"/>
    <x v="25"/>
    <x v="128"/>
    <x v="176"/>
    <x v="25"/>
    <x v="143"/>
    <x v="202"/>
  </r>
  <r>
    <x v="0"/>
    <x v="7"/>
    <x v="308"/>
    <x v="177"/>
    <x v="2"/>
    <x v="95"/>
    <x v="50"/>
    <x v="0"/>
    <x v="8"/>
    <x v="54"/>
    <x v="14"/>
    <x v="7"/>
    <x v="27"/>
    <x v="104"/>
    <x v="3"/>
    <x v="3"/>
    <x v="75"/>
    <x v="24"/>
    <x v="39"/>
    <x v="99"/>
    <x v="27"/>
    <x v="172"/>
    <x v="0"/>
    <x v="0"/>
    <x v="0"/>
    <x v="25"/>
    <x v="128"/>
    <x v="176"/>
    <x v="25"/>
    <x v="143"/>
    <x v="202"/>
  </r>
  <r>
    <x v="0"/>
    <x v="7"/>
    <x v="78"/>
    <x v="178"/>
    <x v="2"/>
    <x v="98"/>
    <x v="186"/>
    <x v="30"/>
    <x v="98"/>
    <x v="54"/>
    <x v="69"/>
    <x v="42"/>
    <x v="27"/>
    <x v="104"/>
    <x v="0"/>
    <x v="0"/>
    <x v="17"/>
    <x v="26"/>
    <x v="53"/>
    <x v="23"/>
    <x v="27"/>
    <x v="75"/>
    <x v="27"/>
    <x v="27"/>
    <x v="70"/>
    <x v="23"/>
    <x v="35"/>
    <x v="67"/>
    <x v="24"/>
    <x v="40"/>
    <x v="78"/>
  </r>
  <r>
    <x v="0"/>
    <x v="7"/>
    <x v="155"/>
    <x v="179"/>
    <x v="2"/>
    <x v="95"/>
    <x v="50"/>
    <x v="0"/>
    <x v="40"/>
    <x v="54"/>
    <x v="52"/>
    <x v="7"/>
    <x v="27"/>
    <x v="104"/>
    <x v="3"/>
    <x v="14"/>
    <x v="75"/>
    <x v="24"/>
    <x v="115"/>
    <x v="99"/>
    <x v="27"/>
    <x v="172"/>
    <x v="0"/>
    <x v="0"/>
    <x v="0"/>
    <x v="25"/>
    <x v="128"/>
    <x v="176"/>
    <x v="25"/>
    <x v="143"/>
    <x v="202"/>
  </r>
  <r>
    <x v="0"/>
    <x v="7"/>
    <x v="272"/>
    <x v="180"/>
    <x v="2"/>
    <x v="95"/>
    <x v="184"/>
    <x v="30"/>
    <x v="127"/>
    <x v="54"/>
    <x v="31"/>
    <x v="42"/>
    <x v="27"/>
    <x v="104"/>
    <x v="3"/>
    <x v="7"/>
    <x v="32"/>
    <x v="26"/>
    <x v="83"/>
    <x v="45"/>
    <x v="27"/>
    <x v="108"/>
    <x v="27"/>
    <x v="49"/>
    <x v="99"/>
    <x v="23"/>
    <x v="57"/>
    <x v="101"/>
    <x v="24"/>
    <x v="70"/>
    <x v="118"/>
  </r>
  <r>
    <x v="0"/>
    <x v="7"/>
    <x v="289"/>
    <x v="181"/>
    <x v="2"/>
    <x v="98"/>
    <x v="186"/>
    <x v="30"/>
    <x v="189"/>
    <x v="54"/>
    <x v="69"/>
    <x v="42"/>
    <x v="27"/>
    <x v="104"/>
    <x v="0"/>
    <x v="0"/>
    <x v="69"/>
    <x v="26"/>
    <x v="133"/>
    <x v="92"/>
    <x v="27"/>
    <x v="166"/>
    <x v="27"/>
    <x v="96"/>
    <x v="159"/>
    <x v="23"/>
    <x v="114"/>
    <x v="161"/>
    <x v="24"/>
    <x v="127"/>
    <x v="185"/>
  </r>
  <r>
    <x v="0"/>
    <x v="7"/>
    <x v="216"/>
    <x v="182"/>
    <x v="2"/>
    <x v="96"/>
    <x v="83"/>
    <x v="16"/>
    <x v="30"/>
    <x v="54"/>
    <x v="14"/>
    <x v="19"/>
    <x v="27"/>
    <x v="104"/>
    <x v="2"/>
    <x v="1"/>
    <x v="12"/>
    <x v="26"/>
    <x v="44"/>
    <x v="16"/>
    <x v="27"/>
    <x v="59"/>
    <x v="25"/>
    <x v="0"/>
    <x v="48"/>
    <x v="25"/>
    <x v="128"/>
    <x v="176"/>
    <x v="25"/>
    <x v="143"/>
    <x v="202"/>
  </r>
  <r>
    <x v="0"/>
    <x v="7"/>
    <x v="122"/>
    <x v="183"/>
    <x v="2"/>
    <x v="96"/>
    <x v="185"/>
    <x v="31"/>
    <x v="203"/>
    <x v="54"/>
    <x v="68"/>
    <x v="42"/>
    <x v="27"/>
    <x v="104"/>
    <x v="2"/>
    <x v="102"/>
    <x v="74"/>
    <x v="26"/>
    <x v="137"/>
    <x v="98"/>
    <x v="27"/>
    <x v="171"/>
    <x v="27"/>
    <x v="108"/>
    <x v="168"/>
    <x v="23"/>
    <x v="127"/>
    <x v="175"/>
    <x v="24"/>
    <x v="142"/>
    <x v="201"/>
  </r>
  <r>
    <x v="9"/>
    <x v="32"/>
    <x v="80"/>
    <x v="293"/>
    <x v="3"/>
    <x v="141"/>
    <x v="76"/>
    <x v="5"/>
    <x v="4"/>
    <x v="54"/>
    <x v="69"/>
    <x v="1"/>
    <x v="27"/>
    <x v="104"/>
    <x v="29"/>
    <x v="126"/>
    <x v="75"/>
    <x v="27"/>
    <x v="138"/>
    <x v="99"/>
    <x v="29"/>
    <x v="172"/>
    <x v="11"/>
    <x v="9"/>
    <x v="33"/>
    <x v="24"/>
    <x v="128"/>
    <x v="176"/>
    <x v="25"/>
    <x v="143"/>
    <x v="202"/>
  </r>
  <r>
    <x v="0"/>
    <x v="43"/>
    <x v="80"/>
    <x v="184"/>
    <x v="2"/>
    <x v="98"/>
    <x v="69"/>
    <x v="12"/>
    <x v="37"/>
    <x v="54"/>
    <x v="69"/>
    <x v="12"/>
    <x v="27"/>
    <x v="104"/>
    <x v="0"/>
    <x v="0"/>
    <x v="29"/>
    <x v="26"/>
    <x v="74"/>
    <x v="39"/>
    <x v="27"/>
    <x v="99"/>
    <x v="0"/>
    <x v="0"/>
    <x v="0"/>
    <x v="25"/>
    <x v="128"/>
    <x v="176"/>
    <x v="25"/>
    <x v="143"/>
    <x v="202"/>
  </r>
  <r>
    <x v="0"/>
    <x v="7"/>
    <x v="64"/>
    <x v="185"/>
    <x v="2"/>
    <x v="97"/>
    <x v="69"/>
    <x v="13"/>
    <x v="48"/>
    <x v="54"/>
    <x v="43"/>
    <x v="13"/>
    <x v="27"/>
    <x v="104"/>
    <x v="1"/>
    <x v="2"/>
    <x v="45"/>
    <x v="26"/>
    <x v="98"/>
    <x v="99"/>
    <x v="27"/>
    <x v="125"/>
    <x v="0"/>
    <x v="0"/>
    <x v="0"/>
    <x v="25"/>
    <x v="128"/>
    <x v="176"/>
    <x v="25"/>
    <x v="143"/>
    <x v="202"/>
  </r>
  <r>
    <x v="0"/>
    <x v="7"/>
    <x v="210"/>
    <x v="186"/>
    <x v="1"/>
    <x v="98"/>
    <x v="51"/>
    <x v="0"/>
    <x v="46"/>
    <x v="54"/>
    <x v="69"/>
    <x v="6"/>
    <x v="27"/>
    <x v="104"/>
    <x v="0"/>
    <x v="0"/>
    <x v="60"/>
    <x v="26"/>
    <x v="127"/>
    <x v="99"/>
    <x v="28"/>
    <x v="172"/>
    <x v="0"/>
    <x v="0"/>
    <x v="0"/>
    <x v="25"/>
    <x v="128"/>
    <x v="176"/>
    <x v="25"/>
    <x v="143"/>
    <x v="202"/>
  </r>
  <r>
    <x v="0"/>
    <x v="3"/>
    <x v="154"/>
    <x v="17"/>
    <x v="3"/>
    <x v="20"/>
    <x v="132"/>
    <x v="30"/>
    <x v="182"/>
    <x v="49"/>
    <x v="62"/>
    <x v="42"/>
    <x v="26"/>
    <x v="98"/>
    <x v="27"/>
    <x v="120"/>
    <x v="66"/>
    <x v="26"/>
    <x v="130"/>
    <x v="87"/>
    <x v="27"/>
    <x v="160"/>
    <x v="27"/>
    <x v="90"/>
    <x v="152"/>
    <x v="23"/>
    <x v="107"/>
    <x v="155"/>
    <x v="24"/>
    <x v="121"/>
    <x v="179"/>
  </r>
  <r>
    <x v="0"/>
    <x v="4"/>
    <x v="199"/>
    <x v="32"/>
    <x v="3"/>
    <x v="32"/>
    <x v="143"/>
    <x v="30"/>
    <x v="163"/>
    <x v="42"/>
    <x v="55"/>
    <x v="42"/>
    <x v="26"/>
    <x v="92"/>
    <x v="27"/>
    <x v="111"/>
    <x v="57"/>
    <x v="26"/>
    <x v="122"/>
    <x v="75"/>
    <x v="27"/>
    <x v="149"/>
    <x v="27"/>
    <x v="80"/>
    <x v="141"/>
    <x v="23"/>
    <x v="90"/>
    <x v="141"/>
    <x v="24"/>
    <x v="103"/>
    <x v="161"/>
  </r>
  <r>
    <x v="0"/>
    <x v="4"/>
    <x v="238"/>
    <x v="33"/>
    <x v="3"/>
    <x v="33"/>
    <x v="146"/>
    <x v="30"/>
    <x v="134"/>
    <x v="26"/>
    <x v="35"/>
    <x v="43"/>
    <x v="26"/>
    <x v="70"/>
    <x v="27"/>
    <x v="82"/>
    <x v="37"/>
    <x v="26"/>
    <x v="91"/>
    <x v="50"/>
    <x v="27"/>
    <x v="116"/>
    <x v="27"/>
    <x v="55"/>
    <x v="106"/>
    <x v="23"/>
    <x v="62"/>
    <x v="106"/>
    <x v="24"/>
    <x v="75"/>
    <x v="124"/>
  </r>
  <r>
    <x v="0"/>
    <x v="5"/>
    <x v="138"/>
    <x v="57"/>
    <x v="3"/>
    <x v="50"/>
    <x v="157"/>
    <x v="30"/>
    <x v="129"/>
    <x v="29"/>
    <x v="27"/>
    <x v="43"/>
    <x v="26"/>
    <x v="67"/>
    <x v="27"/>
    <x v="78"/>
    <x v="34"/>
    <x v="26"/>
    <x v="85"/>
    <x v="47"/>
    <x v="27"/>
    <x v="111"/>
    <x v="27"/>
    <x v="51"/>
    <x v="101"/>
    <x v="23"/>
    <x v="59"/>
    <x v="103"/>
    <x v="24"/>
    <x v="72"/>
    <x v="120"/>
  </r>
  <r>
    <x v="4"/>
    <x v="2"/>
    <x v="28"/>
    <x v="10"/>
    <x v="3"/>
    <x v="11"/>
    <x v="5"/>
    <x v="13"/>
    <x v="19"/>
    <x v="54"/>
    <x v="69"/>
    <x v="15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5"/>
    <x v="29"/>
    <x v="53"/>
    <x v="3"/>
    <x v="47"/>
    <x v="154"/>
    <x v="30"/>
    <x v="140"/>
    <x v="29"/>
    <x v="38"/>
    <x v="43"/>
    <x v="26"/>
    <x v="73"/>
    <x v="27"/>
    <x v="87"/>
    <x v="40"/>
    <x v="26"/>
    <x v="95"/>
    <x v="55"/>
    <x v="27"/>
    <x v="121"/>
    <x v="27"/>
    <x v="61"/>
    <x v="113"/>
    <x v="23"/>
    <x v="68"/>
    <x v="114"/>
    <x v="24"/>
    <x v="81"/>
    <x v="131"/>
  </r>
  <r>
    <x v="6"/>
    <x v="4"/>
    <x v="44"/>
    <x v="36"/>
    <x v="3"/>
    <x v="34"/>
    <x v="31"/>
    <x v="16"/>
    <x v="131"/>
    <x v="50"/>
    <x v="69"/>
    <x v="16"/>
    <x v="26"/>
    <x v="100"/>
    <x v="19"/>
    <x v="119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5"/>
    <x v="22"/>
    <x v="466"/>
    <x v="3"/>
    <x v="52"/>
    <x v="159"/>
    <x v="30"/>
    <x v="0"/>
    <x v="24"/>
    <x v="0"/>
    <x v="42"/>
    <x v="26"/>
    <x v="0"/>
    <x v="27"/>
    <x v="0"/>
    <x v="0"/>
    <x v="26"/>
    <x v="0"/>
    <x v="0"/>
    <x v="27"/>
    <x v="0"/>
    <x v="27"/>
    <x v="0"/>
    <x v="0"/>
    <x v="23"/>
    <x v="0"/>
    <x v="0"/>
    <x v="24"/>
    <x v="0"/>
    <x v="0"/>
  </r>
  <r>
    <x v="0"/>
    <x v="5"/>
    <x v="66"/>
    <x v="62"/>
    <x v="3"/>
    <x v="52"/>
    <x v="159"/>
    <x v="30"/>
    <x v="72"/>
    <x v="7"/>
    <x v="9"/>
    <x v="42"/>
    <x v="26"/>
    <x v="31"/>
    <x v="27"/>
    <x v="31"/>
    <x v="6"/>
    <x v="26"/>
    <x v="32"/>
    <x v="8"/>
    <x v="27"/>
    <x v="43"/>
    <x v="27"/>
    <x v="10"/>
    <x v="37"/>
    <x v="23"/>
    <x v="13"/>
    <x v="38"/>
    <x v="24"/>
    <x v="16"/>
    <x v="38"/>
  </r>
  <r>
    <x v="0"/>
    <x v="5"/>
    <x v="350"/>
    <x v="64"/>
    <x v="3"/>
    <x v="53"/>
    <x v="160"/>
    <x v="30"/>
    <x v="202"/>
    <x v="53"/>
    <x v="67"/>
    <x v="42"/>
    <x v="26"/>
    <x v="103"/>
    <x v="27"/>
    <x v="125"/>
    <x v="73"/>
    <x v="26"/>
    <x v="136"/>
    <x v="97"/>
    <x v="27"/>
    <x v="170"/>
    <x v="27"/>
    <x v="107"/>
    <x v="167"/>
    <x v="23"/>
    <x v="126"/>
    <x v="174"/>
    <x v="24"/>
    <x v="141"/>
    <x v="200"/>
  </r>
  <r>
    <x v="0"/>
    <x v="5"/>
    <x v="62"/>
    <x v="58"/>
    <x v="3"/>
    <x v="51"/>
    <x v="48"/>
    <x v="16"/>
    <x v="93"/>
    <x v="43"/>
    <x v="56"/>
    <x v="19"/>
    <x v="26"/>
    <x v="93"/>
    <x v="27"/>
    <x v="112"/>
    <x v="0"/>
    <x v="22"/>
    <x v="117"/>
    <x v="99"/>
    <x v="27"/>
    <x v="172"/>
    <x v="0"/>
    <x v="0"/>
    <x v="0"/>
    <x v="25"/>
    <x v="128"/>
    <x v="176"/>
    <x v="25"/>
    <x v="143"/>
    <x v="202"/>
  </r>
  <r>
    <x v="0"/>
    <x v="5"/>
    <x v="96"/>
    <x v="50"/>
    <x v="3"/>
    <x v="45"/>
    <x v="153"/>
    <x v="30"/>
    <x v="114"/>
    <x v="18"/>
    <x v="25"/>
    <x v="43"/>
    <x v="26"/>
    <x v="55"/>
    <x v="27"/>
    <x v="61"/>
    <x v="26"/>
    <x v="26"/>
    <x v="71"/>
    <x v="36"/>
    <x v="27"/>
    <x v="95"/>
    <x v="27"/>
    <x v="40"/>
    <x v="86"/>
    <x v="23"/>
    <x v="47"/>
    <x v="85"/>
    <x v="24"/>
    <x v="57"/>
    <x v="101"/>
  </r>
  <r>
    <x v="0"/>
    <x v="5"/>
    <x v="211"/>
    <x v="61"/>
    <x v="3"/>
    <x v="51"/>
    <x v="158"/>
    <x v="30"/>
    <x v="146"/>
    <x v="32"/>
    <x v="42"/>
    <x v="43"/>
    <x v="26"/>
    <x v="74"/>
    <x v="27"/>
    <x v="91"/>
    <x v="44"/>
    <x v="26"/>
    <x v="99"/>
    <x v="60"/>
    <x v="27"/>
    <x v="126"/>
    <x v="27"/>
    <x v="66"/>
    <x v="120"/>
    <x v="23"/>
    <x v="73"/>
    <x v="119"/>
    <x v="24"/>
    <x v="85"/>
    <x v="138"/>
  </r>
  <r>
    <x v="0"/>
    <x v="5"/>
    <x v="199"/>
    <x v="46"/>
    <x v="3"/>
    <x v="43"/>
    <x v="150"/>
    <x v="30"/>
    <x v="163"/>
    <x v="42"/>
    <x v="55"/>
    <x v="42"/>
    <x v="26"/>
    <x v="92"/>
    <x v="27"/>
    <x v="111"/>
    <x v="57"/>
    <x v="26"/>
    <x v="122"/>
    <x v="75"/>
    <x v="27"/>
    <x v="149"/>
    <x v="27"/>
    <x v="80"/>
    <x v="141"/>
    <x v="23"/>
    <x v="90"/>
    <x v="141"/>
    <x v="24"/>
    <x v="103"/>
    <x v="161"/>
  </r>
  <r>
    <x v="0"/>
    <x v="5"/>
    <x v="123"/>
    <x v="49"/>
    <x v="3"/>
    <x v="45"/>
    <x v="152"/>
    <x v="30"/>
    <x v="169"/>
    <x v="46"/>
    <x v="59"/>
    <x v="42"/>
    <x v="26"/>
    <x v="96"/>
    <x v="27"/>
    <x v="116"/>
    <x v="61"/>
    <x v="26"/>
    <x v="126"/>
    <x v="80"/>
    <x v="27"/>
    <x v="153"/>
    <x v="27"/>
    <x v="85"/>
    <x v="146"/>
    <x v="23"/>
    <x v="96"/>
    <x v="147"/>
    <x v="24"/>
    <x v="109"/>
    <x v="167"/>
  </r>
  <r>
    <x v="0"/>
    <x v="5"/>
    <x v="112"/>
    <x v="55"/>
    <x v="3"/>
    <x v="49"/>
    <x v="155"/>
    <x v="30"/>
    <x v="163"/>
    <x v="42"/>
    <x v="55"/>
    <x v="42"/>
    <x v="26"/>
    <x v="92"/>
    <x v="27"/>
    <x v="111"/>
    <x v="57"/>
    <x v="26"/>
    <x v="122"/>
    <x v="75"/>
    <x v="27"/>
    <x v="149"/>
    <x v="27"/>
    <x v="80"/>
    <x v="141"/>
    <x v="23"/>
    <x v="90"/>
    <x v="141"/>
    <x v="24"/>
    <x v="103"/>
    <x v="161"/>
  </r>
  <r>
    <x v="6"/>
    <x v="5"/>
    <x v="298"/>
    <x v="51"/>
    <x v="3"/>
    <x v="46"/>
    <x v="29"/>
    <x v="13"/>
    <x v="66"/>
    <x v="39"/>
    <x v="69"/>
    <x v="13"/>
    <x v="26"/>
    <x v="86"/>
    <x v="17"/>
    <x v="90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4"/>
    <x v="198"/>
    <x v="40"/>
    <x v="3"/>
    <x v="36"/>
    <x v="84"/>
    <x v="22"/>
    <x v="84"/>
    <x v="22"/>
    <x v="30"/>
    <x v="30"/>
    <x v="26"/>
    <x v="62"/>
    <x v="27"/>
    <x v="70"/>
    <x v="31"/>
    <x v="26"/>
    <x v="75"/>
    <x v="43"/>
    <x v="27"/>
    <x v="102"/>
    <x v="27"/>
    <x v="0"/>
    <x v="94"/>
    <x v="25"/>
    <x v="128"/>
    <x v="176"/>
    <x v="25"/>
    <x v="143"/>
    <x v="202"/>
  </r>
  <r>
    <x v="0"/>
    <x v="1"/>
    <x v="249"/>
    <x v="6"/>
    <x v="3"/>
    <x v="5"/>
    <x v="114"/>
    <x v="31"/>
    <x v="154"/>
    <x v="37"/>
    <x v="49"/>
    <x v="43"/>
    <x v="26"/>
    <x v="83"/>
    <x v="27"/>
    <x v="104"/>
    <x v="51"/>
    <x v="26"/>
    <x v="111"/>
    <x v="68"/>
    <x v="27"/>
    <x v="139"/>
    <x v="27"/>
    <x v="74"/>
    <x v="132"/>
    <x v="23"/>
    <x v="82"/>
    <x v="133"/>
    <x v="24"/>
    <x v="93"/>
    <x v="152"/>
  </r>
  <r>
    <x v="7"/>
    <x v="5"/>
    <x v="55"/>
    <x v="59"/>
    <x v="1"/>
    <x v="51"/>
    <x v="18"/>
    <x v="0"/>
    <x v="30"/>
    <x v="54"/>
    <x v="69"/>
    <x v="8"/>
    <x v="22"/>
    <x v="72"/>
    <x v="27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5"/>
    <x v="193"/>
    <x v="66"/>
    <x v="3"/>
    <x v="55"/>
    <x v="247"/>
    <x v="9"/>
    <x v="118"/>
    <x v="12"/>
    <x v="18"/>
    <x v="51"/>
    <x v="26"/>
    <x v="43"/>
    <x v="27"/>
    <x v="45"/>
    <x v="17"/>
    <x v="26"/>
    <x v="52"/>
    <x v="23"/>
    <x v="27"/>
    <x v="74"/>
    <x v="27"/>
    <x v="27"/>
    <x v="69"/>
    <x v="23"/>
    <x v="35"/>
    <x v="66"/>
    <x v="24"/>
    <x v="40"/>
    <x v="77"/>
  </r>
  <r>
    <x v="7"/>
    <x v="5"/>
    <x v="139"/>
    <x v="52"/>
    <x v="3"/>
    <x v="47"/>
    <x v="16"/>
    <x v="0"/>
    <x v="26"/>
    <x v="54"/>
    <x v="69"/>
    <x v="8"/>
    <x v="19"/>
    <x v="57"/>
    <x v="27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7"/>
    <x v="5"/>
    <x v="98"/>
    <x v="43"/>
    <x v="3"/>
    <x v="42"/>
    <x v="14"/>
    <x v="0"/>
    <x v="46"/>
    <x v="54"/>
    <x v="69"/>
    <x v="8"/>
    <x v="10"/>
    <x v="61"/>
    <x v="27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4"/>
    <x v="274"/>
    <x v="38"/>
    <x v="3"/>
    <x v="35"/>
    <x v="148"/>
    <x v="30"/>
    <x v="159"/>
    <x v="39"/>
    <x v="52"/>
    <x v="44"/>
    <x v="26"/>
    <x v="87"/>
    <x v="27"/>
    <x v="107"/>
    <x v="55"/>
    <x v="26"/>
    <x v="119"/>
    <x v="73"/>
    <x v="27"/>
    <x v="147"/>
    <x v="27"/>
    <x v="78"/>
    <x v="139"/>
    <x v="23"/>
    <x v="87"/>
    <x v="139"/>
    <x v="24"/>
    <x v="99"/>
    <x v="158"/>
  </r>
  <r>
    <x v="0"/>
    <x v="4"/>
    <x v="4"/>
    <x v="30"/>
    <x v="3"/>
    <x v="31"/>
    <x v="141"/>
    <x v="30"/>
    <x v="111"/>
    <x v="16"/>
    <x v="23"/>
    <x v="43"/>
    <x v="26"/>
    <x v="52"/>
    <x v="27"/>
    <x v="54"/>
    <x v="24"/>
    <x v="26"/>
    <x v="65"/>
    <x v="34"/>
    <x v="27"/>
    <x v="90"/>
    <x v="27"/>
    <x v="38"/>
    <x v="83"/>
    <x v="23"/>
    <x v="46"/>
    <x v="81"/>
    <x v="24"/>
    <x v="54"/>
    <x v="98"/>
  </r>
  <r>
    <x v="0"/>
    <x v="3"/>
    <x v="97"/>
    <x v="19"/>
    <x v="3"/>
    <x v="18"/>
    <x v="129"/>
    <x v="30"/>
    <x v="102"/>
    <x v="14"/>
    <x v="21"/>
    <x v="42"/>
    <x v="26"/>
    <x v="45"/>
    <x v="27"/>
    <x v="48"/>
    <x v="20"/>
    <x v="26"/>
    <x v="59"/>
    <x v="27"/>
    <x v="27"/>
    <x v="82"/>
    <x v="27"/>
    <x v="31"/>
    <x v="76"/>
    <x v="23"/>
    <x v="39"/>
    <x v="73"/>
    <x v="24"/>
    <x v="44"/>
    <x v="87"/>
  </r>
  <r>
    <x v="0"/>
    <x v="3"/>
    <x v="197"/>
    <x v="16"/>
    <x v="3"/>
    <x v="18"/>
    <x v="129"/>
    <x v="30"/>
    <x v="134"/>
    <x v="26"/>
    <x v="35"/>
    <x v="42"/>
    <x v="26"/>
    <x v="71"/>
    <x v="27"/>
    <x v="83"/>
    <x v="37"/>
    <x v="26"/>
    <x v="92"/>
    <x v="50"/>
    <x v="27"/>
    <x v="117"/>
    <x v="27"/>
    <x v="55"/>
    <x v="107"/>
    <x v="23"/>
    <x v="62"/>
    <x v="107"/>
    <x v="24"/>
    <x v="75"/>
    <x v="125"/>
  </r>
  <r>
    <x v="4"/>
    <x v="3"/>
    <x v="216"/>
    <x v="15"/>
    <x v="3"/>
    <x v="17"/>
    <x v="2"/>
    <x v="0"/>
    <x v="7"/>
    <x v="0"/>
    <x v="69"/>
    <x v="7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3"/>
    <x v="201"/>
    <x v="18"/>
    <x v="3"/>
    <x v="19"/>
    <x v="130"/>
    <x v="30"/>
    <x v="134"/>
    <x v="26"/>
    <x v="35"/>
    <x v="42"/>
    <x v="26"/>
    <x v="71"/>
    <x v="27"/>
    <x v="83"/>
    <x v="37"/>
    <x v="26"/>
    <x v="92"/>
    <x v="50"/>
    <x v="27"/>
    <x v="117"/>
    <x v="27"/>
    <x v="55"/>
    <x v="107"/>
    <x v="23"/>
    <x v="62"/>
    <x v="107"/>
    <x v="24"/>
    <x v="75"/>
    <x v="125"/>
  </r>
  <r>
    <x v="0"/>
    <x v="3"/>
    <x v="290"/>
    <x v="21"/>
    <x v="3"/>
    <x v="21"/>
    <x v="134"/>
    <x v="30"/>
    <x v="102"/>
    <x v="14"/>
    <x v="21"/>
    <x v="42"/>
    <x v="26"/>
    <x v="45"/>
    <x v="27"/>
    <x v="48"/>
    <x v="20"/>
    <x v="26"/>
    <x v="59"/>
    <x v="27"/>
    <x v="27"/>
    <x v="82"/>
    <x v="27"/>
    <x v="31"/>
    <x v="76"/>
    <x v="23"/>
    <x v="39"/>
    <x v="73"/>
    <x v="24"/>
    <x v="44"/>
    <x v="87"/>
  </r>
  <r>
    <x v="5"/>
    <x v="2"/>
    <x v="10"/>
    <x v="9"/>
    <x v="3"/>
    <x v="10"/>
    <x v="8"/>
    <x v="16"/>
    <x v="65"/>
    <x v="54"/>
    <x v="69"/>
    <x v="18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5"/>
    <x v="323"/>
    <x v="48"/>
    <x v="3"/>
    <x v="49"/>
    <x v="46"/>
    <x v="16"/>
    <x v="72"/>
    <x v="35"/>
    <x v="47"/>
    <x v="19"/>
    <x v="26"/>
    <x v="79"/>
    <x v="27"/>
    <x v="99"/>
    <x v="0"/>
    <x v="20"/>
    <x v="90"/>
    <x v="99"/>
    <x v="27"/>
    <x v="172"/>
    <x v="0"/>
    <x v="0"/>
    <x v="0"/>
    <x v="25"/>
    <x v="128"/>
    <x v="176"/>
    <x v="25"/>
    <x v="143"/>
    <x v="202"/>
  </r>
  <r>
    <x v="0"/>
    <x v="2"/>
    <x v="125"/>
    <x v="11"/>
    <x v="3"/>
    <x v="12"/>
    <x v="123"/>
    <x v="31"/>
    <x v="160"/>
    <x v="40"/>
    <x v="53"/>
    <x v="42"/>
    <x v="26"/>
    <x v="91"/>
    <x v="27"/>
    <x v="110"/>
    <x v="56"/>
    <x v="26"/>
    <x v="121"/>
    <x v="74"/>
    <x v="27"/>
    <x v="148"/>
    <x v="27"/>
    <x v="79"/>
    <x v="140"/>
    <x v="23"/>
    <x v="88"/>
    <x v="140"/>
    <x v="24"/>
    <x v="100"/>
    <x v="159"/>
  </r>
  <r>
    <x v="9"/>
    <x v="20"/>
    <x v="0"/>
    <x v="12"/>
    <x v="3"/>
    <x v="13"/>
    <x v="127"/>
    <x v="31"/>
    <x v="116"/>
    <x v="19"/>
    <x v="26"/>
    <x v="46"/>
    <x v="26"/>
    <x v="54"/>
    <x v="27"/>
    <x v="58"/>
    <x v="27"/>
    <x v="26"/>
    <x v="70"/>
    <x v="37"/>
    <x v="27"/>
    <x v="94"/>
    <x v="27"/>
    <x v="41"/>
    <x v="85"/>
    <x v="23"/>
    <x v="48"/>
    <x v="84"/>
    <x v="24"/>
    <x v="59"/>
    <x v="100"/>
  </r>
  <r>
    <x v="0"/>
    <x v="22"/>
    <x v="5"/>
    <x v="13"/>
    <x v="3"/>
    <x v="14"/>
    <x v="126"/>
    <x v="29"/>
    <x v="128"/>
    <x v="23"/>
    <x v="32"/>
    <x v="43"/>
    <x v="26"/>
    <x v="66"/>
    <x v="27"/>
    <x v="77"/>
    <x v="33"/>
    <x v="26"/>
    <x v="84"/>
    <x v="46"/>
    <x v="27"/>
    <x v="109"/>
    <x v="27"/>
    <x v="50"/>
    <x v="100"/>
    <x v="23"/>
    <x v="58"/>
    <x v="102"/>
    <x v="24"/>
    <x v="71"/>
    <x v="119"/>
  </r>
  <r>
    <x v="0"/>
    <x v="41"/>
    <x v="185"/>
    <x v="44"/>
    <x v="3"/>
    <x v="42"/>
    <x v="165"/>
    <x v="1"/>
    <x v="130"/>
    <x v="22"/>
    <x v="30"/>
    <x v="49"/>
    <x v="26"/>
    <x v="63"/>
    <x v="27"/>
    <x v="72"/>
    <x v="31"/>
    <x v="26"/>
    <x v="78"/>
    <x v="43"/>
    <x v="27"/>
    <x v="103"/>
    <x v="27"/>
    <x v="47"/>
    <x v="96"/>
    <x v="23"/>
    <x v="55"/>
    <x v="95"/>
    <x v="24"/>
    <x v="68"/>
    <x v="113"/>
  </r>
  <r>
    <x v="7"/>
    <x v="5"/>
    <x v="352"/>
    <x v="45"/>
    <x v="3"/>
    <x v="41"/>
    <x v="13"/>
    <x v="0"/>
    <x v="8"/>
    <x v="54"/>
    <x v="69"/>
    <x v="8"/>
    <x v="9"/>
    <x v="10"/>
    <x v="27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6"/>
    <x v="4"/>
    <x v="48"/>
    <x v="27"/>
    <x v="3"/>
    <x v="27"/>
    <x v="21"/>
    <x v="16"/>
    <x v="38"/>
    <x v="14"/>
    <x v="69"/>
    <x v="17"/>
    <x v="26"/>
    <x v="46"/>
    <x v="3"/>
    <x v="4"/>
    <x v="75"/>
    <x v="26"/>
    <x v="138"/>
    <x v="99"/>
    <x v="27"/>
    <x v="172"/>
    <x v="0"/>
    <x v="0"/>
    <x v="0"/>
    <x v="25"/>
    <x v="128"/>
    <x v="176"/>
    <x v="25"/>
    <x v="143"/>
    <x v="202"/>
  </r>
  <r>
    <x v="6"/>
    <x v="4"/>
    <x v="195"/>
    <x v="28"/>
    <x v="3"/>
    <x v="29"/>
    <x v="22"/>
    <x v="16"/>
    <x v="49"/>
    <x v="21"/>
    <x v="69"/>
    <x v="17"/>
    <x v="26"/>
    <x v="60"/>
    <x v="5"/>
    <x v="10"/>
    <x v="75"/>
    <x v="26"/>
    <x v="138"/>
    <x v="99"/>
    <x v="27"/>
    <x v="172"/>
    <x v="0"/>
    <x v="0"/>
    <x v="0"/>
    <x v="25"/>
    <x v="128"/>
    <x v="176"/>
    <x v="25"/>
    <x v="143"/>
    <x v="202"/>
  </r>
  <r>
    <x v="4"/>
    <x v="3"/>
    <x v="332"/>
    <x v="20"/>
    <x v="3"/>
    <x v="21"/>
    <x v="3"/>
    <x v="0"/>
    <x v="27"/>
    <x v="0"/>
    <x v="69"/>
    <x v="7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0"/>
    <x v="3"/>
    <x v="284"/>
    <x v="24"/>
    <x v="3"/>
    <x v="25"/>
    <x v="136"/>
    <x v="30"/>
    <x v="134"/>
    <x v="26"/>
    <x v="35"/>
    <x v="42"/>
    <x v="26"/>
    <x v="71"/>
    <x v="27"/>
    <x v="83"/>
    <x v="37"/>
    <x v="26"/>
    <x v="92"/>
    <x v="50"/>
    <x v="27"/>
    <x v="117"/>
    <x v="27"/>
    <x v="55"/>
    <x v="107"/>
    <x v="23"/>
    <x v="62"/>
    <x v="107"/>
    <x v="24"/>
    <x v="75"/>
    <x v="125"/>
  </r>
  <r>
    <x v="0"/>
    <x v="4"/>
    <x v="87"/>
    <x v="37"/>
    <x v="3"/>
    <x v="23"/>
    <x v="135"/>
    <x v="30"/>
    <x v="57"/>
    <x v="4"/>
    <x v="5"/>
    <x v="43"/>
    <x v="26"/>
    <x v="23"/>
    <x v="27"/>
    <x v="22"/>
    <x v="3"/>
    <x v="26"/>
    <x v="22"/>
    <x v="5"/>
    <x v="27"/>
    <x v="29"/>
    <x v="27"/>
    <x v="6"/>
    <x v="23"/>
    <x v="23"/>
    <x v="8"/>
    <x v="28"/>
    <x v="24"/>
    <x v="9"/>
    <x v="30"/>
  </r>
  <r>
    <x v="0"/>
    <x v="2"/>
    <x v="214"/>
    <x v="8"/>
    <x v="3"/>
    <x v="8"/>
    <x v="106"/>
    <x v="30"/>
    <x v="143"/>
    <x v="31"/>
    <x v="40"/>
    <x v="38"/>
    <x v="26"/>
    <x v="75"/>
    <x v="27"/>
    <x v="92"/>
    <x v="42"/>
    <x v="26"/>
    <x v="102"/>
    <x v="58"/>
    <x v="27"/>
    <x v="129"/>
    <x v="27"/>
    <x v="64"/>
    <x v="123"/>
    <x v="23"/>
    <x v="71"/>
    <x v="123"/>
    <x v="24"/>
    <x v="143"/>
    <x v="141"/>
  </r>
  <r>
    <x v="5"/>
    <x v="4"/>
    <x v="71"/>
    <x v="39"/>
    <x v="3"/>
    <x v="35"/>
    <x v="10"/>
    <x v="0"/>
    <x v="30"/>
    <x v="54"/>
    <x v="69"/>
    <x v="5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7"/>
    <x v="5"/>
    <x v="44"/>
    <x v="56"/>
    <x v="3"/>
    <x v="49"/>
    <x v="17"/>
    <x v="0"/>
    <x v="3"/>
    <x v="54"/>
    <x v="69"/>
    <x v="7"/>
    <x v="20"/>
    <x v="17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7"/>
    <x v="5"/>
    <x v="19"/>
    <x v="63"/>
    <x v="3"/>
    <x v="52"/>
    <x v="19"/>
    <x v="0"/>
    <x v="74"/>
    <x v="54"/>
    <x v="69"/>
    <x v="7"/>
    <x v="23"/>
    <x v="99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7"/>
    <x v="5"/>
    <x v="110"/>
    <x v="41"/>
    <x v="3"/>
    <x v="39"/>
    <x v="12"/>
    <x v="0"/>
    <x v="31"/>
    <x v="54"/>
    <x v="69"/>
    <x v="7"/>
    <x v="3"/>
    <x v="1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4"/>
    <x v="3"/>
    <x v="230"/>
    <x v="22"/>
    <x v="3"/>
    <x v="22"/>
    <x v="4"/>
    <x v="0"/>
    <x v="19"/>
    <x v="0"/>
    <x v="69"/>
    <x v="9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7"/>
    <x v="5"/>
    <x v="230"/>
    <x v="47"/>
    <x v="3"/>
    <x v="44"/>
    <x v="15"/>
    <x v="0"/>
    <x v="53"/>
    <x v="54"/>
    <x v="69"/>
    <x v="7"/>
    <x v="15"/>
    <x v="85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5"/>
    <x v="3"/>
    <x v="111"/>
    <x v="14"/>
    <x v="3"/>
    <x v="16"/>
    <x v="7"/>
    <x v="12"/>
    <x v="69"/>
    <x v="0"/>
    <x v="69"/>
    <x v="11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4"/>
    <x v="50"/>
    <x v="147"/>
    <x v="2"/>
    <x v="3"/>
    <x v="0"/>
    <x v="3"/>
    <x v="21"/>
    <x v="34"/>
    <x v="54"/>
    <x v="69"/>
    <x v="24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4"/>
    <x v="3"/>
    <x v="313"/>
    <x v="25"/>
    <x v="3"/>
    <x v="25"/>
    <x v="5"/>
    <x v="0"/>
    <x v="19"/>
    <x v="0"/>
    <x v="69"/>
    <x v="8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5"/>
    <x v="47"/>
    <x v="33"/>
    <x v="26"/>
    <x v="3"/>
    <x v="7"/>
    <x v="9"/>
    <x v="19"/>
    <x v="18"/>
    <x v="54"/>
    <x v="69"/>
    <x v="21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5"/>
    <x v="4"/>
    <x v="192"/>
    <x v="34"/>
    <x v="3"/>
    <x v="29"/>
    <x v="6"/>
    <x v="0"/>
    <x v="38"/>
    <x v="54"/>
    <x v="69"/>
    <x v="5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5"/>
    <x v="4"/>
    <x v="96"/>
    <x v="35"/>
    <x v="3"/>
    <x v="35"/>
    <x v="11"/>
    <x v="0"/>
    <x v="22"/>
    <x v="54"/>
    <x v="69"/>
    <x v="6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7"/>
    <x v="5"/>
    <x v="257"/>
    <x v="54"/>
    <x v="3"/>
    <x v="48"/>
    <x v="17"/>
    <x v="0"/>
    <x v="23"/>
    <x v="54"/>
    <x v="69"/>
    <x v="8"/>
    <x v="20"/>
    <x v="50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7"/>
    <x v="5"/>
    <x v="194"/>
    <x v="60"/>
    <x v="3"/>
    <x v="49"/>
    <x v="17"/>
    <x v="0"/>
    <x v="8"/>
    <x v="54"/>
    <x v="69"/>
    <x v="7"/>
    <x v="20"/>
    <x v="32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7"/>
    <x v="5"/>
    <x v="275"/>
    <x v="67"/>
    <x v="3"/>
    <x v="54"/>
    <x v="20"/>
    <x v="0"/>
    <x v="19"/>
    <x v="54"/>
    <x v="69"/>
    <x v="7"/>
    <x v="26"/>
    <x v="56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7"/>
    <x v="5"/>
    <x v="206"/>
    <x v="68"/>
    <x v="3"/>
    <x v="54"/>
    <x v="20"/>
    <x v="0"/>
    <x v="8"/>
    <x v="54"/>
    <x v="69"/>
    <x v="7"/>
    <x v="26"/>
    <x v="39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3"/>
    <x v="0"/>
    <x v="298"/>
    <x v="3"/>
    <x v="3"/>
    <x v="1"/>
    <x v="0"/>
    <x v="13"/>
    <x v="13"/>
    <x v="54"/>
    <x v="69"/>
    <x v="13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3"/>
    <x v="0"/>
    <x v="205"/>
    <x v="4"/>
    <x v="3"/>
    <x v="2"/>
    <x v="1"/>
    <x v="13"/>
    <x v="27"/>
    <x v="54"/>
    <x v="69"/>
    <x v="13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3"/>
    <x v="1"/>
    <x v="311"/>
    <x v="7"/>
    <x v="3"/>
    <x v="6"/>
    <x v="0"/>
    <x v="0"/>
    <x v="6"/>
    <x v="54"/>
    <x v="69"/>
    <x v="6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3"/>
    <x v="48"/>
    <x v="69"/>
    <x v="5"/>
    <x v="3"/>
    <x v="2"/>
    <x v="0"/>
    <x v="12"/>
    <x v="47"/>
    <x v="54"/>
    <x v="69"/>
    <x v="11"/>
    <x v="27"/>
    <x v="104"/>
    <x v="29"/>
    <x v="126"/>
    <x v="75"/>
    <x v="26"/>
    <x v="138"/>
    <x v="99"/>
    <x v="27"/>
    <x v="172"/>
    <x v="0"/>
    <x v="0"/>
    <x v="0"/>
    <x v="25"/>
    <x v="128"/>
    <x v="176"/>
    <x v="25"/>
    <x v="143"/>
    <x v="202"/>
  </r>
  <r>
    <x v="5"/>
    <x v="5"/>
    <x v="120"/>
    <x v="69"/>
    <x v="3"/>
    <x v="55"/>
    <x v="20"/>
    <x v="0"/>
    <x v="40"/>
    <x v="39"/>
    <x v="69"/>
    <x v="6"/>
    <x v="26"/>
    <x v="89"/>
    <x v="29"/>
    <x v="126"/>
    <x v="75"/>
    <x v="27"/>
    <x v="138"/>
    <x v="99"/>
    <x v="27"/>
    <x v="172"/>
    <x v="0"/>
    <x v="0"/>
    <x v="0"/>
    <x v="25"/>
    <x v="128"/>
    <x v="176"/>
    <x v="25"/>
    <x v="143"/>
    <x v="202"/>
  </r>
  <r>
    <x v="7"/>
    <x v="27"/>
    <x v="336"/>
    <x v="23"/>
    <x v="3"/>
    <x v="24"/>
    <x v="19"/>
    <x v="15"/>
    <x v="96"/>
    <x v="0"/>
    <x v="69"/>
    <x v="18"/>
    <x v="23"/>
    <x v="90"/>
    <x v="29"/>
    <x v="0"/>
    <x v="75"/>
    <x v="26"/>
    <x v="138"/>
    <x v="99"/>
    <x v="27"/>
    <x v="172"/>
    <x v="0"/>
    <x v="0"/>
    <x v="0"/>
    <x v="25"/>
    <x v="128"/>
    <x v="176"/>
    <x v="25"/>
    <x v="143"/>
    <x v="202"/>
  </r>
  <r>
    <x v="9"/>
    <x v="8"/>
    <x v="171"/>
    <x v="187"/>
    <x v="3"/>
    <x v="98"/>
    <x v="51"/>
    <x v="0"/>
    <x v="64"/>
    <x v="54"/>
    <x v="69"/>
    <x v="6"/>
    <x v="27"/>
    <x v="104"/>
    <x v="29"/>
    <x v="126"/>
    <x v="65"/>
    <x v="26"/>
    <x v="131"/>
    <x v="99"/>
    <x v="27"/>
    <x v="172"/>
    <x v="0"/>
    <x v="0"/>
    <x v="0"/>
    <x v="25"/>
    <x v="128"/>
    <x v="176"/>
    <x v="25"/>
    <x v="143"/>
    <x v="202"/>
  </r>
  <r>
    <x v="9"/>
    <x v="8"/>
    <x v="224"/>
    <x v="188"/>
    <x v="3"/>
    <x v="99"/>
    <x v="52"/>
    <x v="0"/>
    <x v="40"/>
    <x v="54"/>
    <x v="69"/>
    <x v="6"/>
    <x v="27"/>
    <x v="104"/>
    <x v="29"/>
    <x v="126"/>
    <x v="55"/>
    <x v="25"/>
    <x v="118"/>
    <x v="99"/>
    <x v="1"/>
    <x v="7"/>
    <x v="0"/>
    <x v="0"/>
    <x v="0"/>
    <x v="25"/>
    <x v="128"/>
    <x v="176"/>
    <x v="25"/>
    <x v="143"/>
    <x v="202"/>
  </r>
  <r>
    <x v="9"/>
    <x v="8"/>
    <x v="270"/>
    <x v="189"/>
    <x v="3"/>
    <x v="99"/>
    <x v="52"/>
    <x v="0"/>
    <x v="40"/>
    <x v="54"/>
    <x v="69"/>
    <x v="6"/>
    <x v="27"/>
    <x v="104"/>
    <x v="29"/>
    <x v="126"/>
    <x v="55"/>
    <x v="25"/>
    <x v="118"/>
    <x v="99"/>
    <x v="1"/>
    <x v="7"/>
    <x v="0"/>
    <x v="0"/>
    <x v="0"/>
    <x v="25"/>
    <x v="128"/>
    <x v="176"/>
    <x v="25"/>
    <x v="143"/>
    <x v="202"/>
  </r>
  <r>
    <x v="9"/>
    <x v="8"/>
    <x v="114"/>
    <x v="191"/>
    <x v="3"/>
    <x v="99"/>
    <x v="52"/>
    <x v="0"/>
    <x v="30"/>
    <x v="54"/>
    <x v="69"/>
    <x v="6"/>
    <x v="27"/>
    <x v="104"/>
    <x v="29"/>
    <x v="126"/>
    <x v="49"/>
    <x v="25"/>
    <x v="106"/>
    <x v="99"/>
    <x v="1"/>
    <x v="6"/>
    <x v="0"/>
    <x v="0"/>
    <x v="0"/>
    <x v="25"/>
    <x v="128"/>
    <x v="176"/>
    <x v="25"/>
    <x v="143"/>
    <x v="202"/>
  </r>
  <r>
    <x v="9"/>
    <x v="8"/>
    <x v="331"/>
    <x v="192"/>
    <x v="3"/>
    <x v="100"/>
    <x v="53"/>
    <x v="0"/>
    <x v="15"/>
    <x v="54"/>
    <x v="69"/>
    <x v="6"/>
    <x v="27"/>
    <x v="104"/>
    <x v="29"/>
    <x v="126"/>
    <x v="23"/>
    <x v="23"/>
    <x v="60"/>
    <x v="99"/>
    <x v="3"/>
    <x v="8"/>
    <x v="0"/>
    <x v="0"/>
    <x v="0"/>
    <x v="25"/>
    <x v="128"/>
    <x v="176"/>
    <x v="25"/>
    <x v="143"/>
    <x v="202"/>
  </r>
  <r>
    <x v="9"/>
    <x v="8"/>
    <x v="59"/>
    <x v="193"/>
    <x v="3"/>
    <x v="100"/>
    <x v="187"/>
    <x v="30"/>
    <x v="157"/>
    <x v="54"/>
    <x v="69"/>
    <x v="42"/>
    <x v="27"/>
    <x v="104"/>
    <x v="29"/>
    <x v="126"/>
    <x v="53"/>
    <x v="23"/>
    <x v="109"/>
    <x v="70"/>
    <x v="27"/>
    <x v="145"/>
    <x v="27"/>
    <x v="76"/>
    <x v="136"/>
    <x v="23"/>
    <x v="85"/>
    <x v="136"/>
    <x v="24"/>
    <x v="97"/>
    <x v="156"/>
  </r>
  <r>
    <x v="9"/>
    <x v="8"/>
    <x v="124"/>
    <x v="194"/>
    <x v="3"/>
    <x v="100"/>
    <x v="53"/>
    <x v="0"/>
    <x v="19"/>
    <x v="54"/>
    <x v="69"/>
    <x v="6"/>
    <x v="27"/>
    <x v="104"/>
    <x v="29"/>
    <x v="126"/>
    <x v="27"/>
    <x v="23"/>
    <x v="66"/>
    <x v="99"/>
    <x v="3"/>
    <x v="9"/>
    <x v="0"/>
    <x v="0"/>
    <x v="0"/>
    <x v="25"/>
    <x v="128"/>
    <x v="176"/>
    <x v="25"/>
    <x v="143"/>
    <x v="202"/>
  </r>
  <r>
    <x v="9"/>
    <x v="8"/>
    <x v="141"/>
    <x v="195"/>
    <x v="3"/>
    <x v="101"/>
    <x v="188"/>
    <x v="30"/>
    <x v="87"/>
    <x v="54"/>
    <x v="69"/>
    <x v="42"/>
    <x v="27"/>
    <x v="104"/>
    <x v="29"/>
    <x v="126"/>
    <x v="13"/>
    <x v="22"/>
    <x v="37"/>
    <x v="18"/>
    <x v="27"/>
    <x v="61"/>
    <x v="27"/>
    <x v="21"/>
    <x v="56"/>
    <x v="23"/>
    <x v="27"/>
    <x v="55"/>
    <x v="24"/>
    <x v="32"/>
    <x v="65"/>
  </r>
  <r>
    <x v="9"/>
    <x v="8"/>
    <x v="351"/>
    <x v="196"/>
    <x v="3"/>
    <x v="101"/>
    <x v="54"/>
    <x v="0"/>
    <x v="19"/>
    <x v="54"/>
    <x v="69"/>
    <x v="6"/>
    <x v="27"/>
    <x v="104"/>
    <x v="29"/>
    <x v="126"/>
    <x v="27"/>
    <x v="22"/>
    <x v="64"/>
    <x v="99"/>
    <x v="5"/>
    <x v="14"/>
    <x v="0"/>
    <x v="0"/>
    <x v="0"/>
    <x v="25"/>
    <x v="128"/>
    <x v="176"/>
    <x v="25"/>
    <x v="143"/>
    <x v="202"/>
  </r>
  <r>
    <x v="9"/>
    <x v="8"/>
    <x v="315"/>
    <x v="197"/>
    <x v="3"/>
    <x v="101"/>
    <x v="54"/>
    <x v="0"/>
    <x v="15"/>
    <x v="54"/>
    <x v="69"/>
    <x v="6"/>
    <x v="27"/>
    <x v="104"/>
    <x v="29"/>
    <x v="126"/>
    <x v="23"/>
    <x v="22"/>
    <x v="54"/>
    <x v="99"/>
    <x v="5"/>
    <x v="10"/>
    <x v="0"/>
    <x v="0"/>
    <x v="0"/>
    <x v="25"/>
    <x v="128"/>
    <x v="176"/>
    <x v="25"/>
    <x v="143"/>
    <x v="202"/>
  </r>
  <r>
    <x v="9"/>
    <x v="8"/>
    <x v="164"/>
    <x v="198"/>
    <x v="3"/>
    <x v="101"/>
    <x v="188"/>
    <x v="30"/>
    <x v="103"/>
    <x v="54"/>
    <x v="69"/>
    <x v="42"/>
    <x v="27"/>
    <x v="104"/>
    <x v="29"/>
    <x v="126"/>
    <x v="21"/>
    <x v="22"/>
    <x v="49"/>
    <x v="28"/>
    <x v="27"/>
    <x v="84"/>
    <x v="27"/>
    <x v="32"/>
    <x v="77"/>
    <x v="23"/>
    <x v="40"/>
    <x v="74"/>
    <x v="24"/>
    <x v="45"/>
    <x v="90"/>
  </r>
  <r>
    <x v="9"/>
    <x v="8"/>
    <x v="17"/>
    <x v="199"/>
    <x v="3"/>
    <x v="101"/>
    <x v="54"/>
    <x v="0"/>
    <x v="40"/>
    <x v="54"/>
    <x v="69"/>
    <x v="6"/>
    <x v="27"/>
    <x v="104"/>
    <x v="29"/>
    <x v="126"/>
    <x v="55"/>
    <x v="22"/>
    <x v="110"/>
    <x v="99"/>
    <x v="5"/>
    <x v="38"/>
    <x v="0"/>
    <x v="0"/>
    <x v="0"/>
    <x v="25"/>
    <x v="128"/>
    <x v="176"/>
    <x v="25"/>
    <x v="143"/>
    <x v="202"/>
  </r>
  <r>
    <x v="9"/>
    <x v="8"/>
    <x v="13"/>
    <x v="200"/>
    <x v="3"/>
    <x v="104"/>
    <x v="189"/>
    <x v="30"/>
    <x v="180"/>
    <x v="54"/>
    <x v="69"/>
    <x v="42"/>
    <x v="27"/>
    <x v="104"/>
    <x v="29"/>
    <x v="126"/>
    <x v="64"/>
    <x v="19"/>
    <x v="128"/>
    <x v="86"/>
    <x v="27"/>
    <x v="157"/>
    <x v="27"/>
    <x v="89"/>
    <x v="151"/>
    <x v="23"/>
    <x v="106"/>
    <x v="154"/>
    <x v="24"/>
    <x v="120"/>
    <x v="177"/>
  </r>
  <r>
    <x v="9"/>
    <x v="8"/>
    <x v="157"/>
    <x v="201"/>
    <x v="3"/>
    <x v="104"/>
    <x v="55"/>
    <x v="0"/>
    <x v="30"/>
    <x v="54"/>
    <x v="69"/>
    <x v="6"/>
    <x v="27"/>
    <x v="104"/>
    <x v="29"/>
    <x v="126"/>
    <x v="49"/>
    <x v="19"/>
    <x v="87"/>
    <x v="99"/>
    <x v="7"/>
    <x v="46"/>
    <x v="0"/>
    <x v="0"/>
    <x v="0"/>
    <x v="25"/>
    <x v="128"/>
    <x v="176"/>
    <x v="25"/>
    <x v="143"/>
    <x v="202"/>
  </r>
  <r>
    <x v="9"/>
    <x v="8"/>
    <x v="285"/>
    <x v="202"/>
    <x v="3"/>
    <x v="104"/>
    <x v="189"/>
    <x v="30"/>
    <x v="119"/>
    <x v="54"/>
    <x v="69"/>
    <x v="42"/>
    <x v="27"/>
    <x v="104"/>
    <x v="29"/>
    <x v="126"/>
    <x v="29"/>
    <x v="19"/>
    <x v="61"/>
    <x v="39"/>
    <x v="27"/>
    <x v="100"/>
    <x v="27"/>
    <x v="43"/>
    <x v="91"/>
    <x v="23"/>
    <x v="50"/>
    <x v="89"/>
    <x v="24"/>
    <x v="61"/>
    <x v="105"/>
  </r>
  <r>
    <x v="9"/>
    <x v="8"/>
    <x v="200"/>
    <x v="203"/>
    <x v="3"/>
    <x v="104"/>
    <x v="189"/>
    <x v="30"/>
    <x v="119"/>
    <x v="54"/>
    <x v="69"/>
    <x v="42"/>
    <x v="27"/>
    <x v="104"/>
    <x v="29"/>
    <x v="126"/>
    <x v="29"/>
    <x v="19"/>
    <x v="61"/>
    <x v="39"/>
    <x v="27"/>
    <x v="100"/>
    <x v="27"/>
    <x v="43"/>
    <x v="91"/>
    <x v="23"/>
    <x v="50"/>
    <x v="89"/>
    <x v="24"/>
    <x v="61"/>
    <x v="105"/>
  </r>
  <r>
    <x v="9"/>
    <x v="8"/>
    <x v="192"/>
    <x v="204"/>
    <x v="3"/>
    <x v="48"/>
    <x v="31"/>
    <x v="13"/>
    <x v="52"/>
    <x v="35"/>
    <x v="69"/>
    <x v="13"/>
    <x v="26"/>
    <x v="78"/>
    <x v="19"/>
    <x v="80"/>
    <x v="75"/>
    <x v="26"/>
    <x v="138"/>
    <x v="99"/>
    <x v="27"/>
    <x v="172"/>
    <x v="0"/>
    <x v="0"/>
    <x v="0"/>
    <x v="25"/>
    <x v="128"/>
    <x v="176"/>
    <x v="25"/>
    <x v="143"/>
    <x v="202"/>
  </r>
  <r>
    <x v="9"/>
    <x v="36"/>
    <x v="244"/>
    <x v="205"/>
    <x v="3"/>
    <x v="106"/>
    <x v="190"/>
    <x v="32"/>
    <x v="116"/>
    <x v="54"/>
    <x v="69"/>
    <x v="42"/>
    <x v="27"/>
    <x v="104"/>
    <x v="29"/>
    <x v="126"/>
    <x v="27"/>
    <x v="17"/>
    <x v="50"/>
    <x v="37"/>
    <x v="27"/>
    <x v="97"/>
    <x v="27"/>
    <x v="41"/>
    <x v="88"/>
    <x v="23"/>
    <x v="48"/>
    <x v="87"/>
    <x v="24"/>
    <x v="59"/>
    <x v="103"/>
  </r>
  <r>
    <x v="9"/>
    <x v="8"/>
    <x v="92"/>
    <x v="206"/>
    <x v="3"/>
    <x v="106"/>
    <x v="58"/>
    <x v="0"/>
    <x v="74"/>
    <x v="54"/>
    <x v="69"/>
    <x v="7"/>
    <x v="27"/>
    <x v="104"/>
    <x v="29"/>
    <x v="126"/>
    <x v="68"/>
    <x v="17"/>
    <x v="129"/>
    <x v="99"/>
    <x v="10"/>
    <x v="143"/>
    <x v="0"/>
    <x v="0"/>
    <x v="0"/>
    <x v="25"/>
    <x v="128"/>
    <x v="176"/>
    <x v="25"/>
    <x v="143"/>
    <x v="202"/>
  </r>
  <r>
    <x v="9"/>
    <x v="8"/>
    <x v="245"/>
    <x v="207"/>
    <x v="3"/>
    <x v="84"/>
    <x v="40"/>
    <x v="0"/>
    <x v="41"/>
    <x v="54"/>
    <x v="54"/>
    <x v="7"/>
    <x v="27"/>
    <x v="104"/>
    <x v="18"/>
    <x v="98"/>
    <x v="75"/>
    <x v="8"/>
    <x v="56"/>
    <x v="99"/>
    <x v="27"/>
    <x v="172"/>
    <x v="0"/>
    <x v="0"/>
    <x v="0"/>
    <x v="25"/>
    <x v="128"/>
    <x v="176"/>
    <x v="25"/>
    <x v="143"/>
    <x v="202"/>
  </r>
  <r>
    <x v="9"/>
    <x v="8"/>
    <x v="245"/>
    <x v="208"/>
    <x v="3"/>
    <x v="105"/>
    <x v="56"/>
    <x v="0"/>
    <x v="29"/>
    <x v="54"/>
    <x v="69"/>
    <x v="6"/>
    <x v="27"/>
    <x v="104"/>
    <x v="29"/>
    <x v="126"/>
    <x v="46"/>
    <x v="18"/>
    <x v="77"/>
    <x v="99"/>
    <x v="8"/>
    <x v="47"/>
    <x v="0"/>
    <x v="0"/>
    <x v="0"/>
    <x v="25"/>
    <x v="128"/>
    <x v="176"/>
    <x v="25"/>
    <x v="143"/>
    <x v="202"/>
  </r>
  <r>
    <x v="9"/>
    <x v="8"/>
    <x v="187"/>
    <x v="209"/>
    <x v="3"/>
    <x v="109"/>
    <x v="191"/>
    <x v="30"/>
    <x v="84"/>
    <x v="54"/>
    <x v="69"/>
    <x v="42"/>
    <x v="27"/>
    <x v="104"/>
    <x v="29"/>
    <x v="126"/>
    <x v="12"/>
    <x v="14"/>
    <x v="21"/>
    <x v="16"/>
    <x v="27"/>
    <x v="60"/>
    <x v="27"/>
    <x v="20"/>
    <x v="55"/>
    <x v="23"/>
    <x v="25"/>
    <x v="54"/>
    <x v="24"/>
    <x v="29"/>
    <x v="63"/>
  </r>
  <r>
    <x v="9"/>
    <x v="8"/>
    <x v="189"/>
    <x v="210"/>
    <x v="3"/>
    <x v="109"/>
    <x v="191"/>
    <x v="30"/>
    <x v="98"/>
    <x v="54"/>
    <x v="69"/>
    <x v="42"/>
    <x v="27"/>
    <x v="104"/>
    <x v="29"/>
    <x v="126"/>
    <x v="17"/>
    <x v="14"/>
    <x v="23"/>
    <x v="23"/>
    <x v="27"/>
    <x v="75"/>
    <x v="27"/>
    <x v="27"/>
    <x v="70"/>
    <x v="23"/>
    <x v="35"/>
    <x v="67"/>
    <x v="24"/>
    <x v="40"/>
    <x v="78"/>
  </r>
  <r>
    <x v="9"/>
    <x v="8"/>
    <x v="264"/>
    <x v="211"/>
    <x v="3"/>
    <x v="107"/>
    <x v="59"/>
    <x v="0"/>
    <x v="17"/>
    <x v="54"/>
    <x v="69"/>
    <x v="6"/>
    <x v="27"/>
    <x v="104"/>
    <x v="29"/>
    <x v="126"/>
    <x v="25"/>
    <x v="16"/>
    <x v="41"/>
    <x v="99"/>
    <x v="11"/>
    <x v="35"/>
    <x v="0"/>
    <x v="0"/>
    <x v="0"/>
    <x v="25"/>
    <x v="128"/>
    <x v="176"/>
    <x v="25"/>
    <x v="143"/>
    <x v="202"/>
  </r>
  <r>
    <x v="9"/>
    <x v="8"/>
    <x v="136"/>
    <x v="212"/>
    <x v="3"/>
    <x v="108"/>
    <x v="122"/>
    <x v="22"/>
    <x v="60"/>
    <x v="54"/>
    <x v="69"/>
    <x v="27"/>
    <x v="27"/>
    <x v="104"/>
    <x v="29"/>
    <x v="126"/>
    <x v="18"/>
    <x v="15"/>
    <x v="27"/>
    <x v="24"/>
    <x v="27"/>
    <x v="76"/>
    <x v="27"/>
    <x v="28"/>
    <x v="72"/>
    <x v="23"/>
    <x v="36"/>
    <x v="69"/>
    <x v="24"/>
    <x v="41"/>
    <x v="81"/>
  </r>
  <r>
    <x v="9"/>
    <x v="8"/>
    <x v="82"/>
    <x v="213"/>
    <x v="3"/>
    <x v="110"/>
    <x v="192"/>
    <x v="30"/>
    <x v="119"/>
    <x v="54"/>
    <x v="69"/>
    <x v="42"/>
    <x v="27"/>
    <x v="104"/>
    <x v="29"/>
    <x v="126"/>
    <x v="29"/>
    <x v="13"/>
    <x v="34"/>
    <x v="39"/>
    <x v="27"/>
    <x v="100"/>
    <x v="27"/>
    <x v="43"/>
    <x v="91"/>
    <x v="23"/>
    <x v="50"/>
    <x v="89"/>
    <x v="24"/>
    <x v="61"/>
    <x v="105"/>
  </r>
  <r>
    <x v="9"/>
    <x v="8"/>
    <x v="101"/>
    <x v="214"/>
    <x v="3"/>
    <x v="110"/>
    <x v="192"/>
    <x v="30"/>
    <x v="155"/>
    <x v="54"/>
    <x v="69"/>
    <x v="42"/>
    <x v="27"/>
    <x v="104"/>
    <x v="29"/>
    <x v="126"/>
    <x v="52"/>
    <x v="13"/>
    <x v="67"/>
    <x v="69"/>
    <x v="27"/>
    <x v="141"/>
    <x v="27"/>
    <x v="75"/>
    <x v="134"/>
    <x v="23"/>
    <x v="83"/>
    <x v="135"/>
    <x v="24"/>
    <x v="95"/>
    <x v="154"/>
  </r>
  <r>
    <x v="9"/>
    <x v="8"/>
    <x v="31"/>
    <x v="215"/>
    <x v="3"/>
    <x v="111"/>
    <x v="62"/>
    <x v="0"/>
    <x v="15"/>
    <x v="54"/>
    <x v="69"/>
    <x v="6"/>
    <x v="27"/>
    <x v="104"/>
    <x v="29"/>
    <x v="126"/>
    <x v="23"/>
    <x v="12"/>
    <x v="25"/>
    <x v="99"/>
    <x v="16"/>
    <x v="45"/>
    <x v="0"/>
    <x v="0"/>
    <x v="0"/>
    <x v="25"/>
    <x v="128"/>
    <x v="176"/>
    <x v="25"/>
    <x v="143"/>
    <x v="202"/>
  </r>
  <r>
    <x v="9"/>
    <x v="37"/>
    <x v="343"/>
    <x v="216"/>
    <x v="3"/>
    <x v="114"/>
    <x v="195"/>
    <x v="29"/>
    <x v="185"/>
    <x v="54"/>
    <x v="69"/>
    <x v="42"/>
    <x v="27"/>
    <x v="104"/>
    <x v="29"/>
    <x v="126"/>
    <x v="67"/>
    <x v="7"/>
    <x v="89"/>
    <x v="89"/>
    <x v="27"/>
    <x v="163"/>
    <x v="27"/>
    <x v="92"/>
    <x v="154"/>
    <x v="23"/>
    <x v="109"/>
    <x v="157"/>
    <x v="24"/>
    <x v="123"/>
    <x v="181"/>
  </r>
  <r>
    <x v="1"/>
    <x v="37"/>
    <x v="324"/>
    <x v="217"/>
    <x v="3"/>
    <x v="103"/>
    <x v="193"/>
    <x v="29"/>
    <x v="99"/>
    <x v="54"/>
    <x v="69"/>
    <x v="45"/>
    <x v="27"/>
    <x v="104"/>
    <x v="29"/>
    <x v="126"/>
    <x v="18"/>
    <x v="20"/>
    <x v="38"/>
    <x v="24"/>
    <x v="27"/>
    <x v="73"/>
    <x v="27"/>
    <x v="28"/>
    <x v="68"/>
    <x v="23"/>
    <x v="36"/>
    <x v="65"/>
    <x v="24"/>
    <x v="41"/>
    <x v="76"/>
  </r>
  <r>
    <x v="9"/>
    <x v="30"/>
    <x v="106"/>
    <x v="272"/>
    <x v="3"/>
    <x v="133"/>
    <x v="193"/>
    <x v="4"/>
    <x v="90"/>
    <x v="54"/>
    <x v="69"/>
    <x v="37"/>
    <x v="27"/>
    <x v="104"/>
    <x v="29"/>
    <x v="126"/>
    <x v="0"/>
    <x v="0"/>
    <x v="0"/>
    <x v="24"/>
    <x v="27"/>
    <x v="77"/>
    <x v="27"/>
    <x v="28"/>
    <x v="73"/>
    <x v="23"/>
    <x v="36"/>
    <x v="70"/>
    <x v="24"/>
    <x v="41"/>
    <x v="82"/>
  </r>
  <r>
    <x v="9"/>
    <x v="38"/>
    <x v="26"/>
    <x v="219"/>
    <x v="3"/>
    <x v="112"/>
    <x v="193"/>
    <x v="32"/>
    <x v="84"/>
    <x v="54"/>
    <x v="69"/>
    <x v="42"/>
    <x v="27"/>
    <x v="104"/>
    <x v="29"/>
    <x v="126"/>
    <x v="12"/>
    <x v="11"/>
    <x v="16"/>
    <x v="16"/>
    <x v="27"/>
    <x v="60"/>
    <x v="27"/>
    <x v="20"/>
    <x v="55"/>
    <x v="23"/>
    <x v="25"/>
    <x v="54"/>
    <x v="24"/>
    <x v="29"/>
    <x v="63"/>
  </r>
  <r>
    <x v="9"/>
    <x v="8"/>
    <x v="344"/>
    <x v="220"/>
    <x v="3"/>
    <x v="85"/>
    <x v="176"/>
    <x v="30"/>
    <x v="147"/>
    <x v="54"/>
    <x v="43"/>
    <x v="42"/>
    <x v="27"/>
    <x v="104"/>
    <x v="15"/>
    <x v="64"/>
    <x v="45"/>
    <x v="26"/>
    <x v="101"/>
    <x v="61"/>
    <x v="27"/>
    <x v="128"/>
    <x v="27"/>
    <x v="67"/>
    <x v="122"/>
    <x v="23"/>
    <x v="74"/>
    <x v="121"/>
    <x v="24"/>
    <x v="86"/>
    <x v="140"/>
  </r>
  <r>
    <x v="9"/>
    <x v="8"/>
    <x v="306"/>
    <x v="221"/>
    <x v="3"/>
    <x v="113"/>
    <x v="194"/>
    <x v="30"/>
    <x v="81"/>
    <x v="54"/>
    <x v="69"/>
    <x v="43"/>
    <x v="27"/>
    <x v="104"/>
    <x v="29"/>
    <x v="126"/>
    <x v="9"/>
    <x v="9"/>
    <x v="13"/>
    <x v="14"/>
    <x v="27"/>
    <x v="54"/>
    <x v="27"/>
    <x v="17"/>
    <x v="49"/>
    <x v="23"/>
    <x v="22"/>
    <x v="48"/>
    <x v="24"/>
    <x v="26"/>
    <x v="57"/>
  </r>
  <r>
    <x v="9"/>
    <x v="8"/>
    <x v="255"/>
    <x v="222"/>
    <x v="3"/>
    <x v="115"/>
    <x v="125"/>
    <x v="22"/>
    <x v="59"/>
    <x v="54"/>
    <x v="69"/>
    <x v="27"/>
    <x v="27"/>
    <x v="104"/>
    <x v="29"/>
    <x v="126"/>
    <x v="17"/>
    <x v="6"/>
    <x v="12"/>
    <x v="23"/>
    <x v="27"/>
    <x v="72"/>
    <x v="27"/>
    <x v="27"/>
    <x v="67"/>
    <x v="23"/>
    <x v="35"/>
    <x v="64"/>
    <x v="24"/>
    <x v="40"/>
    <x v="75"/>
  </r>
  <r>
    <x v="9"/>
    <x v="8"/>
    <x v="353"/>
    <x v="223"/>
    <x v="3"/>
    <x v="119"/>
    <x v="69"/>
    <x v="0"/>
    <x v="66"/>
    <x v="54"/>
    <x v="69"/>
    <x v="7"/>
    <x v="27"/>
    <x v="104"/>
    <x v="29"/>
    <x v="126"/>
    <x v="75"/>
    <x v="0"/>
    <x v="138"/>
    <x v="88"/>
    <x v="27"/>
    <x v="161"/>
    <x v="0"/>
    <x v="0"/>
    <x v="0"/>
    <x v="25"/>
    <x v="128"/>
    <x v="176"/>
    <x v="25"/>
    <x v="143"/>
    <x v="202"/>
  </r>
  <r>
    <x v="9"/>
    <x v="8"/>
    <x v="53"/>
    <x v="224"/>
    <x v="3"/>
    <x v="116"/>
    <x v="93"/>
    <x v="16"/>
    <x v="78"/>
    <x v="54"/>
    <x v="69"/>
    <x v="19"/>
    <x v="27"/>
    <x v="104"/>
    <x v="29"/>
    <x v="126"/>
    <x v="53"/>
    <x v="3"/>
    <x v="20"/>
    <x v="70"/>
    <x v="27"/>
    <x v="144"/>
    <x v="27"/>
    <x v="76"/>
    <x v="135"/>
    <x v="19"/>
    <x v="128"/>
    <x v="131"/>
    <x v="25"/>
    <x v="143"/>
    <x v="202"/>
  </r>
  <r>
    <x v="9"/>
    <x v="8"/>
    <x v="323"/>
    <x v="225"/>
    <x v="3"/>
    <x v="115"/>
    <x v="196"/>
    <x v="30"/>
    <x v="151"/>
    <x v="54"/>
    <x v="69"/>
    <x v="42"/>
    <x v="27"/>
    <x v="104"/>
    <x v="29"/>
    <x v="126"/>
    <x v="49"/>
    <x v="6"/>
    <x v="31"/>
    <x v="65"/>
    <x v="27"/>
    <x v="135"/>
    <x v="27"/>
    <x v="71"/>
    <x v="129"/>
    <x v="23"/>
    <x v="79"/>
    <x v="129"/>
    <x v="24"/>
    <x v="91"/>
    <x v="149"/>
  </r>
  <r>
    <x v="9"/>
    <x v="34"/>
    <x v="314"/>
    <x v="226"/>
    <x v="3"/>
    <x v="118"/>
    <x v="68"/>
    <x v="0"/>
    <x v="52"/>
    <x v="54"/>
    <x v="69"/>
    <x v="6"/>
    <x v="27"/>
    <x v="104"/>
    <x v="29"/>
    <x v="126"/>
    <x v="62"/>
    <x v="1"/>
    <x v="10"/>
    <x v="99"/>
    <x v="26"/>
    <x v="156"/>
    <x v="0"/>
    <x v="0"/>
    <x v="0"/>
    <x v="24"/>
    <x v="128"/>
    <x v="176"/>
    <x v="25"/>
    <x v="143"/>
    <x v="202"/>
  </r>
  <r>
    <x v="9"/>
    <x v="8"/>
    <x v="41"/>
    <x v="227"/>
    <x v="3"/>
    <x v="119"/>
    <x v="127"/>
    <x v="22"/>
    <x v="59"/>
    <x v="54"/>
    <x v="69"/>
    <x v="28"/>
    <x v="27"/>
    <x v="104"/>
    <x v="29"/>
    <x v="126"/>
    <x v="0"/>
    <x v="0"/>
    <x v="138"/>
    <x v="23"/>
    <x v="27"/>
    <x v="71"/>
    <x v="27"/>
    <x v="27"/>
    <x v="65"/>
    <x v="23"/>
    <x v="35"/>
    <x v="62"/>
    <x v="24"/>
    <x v="40"/>
    <x v="73"/>
  </r>
  <r>
    <x v="9"/>
    <x v="8"/>
    <x v="95"/>
    <x v="228"/>
    <x v="3"/>
    <x v="118"/>
    <x v="198"/>
    <x v="30"/>
    <x v="87"/>
    <x v="54"/>
    <x v="69"/>
    <x v="42"/>
    <x v="27"/>
    <x v="104"/>
    <x v="29"/>
    <x v="126"/>
    <x v="13"/>
    <x v="1"/>
    <x v="1"/>
    <x v="18"/>
    <x v="27"/>
    <x v="61"/>
    <x v="27"/>
    <x v="21"/>
    <x v="56"/>
    <x v="23"/>
    <x v="27"/>
    <x v="55"/>
    <x v="24"/>
    <x v="32"/>
    <x v="65"/>
  </r>
  <r>
    <x v="9"/>
    <x v="8"/>
    <x v="118"/>
    <x v="229"/>
    <x v="3"/>
    <x v="117"/>
    <x v="197"/>
    <x v="30"/>
    <x v="84"/>
    <x v="54"/>
    <x v="69"/>
    <x v="42"/>
    <x v="27"/>
    <x v="104"/>
    <x v="29"/>
    <x v="126"/>
    <x v="12"/>
    <x v="2"/>
    <x v="5"/>
    <x v="16"/>
    <x v="27"/>
    <x v="60"/>
    <x v="27"/>
    <x v="20"/>
    <x v="55"/>
    <x v="23"/>
    <x v="25"/>
    <x v="54"/>
    <x v="24"/>
    <x v="29"/>
    <x v="63"/>
  </r>
  <r>
    <x v="9"/>
    <x v="35"/>
    <x v="287"/>
    <x v="190"/>
    <x v="3"/>
    <x v="78"/>
    <x v="174"/>
    <x v="32"/>
    <x v="0"/>
    <x v="54"/>
    <x v="1"/>
    <x v="42"/>
    <x v="27"/>
    <x v="104"/>
    <x v="24"/>
    <x v="0"/>
    <x v="0"/>
    <x v="26"/>
    <x v="0"/>
    <x v="0"/>
    <x v="27"/>
    <x v="0"/>
    <x v="27"/>
    <x v="109"/>
    <x v="0"/>
    <x v="23"/>
    <x v="0"/>
    <x v="0"/>
    <x v="24"/>
    <x v="0"/>
    <x v="0"/>
  </r>
  <r>
    <x v="9"/>
    <x v="31"/>
    <x v="298"/>
    <x v="230"/>
    <x v="3"/>
    <x v="119"/>
    <x v="199"/>
    <x v="29"/>
    <x v="183"/>
    <x v="54"/>
    <x v="69"/>
    <x v="42"/>
    <x v="27"/>
    <x v="104"/>
    <x v="29"/>
    <x v="126"/>
    <x v="75"/>
    <x v="27"/>
    <x v="138"/>
    <x v="88"/>
    <x v="27"/>
    <x v="162"/>
    <x v="27"/>
    <x v="91"/>
    <x v="153"/>
    <x v="23"/>
    <x v="108"/>
    <x v="156"/>
    <x v="24"/>
    <x v="122"/>
    <x v="180"/>
  </r>
  <r>
    <x v="9"/>
    <x v="9"/>
    <x v="307"/>
    <x v="231"/>
    <x v="3"/>
    <x v="119"/>
    <x v="199"/>
    <x v="30"/>
    <x v="98"/>
    <x v="54"/>
    <x v="69"/>
    <x v="42"/>
    <x v="27"/>
    <x v="104"/>
    <x v="29"/>
    <x v="126"/>
    <x v="75"/>
    <x v="27"/>
    <x v="138"/>
    <x v="23"/>
    <x v="27"/>
    <x v="75"/>
    <x v="27"/>
    <x v="27"/>
    <x v="70"/>
    <x v="23"/>
    <x v="35"/>
    <x v="67"/>
    <x v="24"/>
    <x v="40"/>
    <x v="78"/>
  </r>
  <r>
    <x v="9"/>
    <x v="31"/>
    <x v="188"/>
    <x v="232"/>
    <x v="3"/>
    <x v="119"/>
    <x v="199"/>
    <x v="29"/>
    <x v="125"/>
    <x v="54"/>
    <x v="69"/>
    <x v="42"/>
    <x v="27"/>
    <x v="104"/>
    <x v="29"/>
    <x v="126"/>
    <x v="75"/>
    <x v="27"/>
    <x v="138"/>
    <x v="43"/>
    <x v="27"/>
    <x v="105"/>
    <x v="27"/>
    <x v="47"/>
    <x v="97"/>
    <x v="23"/>
    <x v="55"/>
    <x v="97"/>
    <x v="24"/>
    <x v="68"/>
    <x v="115"/>
  </r>
  <r>
    <x v="9"/>
    <x v="9"/>
    <x v="128"/>
    <x v="233"/>
    <x v="3"/>
    <x v="123"/>
    <x v="202"/>
    <x v="31"/>
    <x v="98"/>
    <x v="54"/>
    <x v="69"/>
    <x v="42"/>
    <x v="27"/>
    <x v="104"/>
    <x v="29"/>
    <x v="126"/>
    <x v="75"/>
    <x v="27"/>
    <x v="138"/>
    <x v="23"/>
    <x v="23"/>
    <x v="55"/>
    <x v="27"/>
    <x v="27"/>
    <x v="70"/>
    <x v="23"/>
    <x v="35"/>
    <x v="67"/>
    <x v="24"/>
    <x v="40"/>
    <x v="78"/>
  </r>
  <r>
    <x v="9"/>
    <x v="31"/>
    <x v="2"/>
    <x v="234"/>
    <x v="3"/>
    <x v="119"/>
    <x v="199"/>
    <x v="29"/>
    <x v="73"/>
    <x v="54"/>
    <x v="69"/>
    <x v="42"/>
    <x v="27"/>
    <x v="104"/>
    <x v="29"/>
    <x v="126"/>
    <x v="75"/>
    <x v="27"/>
    <x v="138"/>
    <x v="9"/>
    <x v="27"/>
    <x v="44"/>
    <x v="27"/>
    <x v="11"/>
    <x v="38"/>
    <x v="23"/>
    <x v="14"/>
    <x v="39"/>
    <x v="24"/>
    <x v="17"/>
    <x v="40"/>
  </r>
  <r>
    <x v="9"/>
    <x v="9"/>
    <x v="261"/>
    <x v="235"/>
    <x v="3"/>
    <x v="123"/>
    <x v="72"/>
    <x v="0"/>
    <x v="39"/>
    <x v="54"/>
    <x v="69"/>
    <x v="6"/>
    <x v="27"/>
    <x v="104"/>
    <x v="29"/>
    <x v="126"/>
    <x v="75"/>
    <x v="27"/>
    <x v="138"/>
    <x v="72"/>
    <x v="23"/>
    <x v="137"/>
    <x v="5"/>
    <x v="0"/>
    <x v="29"/>
    <x v="25"/>
    <x v="128"/>
    <x v="176"/>
    <x v="25"/>
    <x v="143"/>
    <x v="202"/>
  </r>
  <r>
    <x v="9"/>
    <x v="9"/>
    <x v="38"/>
    <x v="236"/>
    <x v="3"/>
    <x v="120"/>
    <x v="70"/>
    <x v="0"/>
    <x v="25"/>
    <x v="54"/>
    <x v="69"/>
    <x v="7"/>
    <x v="27"/>
    <x v="104"/>
    <x v="29"/>
    <x v="126"/>
    <x v="75"/>
    <x v="27"/>
    <x v="138"/>
    <x v="53"/>
    <x v="26"/>
    <x v="113"/>
    <x v="2"/>
    <x v="0"/>
    <x v="4"/>
    <x v="25"/>
    <x v="128"/>
    <x v="176"/>
    <x v="25"/>
    <x v="143"/>
    <x v="202"/>
  </r>
  <r>
    <x v="9"/>
    <x v="9"/>
    <x v="210"/>
    <x v="237"/>
    <x v="3"/>
    <x v="122"/>
    <x v="201"/>
    <x v="30"/>
    <x v="177"/>
    <x v="54"/>
    <x v="69"/>
    <x v="42"/>
    <x v="27"/>
    <x v="104"/>
    <x v="29"/>
    <x v="126"/>
    <x v="75"/>
    <x v="27"/>
    <x v="138"/>
    <x v="84"/>
    <x v="24"/>
    <x v="155"/>
    <x v="27"/>
    <x v="88"/>
    <x v="150"/>
    <x v="23"/>
    <x v="104"/>
    <x v="153"/>
    <x v="24"/>
    <x v="117"/>
    <x v="175"/>
  </r>
  <r>
    <x v="9"/>
    <x v="9"/>
    <x v="199"/>
    <x v="238"/>
    <x v="3"/>
    <x v="123"/>
    <x v="203"/>
    <x v="30"/>
    <x v="124"/>
    <x v="54"/>
    <x v="69"/>
    <x v="43"/>
    <x v="27"/>
    <x v="104"/>
    <x v="29"/>
    <x v="126"/>
    <x v="75"/>
    <x v="27"/>
    <x v="138"/>
    <x v="42"/>
    <x v="23"/>
    <x v="93"/>
    <x v="27"/>
    <x v="46"/>
    <x v="95"/>
    <x v="23"/>
    <x v="54"/>
    <x v="93"/>
    <x v="24"/>
    <x v="67"/>
    <x v="111"/>
  </r>
  <r>
    <x v="9"/>
    <x v="9"/>
    <x v="63"/>
    <x v="239"/>
    <x v="3"/>
    <x v="117"/>
    <x v="67"/>
    <x v="0"/>
    <x v="28"/>
    <x v="54"/>
    <x v="69"/>
    <x v="6"/>
    <x v="27"/>
    <x v="104"/>
    <x v="29"/>
    <x v="126"/>
    <x v="43"/>
    <x v="2"/>
    <x v="11"/>
    <x v="99"/>
    <x v="25"/>
    <x v="118"/>
    <x v="0"/>
    <x v="0"/>
    <x v="0"/>
    <x v="25"/>
    <x v="128"/>
    <x v="176"/>
    <x v="25"/>
    <x v="143"/>
    <x v="202"/>
  </r>
  <r>
    <x v="9"/>
    <x v="9"/>
    <x v="340"/>
    <x v="240"/>
    <x v="3"/>
    <x v="123"/>
    <x v="73"/>
    <x v="0"/>
    <x v="17"/>
    <x v="54"/>
    <x v="69"/>
    <x v="7"/>
    <x v="27"/>
    <x v="104"/>
    <x v="29"/>
    <x v="126"/>
    <x v="75"/>
    <x v="27"/>
    <x v="138"/>
    <x v="35"/>
    <x v="23"/>
    <x v="81"/>
    <x v="6"/>
    <x v="0"/>
    <x v="11"/>
    <x v="25"/>
    <x v="128"/>
    <x v="176"/>
    <x v="25"/>
    <x v="143"/>
    <x v="202"/>
  </r>
  <r>
    <x v="9"/>
    <x v="9"/>
    <x v="315"/>
    <x v="241"/>
    <x v="3"/>
    <x v="122"/>
    <x v="72"/>
    <x v="0"/>
    <x v="15"/>
    <x v="54"/>
    <x v="69"/>
    <x v="7"/>
    <x v="27"/>
    <x v="104"/>
    <x v="29"/>
    <x v="126"/>
    <x v="75"/>
    <x v="27"/>
    <x v="138"/>
    <x v="30"/>
    <x v="24"/>
    <x v="70"/>
    <x v="5"/>
    <x v="0"/>
    <x v="7"/>
    <x v="25"/>
    <x v="128"/>
    <x v="176"/>
    <x v="25"/>
    <x v="143"/>
    <x v="202"/>
  </r>
  <r>
    <x v="9"/>
    <x v="9"/>
    <x v="310"/>
    <x v="242"/>
    <x v="3"/>
    <x v="121"/>
    <x v="200"/>
    <x v="30"/>
    <x v="88"/>
    <x v="54"/>
    <x v="69"/>
    <x v="42"/>
    <x v="27"/>
    <x v="104"/>
    <x v="29"/>
    <x v="126"/>
    <x v="75"/>
    <x v="27"/>
    <x v="138"/>
    <x v="19"/>
    <x v="25"/>
    <x v="53"/>
    <x v="27"/>
    <x v="22"/>
    <x v="58"/>
    <x v="23"/>
    <x v="28"/>
    <x v="56"/>
    <x v="24"/>
    <x v="33"/>
    <x v="66"/>
  </r>
  <r>
    <x v="9"/>
    <x v="9"/>
    <x v="45"/>
    <x v="243"/>
    <x v="3"/>
    <x v="121"/>
    <x v="200"/>
    <x v="31"/>
    <x v="87"/>
    <x v="54"/>
    <x v="69"/>
    <x v="42"/>
    <x v="27"/>
    <x v="104"/>
    <x v="29"/>
    <x v="126"/>
    <x v="75"/>
    <x v="27"/>
    <x v="138"/>
    <x v="18"/>
    <x v="25"/>
    <x v="51"/>
    <x v="27"/>
    <x v="21"/>
    <x v="56"/>
    <x v="23"/>
    <x v="27"/>
    <x v="55"/>
    <x v="24"/>
    <x v="32"/>
    <x v="65"/>
  </r>
  <r>
    <x v="9"/>
    <x v="9"/>
    <x v="132"/>
    <x v="244"/>
    <x v="3"/>
    <x v="121"/>
    <x v="71"/>
    <x v="0"/>
    <x v="0"/>
    <x v="54"/>
    <x v="69"/>
    <x v="7"/>
    <x v="27"/>
    <x v="104"/>
    <x v="29"/>
    <x v="126"/>
    <x v="75"/>
    <x v="27"/>
    <x v="138"/>
    <x v="0"/>
    <x v="25"/>
    <x v="0"/>
    <x v="4"/>
    <x v="0"/>
    <x v="0"/>
    <x v="25"/>
    <x v="128"/>
    <x v="176"/>
    <x v="25"/>
    <x v="143"/>
    <x v="202"/>
  </r>
  <r>
    <x v="9"/>
    <x v="9"/>
    <x v="224"/>
    <x v="245"/>
    <x v="3"/>
    <x v="123"/>
    <x v="202"/>
    <x v="30"/>
    <x v="187"/>
    <x v="54"/>
    <x v="69"/>
    <x v="42"/>
    <x v="27"/>
    <x v="104"/>
    <x v="29"/>
    <x v="126"/>
    <x v="75"/>
    <x v="27"/>
    <x v="138"/>
    <x v="91"/>
    <x v="23"/>
    <x v="164"/>
    <x v="27"/>
    <x v="95"/>
    <x v="157"/>
    <x v="23"/>
    <x v="112"/>
    <x v="159"/>
    <x v="24"/>
    <x v="125"/>
    <x v="183"/>
  </r>
  <r>
    <x v="9"/>
    <x v="9"/>
    <x v="126"/>
    <x v="246"/>
    <x v="3"/>
    <x v="123"/>
    <x v="202"/>
    <x v="30"/>
    <x v="109"/>
    <x v="54"/>
    <x v="69"/>
    <x v="42"/>
    <x v="27"/>
    <x v="104"/>
    <x v="29"/>
    <x v="126"/>
    <x v="75"/>
    <x v="27"/>
    <x v="138"/>
    <x v="31"/>
    <x v="23"/>
    <x v="68"/>
    <x v="27"/>
    <x v="36"/>
    <x v="82"/>
    <x v="23"/>
    <x v="44"/>
    <x v="80"/>
    <x v="24"/>
    <x v="51"/>
    <x v="97"/>
  </r>
  <r>
    <x v="9"/>
    <x v="9"/>
    <x v="254"/>
    <x v="247"/>
    <x v="3"/>
    <x v="124"/>
    <x v="203"/>
    <x v="30"/>
    <x v="98"/>
    <x v="54"/>
    <x v="69"/>
    <x v="42"/>
    <x v="27"/>
    <x v="104"/>
    <x v="29"/>
    <x v="126"/>
    <x v="75"/>
    <x v="27"/>
    <x v="138"/>
    <x v="23"/>
    <x v="22"/>
    <x v="50"/>
    <x v="27"/>
    <x v="27"/>
    <x v="70"/>
    <x v="23"/>
    <x v="35"/>
    <x v="67"/>
    <x v="24"/>
    <x v="40"/>
    <x v="78"/>
  </r>
  <r>
    <x v="9"/>
    <x v="9"/>
    <x v="110"/>
    <x v="248"/>
    <x v="3"/>
    <x v="124"/>
    <x v="203"/>
    <x v="31"/>
    <x v="98"/>
    <x v="54"/>
    <x v="69"/>
    <x v="42"/>
    <x v="27"/>
    <x v="104"/>
    <x v="29"/>
    <x v="126"/>
    <x v="75"/>
    <x v="27"/>
    <x v="138"/>
    <x v="23"/>
    <x v="22"/>
    <x v="50"/>
    <x v="27"/>
    <x v="27"/>
    <x v="70"/>
    <x v="23"/>
    <x v="35"/>
    <x v="67"/>
    <x v="24"/>
    <x v="40"/>
    <x v="78"/>
  </r>
  <r>
    <x v="9"/>
    <x v="9"/>
    <x v="264"/>
    <x v="249"/>
    <x v="3"/>
    <x v="127"/>
    <x v="204"/>
    <x v="30"/>
    <x v="98"/>
    <x v="54"/>
    <x v="69"/>
    <x v="42"/>
    <x v="27"/>
    <x v="104"/>
    <x v="29"/>
    <x v="126"/>
    <x v="75"/>
    <x v="27"/>
    <x v="138"/>
    <x v="23"/>
    <x v="18"/>
    <x v="42"/>
    <x v="27"/>
    <x v="27"/>
    <x v="70"/>
    <x v="23"/>
    <x v="35"/>
    <x v="67"/>
    <x v="24"/>
    <x v="40"/>
    <x v="78"/>
  </r>
  <r>
    <x v="9"/>
    <x v="9"/>
    <x v="247"/>
    <x v="250"/>
    <x v="3"/>
    <x v="125"/>
    <x v="74"/>
    <x v="0"/>
    <x v="16"/>
    <x v="54"/>
    <x v="69"/>
    <x v="7"/>
    <x v="27"/>
    <x v="104"/>
    <x v="29"/>
    <x v="126"/>
    <x v="75"/>
    <x v="27"/>
    <x v="138"/>
    <x v="33"/>
    <x v="21"/>
    <x v="64"/>
    <x v="8"/>
    <x v="0"/>
    <x v="15"/>
    <x v="25"/>
    <x v="128"/>
    <x v="176"/>
    <x v="25"/>
    <x v="143"/>
    <x v="202"/>
  </r>
  <r>
    <x v="9"/>
    <x v="9"/>
    <x v="330"/>
    <x v="251"/>
    <x v="3"/>
    <x v="126"/>
    <x v="75"/>
    <x v="0"/>
    <x v="40"/>
    <x v="54"/>
    <x v="69"/>
    <x v="7"/>
    <x v="27"/>
    <x v="104"/>
    <x v="29"/>
    <x v="126"/>
    <x v="75"/>
    <x v="27"/>
    <x v="138"/>
    <x v="73"/>
    <x v="20"/>
    <x v="130"/>
    <x v="9"/>
    <x v="0"/>
    <x v="64"/>
    <x v="25"/>
    <x v="128"/>
    <x v="176"/>
    <x v="25"/>
    <x v="143"/>
    <x v="202"/>
  </r>
  <r>
    <x v="9"/>
    <x v="9"/>
    <x v="6"/>
    <x v="252"/>
    <x v="3"/>
    <x v="125"/>
    <x v="74"/>
    <x v="0"/>
    <x v="74"/>
    <x v="54"/>
    <x v="69"/>
    <x v="7"/>
    <x v="27"/>
    <x v="104"/>
    <x v="29"/>
    <x v="126"/>
    <x v="75"/>
    <x v="27"/>
    <x v="138"/>
    <x v="90"/>
    <x v="21"/>
    <x v="158"/>
    <x v="8"/>
    <x v="0"/>
    <x v="118"/>
    <x v="25"/>
    <x v="128"/>
    <x v="176"/>
    <x v="25"/>
    <x v="143"/>
    <x v="202"/>
  </r>
  <r>
    <x v="9"/>
    <x v="9"/>
    <x v="327"/>
    <x v="253"/>
    <x v="3"/>
    <x v="141"/>
    <x v="216"/>
    <x v="30"/>
    <x v="87"/>
    <x v="54"/>
    <x v="69"/>
    <x v="42"/>
    <x v="27"/>
    <x v="104"/>
    <x v="29"/>
    <x v="126"/>
    <x v="75"/>
    <x v="27"/>
    <x v="138"/>
    <x v="99"/>
    <x v="0"/>
    <x v="172"/>
    <x v="27"/>
    <x v="21"/>
    <x v="56"/>
    <x v="23"/>
    <x v="27"/>
    <x v="55"/>
    <x v="24"/>
    <x v="32"/>
    <x v="65"/>
  </r>
  <r>
    <x v="9"/>
    <x v="9"/>
    <x v="320"/>
    <x v="254"/>
    <x v="3"/>
    <x v="130"/>
    <x v="207"/>
    <x v="30"/>
    <x v="142"/>
    <x v="54"/>
    <x v="69"/>
    <x v="42"/>
    <x v="27"/>
    <x v="104"/>
    <x v="29"/>
    <x v="126"/>
    <x v="75"/>
    <x v="27"/>
    <x v="138"/>
    <x v="57"/>
    <x v="15"/>
    <x v="83"/>
    <x v="27"/>
    <x v="63"/>
    <x v="117"/>
    <x v="23"/>
    <x v="70"/>
    <x v="117"/>
    <x v="24"/>
    <x v="83"/>
    <x v="134"/>
  </r>
  <r>
    <x v="9"/>
    <x v="9"/>
    <x v="237"/>
    <x v="255"/>
    <x v="3"/>
    <x v="129"/>
    <x v="206"/>
    <x v="31"/>
    <x v="84"/>
    <x v="54"/>
    <x v="69"/>
    <x v="42"/>
    <x v="27"/>
    <x v="104"/>
    <x v="29"/>
    <x v="126"/>
    <x v="75"/>
    <x v="27"/>
    <x v="138"/>
    <x v="16"/>
    <x v="16"/>
    <x v="28"/>
    <x v="27"/>
    <x v="20"/>
    <x v="55"/>
    <x v="23"/>
    <x v="25"/>
    <x v="54"/>
    <x v="24"/>
    <x v="29"/>
    <x v="63"/>
  </r>
  <r>
    <x v="9"/>
    <x v="9"/>
    <x v="156"/>
    <x v="256"/>
    <x v="3"/>
    <x v="119"/>
    <x v="69"/>
    <x v="0"/>
    <x v="35"/>
    <x v="54"/>
    <x v="69"/>
    <x v="7"/>
    <x v="27"/>
    <x v="104"/>
    <x v="29"/>
    <x v="126"/>
    <x v="75"/>
    <x v="27"/>
    <x v="138"/>
    <x v="68"/>
    <x v="27"/>
    <x v="138"/>
    <x v="0"/>
    <x v="0"/>
    <x v="0"/>
    <x v="25"/>
    <x v="128"/>
    <x v="176"/>
    <x v="25"/>
    <x v="143"/>
    <x v="202"/>
  </r>
  <r>
    <x v="9"/>
    <x v="9"/>
    <x v="253"/>
    <x v="257"/>
    <x v="3"/>
    <x v="102"/>
    <x v="60"/>
    <x v="18"/>
    <x v="12"/>
    <x v="54"/>
    <x v="69"/>
    <x v="10"/>
    <x v="27"/>
    <x v="104"/>
    <x v="29"/>
    <x v="126"/>
    <x v="10"/>
    <x v="21"/>
    <x v="33"/>
    <x v="99"/>
    <x v="13"/>
    <x v="22"/>
    <x v="0"/>
    <x v="0"/>
    <x v="0"/>
    <x v="25"/>
    <x v="128"/>
    <x v="176"/>
    <x v="25"/>
    <x v="143"/>
    <x v="202"/>
  </r>
  <r>
    <x v="9"/>
    <x v="9"/>
    <x v="253"/>
    <x v="258"/>
    <x v="3"/>
    <x v="129"/>
    <x v="78"/>
    <x v="0"/>
    <x v="40"/>
    <x v="54"/>
    <x v="69"/>
    <x v="8"/>
    <x v="27"/>
    <x v="104"/>
    <x v="29"/>
    <x v="126"/>
    <x v="75"/>
    <x v="27"/>
    <x v="138"/>
    <x v="73"/>
    <x v="16"/>
    <x v="110"/>
    <x v="14"/>
    <x v="0"/>
    <x v="93"/>
    <x v="25"/>
    <x v="128"/>
    <x v="176"/>
    <x v="25"/>
    <x v="143"/>
    <x v="202"/>
  </r>
  <r>
    <x v="9"/>
    <x v="9"/>
    <x v="60"/>
    <x v="260"/>
    <x v="3"/>
    <x v="129"/>
    <x v="206"/>
    <x v="29"/>
    <x v="147"/>
    <x v="54"/>
    <x v="69"/>
    <x v="42"/>
    <x v="27"/>
    <x v="104"/>
    <x v="29"/>
    <x v="126"/>
    <x v="75"/>
    <x v="27"/>
    <x v="138"/>
    <x v="61"/>
    <x v="16"/>
    <x v="88"/>
    <x v="27"/>
    <x v="67"/>
    <x v="122"/>
    <x v="23"/>
    <x v="74"/>
    <x v="121"/>
    <x v="24"/>
    <x v="86"/>
    <x v="140"/>
  </r>
  <r>
    <x v="9"/>
    <x v="9"/>
    <x v="160"/>
    <x v="261"/>
    <x v="3"/>
    <x v="129"/>
    <x v="206"/>
    <x v="29"/>
    <x v="125"/>
    <x v="54"/>
    <x v="69"/>
    <x v="42"/>
    <x v="27"/>
    <x v="104"/>
    <x v="29"/>
    <x v="126"/>
    <x v="75"/>
    <x v="27"/>
    <x v="138"/>
    <x v="43"/>
    <x v="16"/>
    <x v="65"/>
    <x v="27"/>
    <x v="47"/>
    <x v="97"/>
    <x v="23"/>
    <x v="55"/>
    <x v="97"/>
    <x v="24"/>
    <x v="68"/>
    <x v="115"/>
  </r>
  <r>
    <x v="9"/>
    <x v="9"/>
    <x v="263"/>
    <x v="262"/>
    <x v="3"/>
    <x v="131"/>
    <x v="66"/>
    <x v="2"/>
    <x v="17"/>
    <x v="54"/>
    <x v="69"/>
    <x v="0"/>
    <x v="27"/>
    <x v="104"/>
    <x v="29"/>
    <x v="126"/>
    <x v="75"/>
    <x v="27"/>
    <x v="138"/>
    <x v="35"/>
    <x v="9"/>
    <x v="92"/>
    <x v="0"/>
    <x v="0"/>
    <x v="0"/>
    <x v="25"/>
    <x v="128"/>
    <x v="176"/>
    <x v="25"/>
    <x v="143"/>
    <x v="202"/>
  </r>
  <r>
    <x v="2"/>
    <x v="9"/>
    <x v="116"/>
    <x v="263"/>
    <x v="3"/>
    <x v="119"/>
    <x v="207"/>
    <x v="29"/>
    <x v="110"/>
    <x v="54"/>
    <x v="69"/>
    <x v="47"/>
    <x v="27"/>
    <x v="104"/>
    <x v="29"/>
    <x v="126"/>
    <x v="75"/>
    <x v="27"/>
    <x v="138"/>
    <x v="32"/>
    <x v="27"/>
    <x v="86"/>
    <x v="27"/>
    <x v="37"/>
    <x v="80"/>
    <x v="23"/>
    <x v="45"/>
    <x v="78"/>
    <x v="24"/>
    <x v="52"/>
    <x v="95"/>
  </r>
  <r>
    <x v="9"/>
    <x v="9"/>
    <x v="192"/>
    <x v="264"/>
    <x v="3"/>
    <x v="130"/>
    <x v="207"/>
    <x v="30"/>
    <x v="98"/>
    <x v="54"/>
    <x v="69"/>
    <x v="42"/>
    <x v="27"/>
    <x v="104"/>
    <x v="29"/>
    <x v="126"/>
    <x v="75"/>
    <x v="27"/>
    <x v="138"/>
    <x v="23"/>
    <x v="15"/>
    <x v="33"/>
    <x v="27"/>
    <x v="27"/>
    <x v="70"/>
    <x v="23"/>
    <x v="35"/>
    <x v="67"/>
    <x v="24"/>
    <x v="40"/>
    <x v="78"/>
  </r>
  <r>
    <x v="9"/>
    <x v="9"/>
    <x v="114"/>
    <x v="265"/>
    <x v="3"/>
    <x v="130"/>
    <x v="207"/>
    <x v="30"/>
    <x v="137"/>
    <x v="54"/>
    <x v="69"/>
    <x v="42"/>
    <x v="27"/>
    <x v="104"/>
    <x v="29"/>
    <x v="126"/>
    <x v="75"/>
    <x v="27"/>
    <x v="138"/>
    <x v="52"/>
    <x v="15"/>
    <x v="78"/>
    <x v="27"/>
    <x v="58"/>
    <x v="109"/>
    <x v="23"/>
    <x v="65"/>
    <x v="110"/>
    <x v="24"/>
    <x v="78"/>
    <x v="128"/>
  </r>
  <r>
    <x v="9"/>
    <x v="9"/>
    <x v="351"/>
    <x v="266"/>
    <x v="3"/>
    <x v="130"/>
    <x v="131"/>
    <x v="22"/>
    <x v="59"/>
    <x v="54"/>
    <x v="69"/>
    <x v="28"/>
    <x v="27"/>
    <x v="104"/>
    <x v="29"/>
    <x v="126"/>
    <x v="75"/>
    <x v="27"/>
    <x v="138"/>
    <x v="23"/>
    <x v="15"/>
    <x v="32"/>
    <x v="27"/>
    <x v="27"/>
    <x v="65"/>
    <x v="23"/>
    <x v="35"/>
    <x v="62"/>
    <x v="24"/>
    <x v="40"/>
    <x v="73"/>
  </r>
  <r>
    <x v="9"/>
    <x v="9"/>
    <x v="163"/>
    <x v="267"/>
    <x v="3"/>
    <x v="132"/>
    <x v="209"/>
    <x v="30"/>
    <x v="98"/>
    <x v="54"/>
    <x v="69"/>
    <x v="42"/>
    <x v="27"/>
    <x v="104"/>
    <x v="29"/>
    <x v="126"/>
    <x v="75"/>
    <x v="27"/>
    <x v="138"/>
    <x v="23"/>
    <x v="13"/>
    <x v="27"/>
    <x v="27"/>
    <x v="27"/>
    <x v="70"/>
    <x v="23"/>
    <x v="35"/>
    <x v="67"/>
    <x v="24"/>
    <x v="40"/>
    <x v="78"/>
  </r>
  <r>
    <x v="9"/>
    <x v="33"/>
    <x v="331"/>
    <x v="268"/>
    <x v="3"/>
    <x v="131"/>
    <x v="208"/>
    <x v="32"/>
    <x v="176"/>
    <x v="54"/>
    <x v="69"/>
    <x v="42"/>
    <x v="27"/>
    <x v="104"/>
    <x v="29"/>
    <x v="126"/>
    <x v="75"/>
    <x v="27"/>
    <x v="138"/>
    <x v="82"/>
    <x v="14"/>
    <x v="134"/>
    <x v="27"/>
    <x v="87"/>
    <x v="149"/>
    <x v="23"/>
    <x v="102"/>
    <x v="151"/>
    <x v="24"/>
    <x v="116"/>
    <x v="173"/>
  </r>
  <r>
    <x v="9"/>
    <x v="31"/>
    <x v="107"/>
    <x v="269"/>
    <x v="3"/>
    <x v="131"/>
    <x v="208"/>
    <x v="32"/>
    <x v="107"/>
    <x v="54"/>
    <x v="69"/>
    <x v="42"/>
    <x v="27"/>
    <x v="104"/>
    <x v="29"/>
    <x v="126"/>
    <x v="75"/>
    <x v="27"/>
    <x v="138"/>
    <x v="30"/>
    <x v="14"/>
    <x v="40"/>
    <x v="27"/>
    <x v="35"/>
    <x v="81"/>
    <x v="23"/>
    <x v="43"/>
    <x v="79"/>
    <x v="24"/>
    <x v="48"/>
    <x v="96"/>
  </r>
  <r>
    <x v="9"/>
    <x v="9"/>
    <x v="39"/>
    <x v="270"/>
    <x v="3"/>
    <x v="133"/>
    <x v="210"/>
    <x v="30"/>
    <x v="98"/>
    <x v="54"/>
    <x v="69"/>
    <x v="42"/>
    <x v="27"/>
    <x v="104"/>
    <x v="29"/>
    <x v="126"/>
    <x v="75"/>
    <x v="27"/>
    <x v="138"/>
    <x v="23"/>
    <x v="12"/>
    <x v="26"/>
    <x v="27"/>
    <x v="27"/>
    <x v="70"/>
    <x v="23"/>
    <x v="35"/>
    <x v="67"/>
    <x v="24"/>
    <x v="40"/>
    <x v="78"/>
  </r>
  <r>
    <x v="9"/>
    <x v="9"/>
    <x v="220"/>
    <x v="271"/>
    <x v="3"/>
    <x v="128"/>
    <x v="205"/>
    <x v="30"/>
    <x v="164"/>
    <x v="54"/>
    <x v="69"/>
    <x v="42"/>
    <x v="27"/>
    <x v="104"/>
    <x v="29"/>
    <x v="126"/>
    <x v="75"/>
    <x v="27"/>
    <x v="138"/>
    <x v="76"/>
    <x v="17"/>
    <x v="124"/>
    <x v="27"/>
    <x v="81"/>
    <x v="142"/>
    <x v="23"/>
    <x v="91"/>
    <x v="142"/>
    <x v="24"/>
    <x v="104"/>
    <x v="162"/>
  </r>
  <r>
    <x v="9"/>
    <x v="8"/>
    <x v="106"/>
    <x v="218"/>
    <x v="3"/>
    <x v="112"/>
    <x v="63"/>
    <x v="0"/>
    <x v="8"/>
    <x v="54"/>
    <x v="69"/>
    <x v="6"/>
    <x v="27"/>
    <x v="104"/>
    <x v="29"/>
    <x v="126"/>
    <x v="12"/>
    <x v="11"/>
    <x v="17"/>
    <x v="99"/>
    <x v="17"/>
    <x v="30"/>
    <x v="0"/>
    <x v="0"/>
    <x v="0"/>
    <x v="25"/>
    <x v="128"/>
    <x v="176"/>
    <x v="25"/>
    <x v="143"/>
    <x v="202"/>
  </r>
  <r>
    <x v="9"/>
    <x v="9"/>
    <x v="202"/>
    <x v="273"/>
    <x v="3"/>
    <x v="133"/>
    <x v="133"/>
    <x v="22"/>
    <x v="59"/>
    <x v="54"/>
    <x v="69"/>
    <x v="28"/>
    <x v="27"/>
    <x v="104"/>
    <x v="29"/>
    <x v="126"/>
    <x v="75"/>
    <x v="27"/>
    <x v="138"/>
    <x v="23"/>
    <x v="12"/>
    <x v="25"/>
    <x v="27"/>
    <x v="27"/>
    <x v="65"/>
    <x v="23"/>
    <x v="35"/>
    <x v="62"/>
    <x v="24"/>
    <x v="40"/>
    <x v="73"/>
  </r>
  <r>
    <x v="9"/>
    <x v="9"/>
    <x v="240"/>
    <x v="274"/>
    <x v="3"/>
    <x v="133"/>
    <x v="210"/>
    <x v="30"/>
    <x v="135"/>
    <x v="54"/>
    <x v="69"/>
    <x v="42"/>
    <x v="27"/>
    <x v="104"/>
    <x v="29"/>
    <x v="126"/>
    <x v="75"/>
    <x v="27"/>
    <x v="138"/>
    <x v="51"/>
    <x v="12"/>
    <x v="56"/>
    <x v="27"/>
    <x v="56"/>
    <x v="108"/>
    <x v="23"/>
    <x v="63"/>
    <x v="108"/>
    <x v="24"/>
    <x v="76"/>
    <x v="126"/>
  </r>
  <r>
    <x v="9"/>
    <x v="9"/>
    <x v="121"/>
    <x v="275"/>
    <x v="3"/>
    <x v="135"/>
    <x v="211"/>
    <x v="30"/>
    <x v="194"/>
    <x v="54"/>
    <x v="69"/>
    <x v="42"/>
    <x v="27"/>
    <x v="104"/>
    <x v="29"/>
    <x v="126"/>
    <x v="75"/>
    <x v="27"/>
    <x v="138"/>
    <x v="94"/>
    <x v="10"/>
    <x v="159"/>
    <x v="27"/>
    <x v="100"/>
    <x v="162"/>
    <x v="23"/>
    <x v="118"/>
    <x v="165"/>
    <x v="24"/>
    <x v="131"/>
    <x v="191"/>
  </r>
  <r>
    <x v="9"/>
    <x v="9"/>
    <x v="345"/>
    <x v="276"/>
    <x v="3"/>
    <x v="137"/>
    <x v="269"/>
    <x v="14"/>
    <x v="113"/>
    <x v="54"/>
    <x v="69"/>
    <x v="52"/>
    <x v="27"/>
    <x v="104"/>
    <x v="29"/>
    <x v="126"/>
    <x v="75"/>
    <x v="27"/>
    <x v="138"/>
    <x v="10"/>
    <x v="8"/>
    <x v="11"/>
    <x v="27"/>
    <x v="12"/>
    <x v="39"/>
    <x v="23"/>
    <x v="16"/>
    <x v="40"/>
    <x v="24"/>
    <x v="18"/>
    <x v="43"/>
  </r>
  <r>
    <x v="9"/>
    <x v="9"/>
    <x v="218"/>
    <x v="277"/>
    <x v="3"/>
    <x v="135"/>
    <x v="80"/>
    <x v="0"/>
    <x v="40"/>
    <x v="54"/>
    <x v="69"/>
    <x v="7"/>
    <x v="27"/>
    <x v="104"/>
    <x v="29"/>
    <x v="126"/>
    <x v="75"/>
    <x v="27"/>
    <x v="138"/>
    <x v="73"/>
    <x v="10"/>
    <x v="87"/>
    <x v="18"/>
    <x v="0"/>
    <x v="118"/>
    <x v="25"/>
    <x v="128"/>
    <x v="176"/>
    <x v="25"/>
    <x v="143"/>
    <x v="202"/>
  </r>
  <r>
    <x v="9"/>
    <x v="29"/>
    <x v="258"/>
    <x v="278"/>
    <x v="3"/>
    <x v="134"/>
    <x v="79"/>
    <x v="0"/>
    <x v="11"/>
    <x v="54"/>
    <x v="69"/>
    <x v="7"/>
    <x v="27"/>
    <x v="104"/>
    <x v="29"/>
    <x v="126"/>
    <x v="75"/>
    <x v="27"/>
    <x v="138"/>
    <x v="25"/>
    <x v="11"/>
    <x v="23"/>
    <x v="17"/>
    <x v="109"/>
    <x v="35"/>
    <x v="25"/>
    <x v="128"/>
    <x v="176"/>
    <x v="25"/>
    <x v="143"/>
    <x v="202"/>
  </r>
  <r>
    <x v="9"/>
    <x v="9"/>
    <x v="252"/>
    <x v="279"/>
    <x v="3"/>
    <x v="135"/>
    <x v="211"/>
    <x v="30"/>
    <x v="151"/>
    <x v="54"/>
    <x v="69"/>
    <x v="42"/>
    <x v="27"/>
    <x v="104"/>
    <x v="29"/>
    <x v="126"/>
    <x v="75"/>
    <x v="27"/>
    <x v="138"/>
    <x v="65"/>
    <x v="10"/>
    <x v="62"/>
    <x v="27"/>
    <x v="71"/>
    <x v="129"/>
    <x v="23"/>
    <x v="79"/>
    <x v="129"/>
    <x v="24"/>
    <x v="91"/>
    <x v="149"/>
  </r>
  <r>
    <x v="9"/>
    <x v="31"/>
    <x v="278"/>
    <x v="280"/>
    <x v="3"/>
    <x v="135"/>
    <x v="211"/>
    <x v="32"/>
    <x v="175"/>
    <x v="54"/>
    <x v="69"/>
    <x v="42"/>
    <x v="27"/>
    <x v="104"/>
    <x v="29"/>
    <x v="126"/>
    <x v="75"/>
    <x v="27"/>
    <x v="138"/>
    <x v="81"/>
    <x v="10"/>
    <x v="107"/>
    <x v="27"/>
    <x v="86"/>
    <x v="148"/>
    <x v="23"/>
    <x v="101"/>
    <x v="150"/>
    <x v="24"/>
    <x v="114"/>
    <x v="172"/>
  </r>
  <r>
    <x v="9"/>
    <x v="9"/>
    <x v="171"/>
    <x v="281"/>
    <x v="3"/>
    <x v="118"/>
    <x v="127"/>
    <x v="22"/>
    <x v="186"/>
    <x v="54"/>
    <x v="69"/>
    <x v="29"/>
    <x v="27"/>
    <x v="104"/>
    <x v="29"/>
    <x v="126"/>
    <x v="70"/>
    <x v="1"/>
    <x v="28"/>
    <x v="93"/>
    <x v="27"/>
    <x v="168"/>
    <x v="27"/>
    <x v="99"/>
    <x v="161"/>
    <x v="23"/>
    <x v="117"/>
    <x v="164"/>
    <x v="24"/>
    <x v="130"/>
    <x v="190"/>
  </r>
  <r>
    <x v="9"/>
    <x v="9"/>
    <x v="170"/>
    <x v="282"/>
    <x v="3"/>
    <x v="210"/>
    <x v="202"/>
    <x v="22"/>
    <x v="186"/>
    <x v="54"/>
    <x v="69"/>
    <x v="31"/>
    <x v="27"/>
    <x v="104"/>
    <x v="29"/>
    <x v="126"/>
    <x v="75"/>
    <x v="27"/>
    <x v="138"/>
    <x v="99"/>
    <x v="29"/>
    <x v="172"/>
    <x v="0"/>
    <x v="0"/>
    <x v="0"/>
    <x v="25"/>
    <x v="128"/>
    <x v="176"/>
    <x v="25"/>
    <x v="143"/>
    <x v="202"/>
  </r>
  <r>
    <x v="9"/>
    <x v="9"/>
    <x v="35"/>
    <x v="283"/>
    <x v="3"/>
    <x v="136"/>
    <x v="81"/>
    <x v="0"/>
    <x v="9"/>
    <x v="54"/>
    <x v="69"/>
    <x v="7"/>
    <x v="27"/>
    <x v="104"/>
    <x v="29"/>
    <x v="126"/>
    <x v="75"/>
    <x v="27"/>
    <x v="138"/>
    <x v="17"/>
    <x v="9"/>
    <x v="15"/>
    <x v="19"/>
    <x v="0"/>
    <x v="30"/>
    <x v="25"/>
    <x v="128"/>
    <x v="176"/>
    <x v="25"/>
    <x v="143"/>
    <x v="202"/>
  </r>
  <r>
    <x v="9"/>
    <x v="9"/>
    <x v="51"/>
    <x v="284"/>
    <x v="3"/>
    <x v="136"/>
    <x v="212"/>
    <x v="30"/>
    <x v="121"/>
    <x v="54"/>
    <x v="69"/>
    <x v="42"/>
    <x v="27"/>
    <x v="104"/>
    <x v="29"/>
    <x v="126"/>
    <x v="75"/>
    <x v="27"/>
    <x v="138"/>
    <x v="41"/>
    <x v="9"/>
    <x v="31"/>
    <x v="27"/>
    <x v="45"/>
    <x v="92"/>
    <x v="23"/>
    <x v="52"/>
    <x v="91"/>
    <x v="24"/>
    <x v="63"/>
    <x v="106"/>
  </r>
  <r>
    <x v="9"/>
    <x v="9"/>
    <x v="312"/>
    <x v="285"/>
    <x v="3"/>
    <x v="136"/>
    <x v="212"/>
    <x v="30"/>
    <x v="84"/>
    <x v="54"/>
    <x v="69"/>
    <x v="42"/>
    <x v="27"/>
    <x v="104"/>
    <x v="29"/>
    <x v="126"/>
    <x v="75"/>
    <x v="27"/>
    <x v="138"/>
    <x v="16"/>
    <x v="9"/>
    <x v="16"/>
    <x v="27"/>
    <x v="20"/>
    <x v="55"/>
    <x v="23"/>
    <x v="25"/>
    <x v="54"/>
    <x v="24"/>
    <x v="29"/>
    <x v="63"/>
  </r>
  <r>
    <x v="9"/>
    <x v="9"/>
    <x v="149"/>
    <x v="286"/>
    <x v="3"/>
    <x v="136"/>
    <x v="89"/>
    <x v="13"/>
    <x v="40"/>
    <x v="54"/>
    <x v="69"/>
    <x v="13"/>
    <x v="27"/>
    <x v="104"/>
    <x v="29"/>
    <x v="126"/>
    <x v="75"/>
    <x v="27"/>
    <x v="138"/>
    <x v="43"/>
    <x v="9"/>
    <x v="36"/>
    <x v="27"/>
    <x v="47"/>
    <x v="94"/>
    <x v="15"/>
    <x v="128"/>
    <x v="77"/>
    <x v="25"/>
    <x v="143"/>
    <x v="202"/>
  </r>
  <r>
    <x v="9"/>
    <x v="31"/>
    <x v="309"/>
    <x v="287"/>
    <x v="3"/>
    <x v="136"/>
    <x v="168"/>
    <x v="27"/>
    <x v="133"/>
    <x v="54"/>
    <x v="69"/>
    <x v="33"/>
    <x v="27"/>
    <x v="104"/>
    <x v="29"/>
    <x v="126"/>
    <x v="75"/>
    <x v="27"/>
    <x v="138"/>
    <x v="67"/>
    <x v="9"/>
    <x v="57"/>
    <x v="27"/>
    <x v="73"/>
    <x v="128"/>
    <x v="23"/>
    <x v="79"/>
    <x v="128"/>
    <x v="24"/>
    <x v="91"/>
    <x v="148"/>
  </r>
  <r>
    <x v="9"/>
    <x v="9"/>
    <x v="74"/>
    <x v="288"/>
    <x v="3"/>
    <x v="136"/>
    <x v="81"/>
    <x v="0"/>
    <x v="40"/>
    <x v="54"/>
    <x v="69"/>
    <x v="7"/>
    <x v="27"/>
    <x v="104"/>
    <x v="29"/>
    <x v="126"/>
    <x v="75"/>
    <x v="27"/>
    <x v="138"/>
    <x v="73"/>
    <x v="9"/>
    <x v="81"/>
    <x v="19"/>
    <x v="0"/>
    <x v="119"/>
    <x v="25"/>
    <x v="128"/>
    <x v="176"/>
    <x v="25"/>
    <x v="143"/>
    <x v="202"/>
  </r>
  <r>
    <x v="9"/>
    <x v="9"/>
    <x v="162"/>
    <x v="289"/>
    <x v="3"/>
    <x v="137"/>
    <x v="213"/>
    <x v="30"/>
    <x v="98"/>
    <x v="54"/>
    <x v="69"/>
    <x v="42"/>
    <x v="27"/>
    <x v="104"/>
    <x v="29"/>
    <x v="126"/>
    <x v="75"/>
    <x v="27"/>
    <x v="138"/>
    <x v="23"/>
    <x v="8"/>
    <x v="19"/>
    <x v="27"/>
    <x v="27"/>
    <x v="70"/>
    <x v="23"/>
    <x v="35"/>
    <x v="67"/>
    <x v="24"/>
    <x v="40"/>
    <x v="78"/>
  </r>
  <r>
    <x v="9"/>
    <x v="9"/>
    <x v="105"/>
    <x v="290"/>
    <x v="3"/>
    <x v="137"/>
    <x v="134"/>
    <x v="22"/>
    <x v="59"/>
    <x v="54"/>
    <x v="69"/>
    <x v="28"/>
    <x v="27"/>
    <x v="104"/>
    <x v="29"/>
    <x v="126"/>
    <x v="75"/>
    <x v="27"/>
    <x v="138"/>
    <x v="23"/>
    <x v="8"/>
    <x v="18"/>
    <x v="27"/>
    <x v="27"/>
    <x v="65"/>
    <x v="23"/>
    <x v="35"/>
    <x v="62"/>
    <x v="24"/>
    <x v="40"/>
    <x v="73"/>
  </r>
  <r>
    <x v="9"/>
    <x v="9"/>
    <x v="85"/>
    <x v="291"/>
    <x v="3"/>
    <x v="141"/>
    <x v="216"/>
    <x v="30"/>
    <x v="149"/>
    <x v="54"/>
    <x v="69"/>
    <x v="42"/>
    <x v="27"/>
    <x v="104"/>
    <x v="29"/>
    <x v="126"/>
    <x v="75"/>
    <x v="27"/>
    <x v="138"/>
    <x v="99"/>
    <x v="0"/>
    <x v="172"/>
    <x v="27"/>
    <x v="69"/>
    <x v="125"/>
    <x v="23"/>
    <x v="77"/>
    <x v="125"/>
    <x v="24"/>
    <x v="89"/>
    <x v="144"/>
  </r>
  <r>
    <x v="9"/>
    <x v="9"/>
    <x v="242"/>
    <x v="292"/>
    <x v="3"/>
    <x v="138"/>
    <x v="214"/>
    <x v="30"/>
    <x v="126"/>
    <x v="54"/>
    <x v="69"/>
    <x v="42"/>
    <x v="27"/>
    <x v="104"/>
    <x v="29"/>
    <x v="126"/>
    <x v="75"/>
    <x v="27"/>
    <x v="138"/>
    <x v="44"/>
    <x v="4"/>
    <x v="13"/>
    <x v="27"/>
    <x v="48"/>
    <x v="98"/>
    <x v="23"/>
    <x v="56"/>
    <x v="100"/>
    <x v="24"/>
    <x v="69"/>
    <x v="117"/>
  </r>
  <r>
    <x v="9"/>
    <x v="9"/>
    <x v="316"/>
    <x v="259"/>
    <x v="3"/>
    <x v="129"/>
    <x v="77"/>
    <x v="0"/>
    <x v="140"/>
    <x v="54"/>
    <x v="69"/>
    <x v="7"/>
    <x v="27"/>
    <x v="104"/>
    <x v="29"/>
    <x v="126"/>
    <x v="75"/>
    <x v="27"/>
    <x v="138"/>
    <x v="95"/>
    <x v="16"/>
    <x v="167"/>
    <x v="13"/>
    <x v="0"/>
    <x v="158"/>
    <x v="25"/>
    <x v="128"/>
    <x v="176"/>
    <x v="25"/>
    <x v="143"/>
    <x v="202"/>
  </r>
  <r>
    <x v="9"/>
    <x v="9"/>
    <x v="281"/>
    <x v="294"/>
    <x v="3"/>
    <x v="139"/>
    <x v="137"/>
    <x v="22"/>
    <x v="60"/>
    <x v="54"/>
    <x v="69"/>
    <x v="28"/>
    <x v="27"/>
    <x v="104"/>
    <x v="29"/>
    <x v="126"/>
    <x v="75"/>
    <x v="27"/>
    <x v="138"/>
    <x v="24"/>
    <x v="2"/>
    <x v="5"/>
    <x v="27"/>
    <x v="28"/>
    <x v="71"/>
    <x v="23"/>
    <x v="36"/>
    <x v="68"/>
    <x v="24"/>
    <x v="41"/>
    <x v="80"/>
  </r>
  <r>
    <x v="9"/>
    <x v="9"/>
    <x v="94"/>
    <x v="295"/>
    <x v="3"/>
    <x v="139"/>
    <x v="215"/>
    <x v="30"/>
    <x v="98"/>
    <x v="54"/>
    <x v="69"/>
    <x v="42"/>
    <x v="27"/>
    <x v="104"/>
    <x v="29"/>
    <x v="126"/>
    <x v="75"/>
    <x v="27"/>
    <x v="138"/>
    <x v="23"/>
    <x v="2"/>
    <x v="4"/>
    <x v="27"/>
    <x v="27"/>
    <x v="70"/>
    <x v="23"/>
    <x v="35"/>
    <x v="67"/>
    <x v="24"/>
    <x v="40"/>
    <x v="78"/>
  </r>
  <r>
    <x v="9"/>
    <x v="9"/>
    <x v="317"/>
    <x v="296"/>
    <x v="3"/>
    <x v="141"/>
    <x v="216"/>
    <x v="31"/>
    <x v="199"/>
    <x v="54"/>
    <x v="69"/>
    <x v="42"/>
    <x v="27"/>
    <x v="104"/>
    <x v="29"/>
    <x v="126"/>
    <x v="75"/>
    <x v="27"/>
    <x v="138"/>
    <x v="99"/>
    <x v="0"/>
    <x v="172"/>
    <x v="27"/>
    <x v="105"/>
    <x v="166"/>
    <x v="23"/>
    <x v="124"/>
    <x v="171"/>
    <x v="24"/>
    <x v="138"/>
    <x v="198"/>
  </r>
  <r>
    <x v="9"/>
    <x v="9"/>
    <x v="130"/>
    <x v="297"/>
    <x v="3"/>
    <x v="140"/>
    <x v="138"/>
    <x v="22"/>
    <x v="50"/>
    <x v="54"/>
    <x v="69"/>
    <x v="28"/>
    <x v="27"/>
    <x v="104"/>
    <x v="29"/>
    <x v="126"/>
    <x v="75"/>
    <x v="27"/>
    <x v="138"/>
    <x v="15"/>
    <x v="1"/>
    <x v="3"/>
    <x v="27"/>
    <x v="18"/>
    <x v="52"/>
    <x v="23"/>
    <x v="23"/>
    <x v="50"/>
    <x v="24"/>
    <x v="27"/>
    <x v="59"/>
  </r>
  <r>
    <x v="9"/>
    <x v="10"/>
    <x v="81"/>
    <x v="298"/>
    <x v="3"/>
    <x v="141"/>
    <x v="84"/>
    <x v="0"/>
    <x v="17"/>
    <x v="54"/>
    <x v="69"/>
    <x v="7"/>
    <x v="27"/>
    <x v="104"/>
    <x v="29"/>
    <x v="126"/>
    <x v="75"/>
    <x v="27"/>
    <x v="138"/>
    <x v="99"/>
    <x v="29"/>
    <x v="172"/>
    <x v="27"/>
    <x v="39"/>
    <x v="84"/>
    <x v="25"/>
    <x v="128"/>
    <x v="176"/>
    <x v="25"/>
    <x v="143"/>
    <x v="202"/>
  </r>
  <r>
    <x v="9"/>
    <x v="10"/>
    <x v="318"/>
    <x v="299"/>
    <x v="3"/>
    <x v="144"/>
    <x v="85"/>
    <x v="0"/>
    <x v="8"/>
    <x v="54"/>
    <x v="69"/>
    <x v="7"/>
    <x v="27"/>
    <x v="104"/>
    <x v="29"/>
    <x v="126"/>
    <x v="75"/>
    <x v="27"/>
    <x v="138"/>
    <x v="99"/>
    <x v="29"/>
    <x v="172"/>
    <x v="23"/>
    <x v="20"/>
    <x v="43"/>
    <x v="1"/>
    <x v="128"/>
    <x v="5"/>
    <x v="25"/>
    <x v="143"/>
    <x v="202"/>
  </r>
  <r>
    <x v="9"/>
    <x v="10"/>
    <x v="196"/>
    <x v="300"/>
    <x v="3"/>
    <x v="141"/>
    <x v="139"/>
    <x v="22"/>
    <x v="60"/>
    <x v="54"/>
    <x v="69"/>
    <x v="28"/>
    <x v="27"/>
    <x v="104"/>
    <x v="29"/>
    <x v="126"/>
    <x v="75"/>
    <x v="27"/>
    <x v="138"/>
    <x v="99"/>
    <x v="29"/>
    <x v="172"/>
    <x v="27"/>
    <x v="28"/>
    <x v="71"/>
    <x v="23"/>
    <x v="36"/>
    <x v="68"/>
    <x v="24"/>
    <x v="41"/>
    <x v="80"/>
  </r>
  <r>
    <x v="9"/>
    <x v="10"/>
    <x v="15"/>
    <x v="301"/>
    <x v="3"/>
    <x v="138"/>
    <x v="214"/>
    <x v="30"/>
    <x v="167"/>
    <x v="54"/>
    <x v="69"/>
    <x v="42"/>
    <x v="27"/>
    <x v="104"/>
    <x v="29"/>
    <x v="126"/>
    <x v="75"/>
    <x v="27"/>
    <x v="138"/>
    <x v="79"/>
    <x v="3"/>
    <x v="24"/>
    <x v="27"/>
    <x v="84"/>
    <x v="145"/>
    <x v="23"/>
    <x v="95"/>
    <x v="146"/>
    <x v="24"/>
    <x v="107"/>
    <x v="166"/>
  </r>
  <r>
    <x v="9"/>
    <x v="10"/>
    <x v="61"/>
    <x v="302"/>
    <x v="3"/>
    <x v="142"/>
    <x v="217"/>
    <x v="30"/>
    <x v="78"/>
    <x v="54"/>
    <x v="69"/>
    <x v="42"/>
    <x v="27"/>
    <x v="104"/>
    <x v="29"/>
    <x v="126"/>
    <x v="75"/>
    <x v="27"/>
    <x v="138"/>
    <x v="99"/>
    <x v="29"/>
    <x v="172"/>
    <x v="26"/>
    <x v="14"/>
    <x v="44"/>
    <x v="23"/>
    <x v="19"/>
    <x v="45"/>
    <x v="24"/>
    <x v="23"/>
    <x v="51"/>
  </r>
  <r>
    <x v="9"/>
    <x v="10"/>
    <x v="315"/>
    <x v="303"/>
    <x v="3"/>
    <x v="145"/>
    <x v="220"/>
    <x v="30"/>
    <x v="104"/>
    <x v="54"/>
    <x v="69"/>
    <x v="42"/>
    <x v="27"/>
    <x v="104"/>
    <x v="29"/>
    <x v="126"/>
    <x v="75"/>
    <x v="27"/>
    <x v="138"/>
    <x v="99"/>
    <x v="29"/>
    <x v="172"/>
    <x v="22"/>
    <x v="33"/>
    <x v="61"/>
    <x v="23"/>
    <x v="41"/>
    <x v="75"/>
    <x v="24"/>
    <x v="46"/>
    <x v="91"/>
  </r>
  <r>
    <x v="9"/>
    <x v="10"/>
    <x v="228"/>
    <x v="304"/>
    <x v="3"/>
    <x v="143"/>
    <x v="218"/>
    <x v="30"/>
    <x v="98"/>
    <x v="54"/>
    <x v="69"/>
    <x v="42"/>
    <x v="27"/>
    <x v="104"/>
    <x v="29"/>
    <x v="126"/>
    <x v="75"/>
    <x v="27"/>
    <x v="138"/>
    <x v="99"/>
    <x v="29"/>
    <x v="172"/>
    <x v="24"/>
    <x v="27"/>
    <x v="57"/>
    <x v="23"/>
    <x v="35"/>
    <x v="67"/>
    <x v="24"/>
    <x v="40"/>
    <x v="78"/>
  </r>
  <r>
    <x v="9"/>
    <x v="10"/>
    <x v="319"/>
    <x v="305"/>
    <x v="3"/>
    <x v="143"/>
    <x v="218"/>
    <x v="30"/>
    <x v="78"/>
    <x v="54"/>
    <x v="69"/>
    <x v="42"/>
    <x v="27"/>
    <x v="104"/>
    <x v="29"/>
    <x v="126"/>
    <x v="75"/>
    <x v="27"/>
    <x v="138"/>
    <x v="99"/>
    <x v="29"/>
    <x v="172"/>
    <x v="24"/>
    <x v="14"/>
    <x v="40"/>
    <x v="23"/>
    <x v="19"/>
    <x v="45"/>
    <x v="24"/>
    <x v="23"/>
    <x v="51"/>
  </r>
  <r>
    <x v="9"/>
    <x v="10"/>
    <x v="277"/>
    <x v="306"/>
    <x v="3"/>
    <x v="143"/>
    <x v="218"/>
    <x v="29"/>
    <x v="198"/>
    <x v="54"/>
    <x v="69"/>
    <x v="42"/>
    <x v="27"/>
    <x v="104"/>
    <x v="29"/>
    <x v="126"/>
    <x v="75"/>
    <x v="27"/>
    <x v="138"/>
    <x v="99"/>
    <x v="29"/>
    <x v="172"/>
    <x v="24"/>
    <x v="103"/>
    <x v="164"/>
    <x v="23"/>
    <x v="122"/>
    <x v="169"/>
    <x v="24"/>
    <x v="136"/>
    <x v="197"/>
  </r>
  <r>
    <x v="9"/>
    <x v="10"/>
    <x v="73"/>
    <x v="307"/>
    <x v="3"/>
    <x v="143"/>
    <x v="218"/>
    <x v="30"/>
    <x v="145"/>
    <x v="54"/>
    <x v="69"/>
    <x v="42"/>
    <x v="27"/>
    <x v="104"/>
    <x v="29"/>
    <x v="126"/>
    <x v="75"/>
    <x v="27"/>
    <x v="138"/>
    <x v="99"/>
    <x v="29"/>
    <x v="172"/>
    <x v="24"/>
    <x v="65"/>
    <x v="111"/>
    <x v="23"/>
    <x v="72"/>
    <x v="118"/>
    <x v="24"/>
    <x v="84"/>
    <x v="137"/>
  </r>
  <r>
    <x v="9"/>
    <x v="10"/>
    <x v="337"/>
    <x v="308"/>
    <x v="3"/>
    <x v="145"/>
    <x v="86"/>
    <x v="0"/>
    <x v="40"/>
    <x v="54"/>
    <x v="69"/>
    <x v="7"/>
    <x v="27"/>
    <x v="104"/>
    <x v="29"/>
    <x v="126"/>
    <x v="75"/>
    <x v="27"/>
    <x v="138"/>
    <x v="99"/>
    <x v="29"/>
    <x v="172"/>
    <x v="22"/>
    <x v="78"/>
    <x v="131"/>
    <x v="2"/>
    <x v="128"/>
    <x v="31"/>
    <x v="25"/>
    <x v="143"/>
    <x v="202"/>
  </r>
  <r>
    <x v="9"/>
    <x v="10"/>
    <x v="83"/>
    <x v="309"/>
    <x v="3"/>
    <x v="144"/>
    <x v="219"/>
    <x v="29"/>
    <x v="103"/>
    <x v="54"/>
    <x v="69"/>
    <x v="42"/>
    <x v="27"/>
    <x v="104"/>
    <x v="29"/>
    <x v="126"/>
    <x v="75"/>
    <x v="27"/>
    <x v="138"/>
    <x v="99"/>
    <x v="29"/>
    <x v="172"/>
    <x v="23"/>
    <x v="32"/>
    <x v="66"/>
    <x v="23"/>
    <x v="40"/>
    <x v="74"/>
    <x v="24"/>
    <x v="45"/>
    <x v="90"/>
  </r>
  <r>
    <x v="9"/>
    <x v="10"/>
    <x v="153"/>
    <x v="310"/>
    <x v="3"/>
    <x v="145"/>
    <x v="220"/>
    <x v="30"/>
    <x v="98"/>
    <x v="54"/>
    <x v="69"/>
    <x v="42"/>
    <x v="27"/>
    <x v="104"/>
    <x v="29"/>
    <x v="126"/>
    <x v="75"/>
    <x v="27"/>
    <x v="138"/>
    <x v="99"/>
    <x v="29"/>
    <x v="172"/>
    <x v="22"/>
    <x v="27"/>
    <x v="51"/>
    <x v="23"/>
    <x v="35"/>
    <x v="67"/>
    <x v="24"/>
    <x v="40"/>
    <x v="78"/>
  </r>
  <r>
    <x v="9"/>
    <x v="10"/>
    <x v="109"/>
    <x v="311"/>
    <x v="3"/>
    <x v="145"/>
    <x v="220"/>
    <x v="30"/>
    <x v="98"/>
    <x v="54"/>
    <x v="69"/>
    <x v="42"/>
    <x v="27"/>
    <x v="104"/>
    <x v="29"/>
    <x v="126"/>
    <x v="75"/>
    <x v="27"/>
    <x v="138"/>
    <x v="99"/>
    <x v="29"/>
    <x v="172"/>
    <x v="22"/>
    <x v="27"/>
    <x v="51"/>
    <x v="23"/>
    <x v="35"/>
    <x v="67"/>
    <x v="24"/>
    <x v="40"/>
    <x v="78"/>
  </r>
  <r>
    <x v="9"/>
    <x v="10"/>
    <x v="221"/>
    <x v="312"/>
    <x v="3"/>
    <x v="146"/>
    <x v="221"/>
    <x v="31"/>
    <x v="197"/>
    <x v="54"/>
    <x v="69"/>
    <x v="42"/>
    <x v="27"/>
    <x v="104"/>
    <x v="29"/>
    <x v="126"/>
    <x v="75"/>
    <x v="27"/>
    <x v="138"/>
    <x v="99"/>
    <x v="29"/>
    <x v="172"/>
    <x v="21"/>
    <x v="102"/>
    <x v="163"/>
    <x v="23"/>
    <x v="120"/>
    <x v="168"/>
    <x v="24"/>
    <x v="133"/>
    <x v="195"/>
  </r>
  <r>
    <x v="9"/>
    <x v="10"/>
    <x v="177"/>
    <x v="313"/>
    <x v="3"/>
    <x v="147"/>
    <x v="222"/>
    <x v="30"/>
    <x v="87"/>
    <x v="54"/>
    <x v="69"/>
    <x v="42"/>
    <x v="27"/>
    <x v="104"/>
    <x v="29"/>
    <x v="126"/>
    <x v="75"/>
    <x v="27"/>
    <x v="138"/>
    <x v="99"/>
    <x v="29"/>
    <x v="172"/>
    <x v="20"/>
    <x v="21"/>
    <x v="40"/>
    <x v="23"/>
    <x v="27"/>
    <x v="55"/>
    <x v="24"/>
    <x v="32"/>
    <x v="65"/>
  </r>
  <r>
    <x v="9"/>
    <x v="10"/>
    <x v="340"/>
    <x v="314"/>
    <x v="3"/>
    <x v="147"/>
    <x v="222"/>
    <x v="30"/>
    <x v="80"/>
    <x v="54"/>
    <x v="69"/>
    <x v="42"/>
    <x v="27"/>
    <x v="104"/>
    <x v="29"/>
    <x v="126"/>
    <x v="75"/>
    <x v="27"/>
    <x v="138"/>
    <x v="99"/>
    <x v="29"/>
    <x v="172"/>
    <x v="20"/>
    <x v="16"/>
    <x v="34"/>
    <x v="23"/>
    <x v="21"/>
    <x v="47"/>
    <x v="24"/>
    <x v="25"/>
    <x v="55"/>
  </r>
  <r>
    <x v="9"/>
    <x v="10"/>
    <x v="124"/>
    <x v="315"/>
    <x v="3"/>
    <x v="147"/>
    <x v="222"/>
    <x v="30"/>
    <x v="97"/>
    <x v="54"/>
    <x v="69"/>
    <x v="42"/>
    <x v="27"/>
    <x v="104"/>
    <x v="29"/>
    <x v="126"/>
    <x v="75"/>
    <x v="27"/>
    <x v="138"/>
    <x v="99"/>
    <x v="29"/>
    <x v="172"/>
    <x v="20"/>
    <x v="26"/>
    <x v="45"/>
    <x v="23"/>
    <x v="34"/>
    <x v="63"/>
    <x v="24"/>
    <x v="39"/>
    <x v="74"/>
  </r>
  <r>
    <x v="9"/>
    <x v="10"/>
    <x v="219"/>
    <x v="316"/>
    <x v="3"/>
    <x v="148"/>
    <x v="223"/>
    <x v="30"/>
    <x v="82"/>
    <x v="54"/>
    <x v="69"/>
    <x v="42"/>
    <x v="27"/>
    <x v="104"/>
    <x v="29"/>
    <x v="126"/>
    <x v="75"/>
    <x v="27"/>
    <x v="138"/>
    <x v="99"/>
    <x v="29"/>
    <x v="172"/>
    <x v="18"/>
    <x v="18"/>
    <x v="27"/>
    <x v="23"/>
    <x v="23"/>
    <x v="52"/>
    <x v="24"/>
    <x v="27"/>
    <x v="61"/>
  </r>
  <r>
    <x v="9"/>
    <x v="10"/>
    <x v="322"/>
    <x v="317"/>
    <x v="3"/>
    <x v="148"/>
    <x v="142"/>
    <x v="22"/>
    <x v="59"/>
    <x v="54"/>
    <x v="69"/>
    <x v="28"/>
    <x v="27"/>
    <x v="104"/>
    <x v="29"/>
    <x v="126"/>
    <x v="75"/>
    <x v="27"/>
    <x v="138"/>
    <x v="99"/>
    <x v="29"/>
    <x v="172"/>
    <x v="18"/>
    <x v="27"/>
    <x v="36"/>
    <x v="23"/>
    <x v="35"/>
    <x v="62"/>
    <x v="24"/>
    <x v="40"/>
    <x v="73"/>
  </r>
  <r>
    <x v="9"/>
    <x v="10"/>
    <x v="342"/>
    <x v="318"/>
    <x v="3"/>
    <x v="151"/>
    <x v="225"/>
    <x v="30"/>
    <x v="87"/>
    <x v="54"/>
    <x v="69"/>
    <x v="42"/>
    <x v="27"/>
    <x v="104"/>
    <x v="29"/>
    <x v="126"/>
    <x v="75"/>
    <x v="27"/>
    <x v="138"/>
    <x v="99"/>
    <x v="29"/>
    <x v="172"/>
    <x v="15"/>
    <x v="21"/>
    <x v="24"/>
    <x v="23"/>
    <x v="27"/>
    <x v="55"/>
    <x v="24"/>
    <x v="32"/>
    <x v="65"/>
  </r>
  <r>
    <x v="9"/>
    <x v="10"/>
    <x v="151"/>
    <x v="319"/>
    <x v="3"/>
    <x v="149"/>
    <x v="112"/>
    <x v="16"/>
    <x v="52"/>
    <x v="54"/>
    <x v="69"/>
    <x v="19"/>
    <x v="27"/>
    <x v="104"/>
    <x v="29"/>
    <x v="126"/>
    <x v="75"/>
    <x v="27"/>
    <x v="138"/>
    <x v="99"/>
    <x v="29"/>
    <x v="172"/>
    <x v="17"/>
    <x v="47"/>
    <x v="74"/>
    <x v="23"/>
    <x v="55"/>
    <x v="94"/>
    <x v="24"/>
    <x v="68"/>
    <x v="112"/>
  </r>
  <r>
    <x v="9"/>
    <x v="10"/>
    <x v="100"/>
    <x v="320"/>
    <x v="3"/>
    <x v="150"/>
    <x v="88"/>
    <x v="0"/>
    <x v="19"/>
    <x v="54"/>
    <x v="69"/>
    <x v="7"/>
    <x v="27"/>
    <x v="104"/>
    <x v="29"/>
    <x v="126"/>
    <x v="75"/>
    <x v="27"/>
    <x v="138"/>
    <x v="99"/>
    <x v="29"/>
    <x v="172"/>
    <x v="16"/>
    <x v="41"/>
    <x v="50"/>
    <x v="10"/>
    <x v="128"/>
    <x v="36"/>
    <x v="25"/>
    <x v="143"/>
    <x v="202"/>
  </r>
  <r>
    <x v="9"/>
    <x v="10"/>
    <x v="167"/>
    <x v="321"/>
    <x v="3"/>
    <x v="150"/>
    <x v="224"/>
    <x v="30"/>
    <x v="107"/>
    <x v="54"/>
    <x v="69"/>
    <x v="42"/>
    <x v="27"/>
    <x v="104"/>
    <x v="29"/>
    <x v="126"/>
    <x v="75"/>
    <x v="27"/>
    <x v="138"/>
    <x v="99"/>
    <x v="29"/>
    <x v="172"/>
    <x v="16"/>
    <x v="35"/>
    <x v="40"/>
    <x v="23"/>
    <x v="43"/>
    <x v="79"/>
    <x v="24"/>
    <x v="48"/>
    <x v="96"/>
  </r>
  <r>
    <x v="9"/>
    <x v="10"/>
    <x v="44"/>
    <x v="322"/>
    <x v="3"/>
    <x v="152"/>
    <x v="226"/>
    <x v="31"/>
    <x v="196"/>
    <x v="54"/>
    <x v="69"/>
    <x v="42"/>
    <x v="27"/>
    <x v="104"/>
    <x v="29"/>
    <x v="126"/>
    <x v="75"/>
    <x v="27"/>
    <x v="138"/>
    <x v="99"/>
    <x v="29"/>
    <x v="172"/>
    <x v="13"/>
    <x v="101"/>
    <x v="156"/>
    <x v="23"/>
    <x v="119"/>
    <x v="167"/>
    <x v="24"/>
    <x v="132"/>
    <x v="193"/>
  </r>
  <r>
    <x v="9"/>
    <x v="10"/>
    <x v="266"/>
    <x v="323"/>
    <x v="3"/>
    <x v="155"/>
    <x v="147"/>
    <x v="22"/>
    <x v="184"/>
    <x v="54"/>
    <x v="69"/>
    <x v="28"/>
    <x v="27"/>
    <x v="104"/>
    <x v="29"/>
    <x v="126"/>
    <x v="75"/>
    <x v="27"/>
    <x v="138"/>
    <x v="99"/>
    <x v="29"/>
    <x v="172"/>
    <x v="7"/>
    <x v="97"/>
    <x v="138"/>
    <x v="23"/>
    <x v="115"/>
    <x v="162"/>
    <x v="24"/>
    <x v="128"/>
    <x v="187"/>
  </r>
  <r>
    <x v="9"/>
    <x v="10"/>
    <x v="129"/>
    <x v="324"/>
    <x v="3"/>
    <x v="151"/>
    <x v="225"/>
    <x v="30"/>
    <x v="98"/>
    <x v="54"/>
    <x v="69"/>
    <x v="42"/>
    <x v="27"/>
    <x v="104"/>
    <x v="29"/>
    <x v="126"/>
    <x v="75"/>
    <x v="27"/>
    <x v="138"/>
    <x v="99"/>
    <x v="29"/>
    <x v="172"/>
    <x v="15"/>
    <x v="27"/>
    <x v="28"/>
    <x v="23"/>
    <x v="35"/>
    <x v="67"/>
    <x v="24"/>
    <x v="40"/>
    <x v="78"/>
  </r>
  <r>
    <x v="9"/>
    <x v="9"/>
    <x v="316"/>
    <x v="259"/>
    <x v="3"/>
    <x v="138"/>
    <x v="77"/>
    <x v="10"/>
    <x v="58"/>
    <x v="54"/>
    <x v="69"/>
    <x v="3"/>
    <x v="27"/>
    <x v="104"/>
    <x v="29"/>
    <x v="126"/>
    <x v="75"/>
    <x v="27"/>
    <x v="138"/>
    <x v="85"/>
    <x v="4"/>
    <x v="89"/>
    <x v="13"/>
    <x v="0"/>
    <x v="147"/>
    <x v="25"/>
    <x v="128"/>
    <x v="176"/>
    <x v="25"/>
    <x v="143"/>
    <x v="202"/>
  </r>
  <r>
    <x v="9"/>
    <x v="12"/>
    <x v="316"/>
    <x v="437"/>
    <x v="0"/>
    <x v="197"/>
    <x v="167"/>
    <x v="23"/>
    <x v="190"/>
    <x v="54"/>
    <x v="69"/>
    <x v="26"/>
    <x v="27"/>
    <x v="104"/>
    <x v="29"/>
    <x v="126"/>
    <x v="75"/>
    <x v="27"/>
    <x v="138"/>
    <x v="99"/>
    <x v="29"/>
    <x v="172"/>
    <x v="28"/>
    <x v="109"/>
    <x v="169"/>
    <x v="25"/>
    <x v="128"/>
    <x v="176"/>
    <x v="11"/>
    <x v="134"/>
    <x v="188"/>
  </r>
  <r>
    <x v="9"/>
    <x v="11"/>
    <x v="316"/>
    <x v="370"/>
    <x v="3"/>
    <x v="151"/>
    <x v="97"/>
    <x v="12"/>
    <x v="174"/>
    <x v="54"/>
    <x v="69"/>
    <x v="12"/>
    <x v="27"/>
    <x v="104"/>
    <x v="29"/>
    <x v="126"/>
    <x v="75"/>
    <x v="27"/>
    <x v="138"/>
    <x v="99"/>
    <x v="29"/>
    <x v="172"/>
    <x v="15"/>
    <x v="93"/>
    <x v="160"/>
    <x v="23"/>
    <x v="110"/>
    <x v="172"/>
    <x v="8"/>
    <x v="143"/>
    <x v="186"/>
  </r>
  <r>
    <x v="9"/>
    <x v="10"/>
    <x v="57"/>
    <x v="325"/>
    <x v="3"/>
    <x v="152"/>
    <x v="226"/>
    <x v="30"/>
    <x v="125"/>
    <x v="54"/>
    <x v="69"/>
    <x v="42"/>
    <x v="27"/>
    <x v="104"/>
    <x v="29"/>
    <x v="126"/>
    <x v="75"/>
    <x v="27"/>
    <x v="138"/>
    <x v="99"/>
    <x v="29"/>
    <x v="172"/>
    <x v="13"/>
    <x v="47"/>
    <x v="46"/>
    <x v="23"/>
    <x v="55"/>
    <x v="97"/>
    <x v="24"/>
    <x v="68"/>
    <x v="115"/>
  </r>
  <r>
    <x v="9"/>
    <x v="10"/>
    <x v="321"/>
    <x v="326"/>
    <x v="3"/>
    <x v="158"/>
    <x v="228"/>
    <x v="30"/>
    <x v="193"/>
    <x v="54"/>
    <x v="69"/>
    <x v="40"/>
    <x v="27"/>
    <x v="104"/>
    <x v="29"/>
    <x v="126"/>
    <x v="75"/>
    <x v="27"/>
    <x v="138"/>
    <x v="99"/>
    <x v="29"/>
    <x v="172"/>
    <x v="4"/>
    <x v="98"/>
    <x v="105"/>
    <x v="23"/>
    <x v="116"/>
    <x v="163"/>
    <x v="24"/>
    <x v="129"/>
    <x v="189"/>
  </r>
  <r>
    <x v="9"/>
    <x v="10"/>
    <x v="150"/>
    <x v="327"/>
    <x v="3"/>
    <x v="152"/>
    <x v="226"/>
    <x v="30"/>
    <x v="98"/>
    <x v="54"/>
    <x v="69"/>
    <x v="42"/>
    <x v="27"/>
    <x v="104"/>
    <x v="29"/>
    <x v="126"/>
    <x v="75"/>
    <x v="27"/>
    <x v="138"/>
    <x v="99"/>
    <x v="29"/>
    <x v="172"/>
    <x v="13"/>
    <x v="27"/>
    <x v="21"/>
    <x v="23"/>
    <x v="35"/>
    <x v="67"/>
    <x v="24"/>
    <x v="40"/>
    <x v="78"/>
  </r>
  <r>
    <x v="9"/>
    <x v="10"/>
    <x v="18"/>
    <x v="328"/>
    <x v="3"/>
    <x v="153"/>
    <x v="227"/>
    <x v="30"/>
    <x v="98"/>
    <x v="54"/>
    <x v="69"/>
    <x v="42"/>
    <x v="27"/>
    <x v="104"/>
    <x v="29"/>
    <x v="126"/>
    <x v="75"/>
    <x v="27"/>
    <x v="138"/>
    <x v="99"/>
    <x v="29"/>
    <x v="172"/>
    <x v="12"/>
    <x v="27"/>
    <x v="19"/>
    <x v="23"/>
    <x v="35"/>
    <x v="67"/>
    <x v="24"/>
    <x v="40"/>
    <x v="78"/>
  </r>
  <r>
    <x v="9"/>
    <x v="10"/>
    <x v="102"/>
    <x v="329"/>
    <x v="3"/>
    <x v="153"/>
    <x v="144"/>
    <x v="22"/>
    <x v="59"/>
    <x v="54"/>
    <x v="69"/>
    <x v="28"/>
    <x v="27"/>
    <x v="104"/>
    <x v="29"/>
    <x v="126"/>
    <x v="75"/>
    <x v="27"/>
    <x v="138"/>
    <x v="99"/>
    <x v="29"/>
    <x v="172"/>
    <x v="12"/>
    <x v="27"/>
    <x v="18"/>
    <x v="23"/>
    <x v="35"/>
    <x v="62"/>
    <x v="24"/>
    <x v="40"/>
    <x v="73"/>
  </r>
  <r>
    <x v="9"/>
    <x v="10"/>
    <x v="48"/>
    <x v="330"/>
    <x v="3"/>
    <x v="144"/>
    <x v="219"/>
    <x v="29"/>
    <x v="102"/>
    <x v="54"/>
    <x v="69"/>
    <x v="42"/>
    <x v="27"/>
    <x v="104"/>
    <x v="29"/>
    <x v="126"/>
    <x v="75"/>
    <x v="27"/>
    <x v="138"/>
    <x v="99"/>
    <x v="29"/>
    <x v="172"/>
    <x v="23"/>
    <x v="31"/>
    <x v="60"/>
    <x v="23"/>
    <x v="39"/>
    <x v="73"/>
    <x v="24"/>
    <x v="44"/>
    <x v="87"/>
  </r>
  <r>
    <x v="9"/>
    <x v="10"/>
    <x v="250"/>
    <x v="331"/>
    <x v="3"/>
    <x v="152"/>
    <x v="226"/>
    <x v="30"/>
    <x v="100"/>
    <x v="54"/>
    <x v="69"/>
    <x v="42"/>
    <x v="27"/>
    <x v="104"/>
    <x v="29"/>
    <x v="126"/>
    <x v="75"/>
    <x v="27"/>
    <x v="138"/>
    <x v="99"/>
    <x v="29"/>
    <x v="172"/>
    <x v="13"/>
    <x v="29"/>
    <x v="22"/>
    <x v="23"/>
    <x v="37"/>
    <x v="71"/>
    <x v="24"/>
    <x v="42"/>
    <x v="83"/>
  </r>
  <r>
    <x v="9"/>
    <x v="10"/>
    <x v="27"/>
    <x v="332"/>
    <x v="3"/>
    <x v="154"/>
    <x v="145"/>
    <x v="22"/>
    <x v="60"/>
    <x v="54"/>
    <x v="69"/>
    <x v="28"/>
    <x v="27"/>
    <x v="104"/>
    <x v="29"/>
    <x v="126"/>
    <x v="75"/>
    <x v="27"/>
    <x v="138"/>
    <x v="99"/>
    <x v="29"/>
    <x v="172"/>
    <x v="10"/>
    <x v="28"/>
    <x v="16"/>
    <x v="23"/>
    <x v="36"/>
    <x v="68"/>
    <x v="24"/>
    <x v="41"/>
    <x v="80"/>
  </r>
  <r>
    <x v="9"/>
    <x v="10"/>
    <x v="156"/>
    <x v="333"/>
    <x v="3"/>
    <x v="160"/>
    <x v="231"/>
    <x v="31"/>
    <x v="201"/>
    <x v="54"/>
    <x v="69"/>
    <x v="41"/>
    <x v="27"/>
    <x v="104"/>
    <x v="29"/>
    <x v="126"/>
    <x v="75"/>
    <x v="27"/>
    <x v="138"/>
    <x v="99"/>
    <x v="29"/>
    <x v="172"/>
    <x v="1"/>
    <x v="106"/>
    <x v="79"/>
    <x v="23"/>
    <x v="125"/>
    <x v="173"/>
    <x v="24"/>
    <x v="140"/>
    <x v="199"/>
  </r>
  <r>
    <x v="9"/>
    <x v="10"/>
    <x v="127"/>
    <x v="334"/>
    <x v="3"/>
    <x v="155"/>
    <x v="91"/>
    <x v="0"/>
    <x v="10"/>
    <x v="54"/>
    <x v="69"/>
    <x v="7"/>
    <x v="27"/>
    <x v="104"/>
    <x v="29"/>
    <x v="126"/>
    <x v="75"/>
    <x v="27"/>
    <x v="138"/>
    <x v="99"/>
    <x v="29"/>
    <x v="172"/>
    <x v="7"/>
    <x v="28"/>
    <x v="9"/>
    <x v="17"/>
    <x v="128"/>
    <x v="49"/>
    <x v="25"/>
    <x v="143"/>
    <x v="202"/>
  </r>
  <r>
    <x v="9"/>
    <x v="10"/>
    <x v="311"/>
    <x v="335"/>
    <x v="3"/>
    <x v="38"/>
    <x v="84"/>
    <x v="22"/>
    <x v="47"/>
    <x v="9"/>
    <x v="11"/>
    <x v="28"/>
    <x v="26"/>
    <x v="37"/>
    <x v="27"/>
    <x v="35"/>
    <x v="7"/>
    <x v="26"/>
    <x v="35"/>
    <x v="11"/>
    <x v="27"/>
    <x v="48"/>
    <x v="27"/>
    <x v="13"/>
    <x v="41"/>
    <x v="25"/>
    <x v="128"/>
    <x v="176"/>
    <x v="25"/>
    <x v="143"/>
    <x v="202"/>
  </r>
  <r>
    <x v="9"/>
    <x v="10"/>
    <x v="311"/>
    <x v="336"/>
    <x v="3"/>
    <x v="161"/>
    <x v="233"/>
    <x v="30"/>
    <x v="98"/>
    <x v="54"/>
    <x v="69"/>
    <x v="43"/>
    <x v="27"/>
    <x v="104"/>
    <x v="29"/>
    <x v="126"/>
    <x v="75"/>
    <x v="27"/>
    <x v="138"/>
    <x v="99"/>
    <x v="29"/>
    <x v="172"/>
    <x v="0"/>
    <x v="109"/>
    <x v="0"/>
    <x v="23"/>
    <x v="35"/>
    <x v="64"/>
    <x v="24"/>
    <x v="40"/>
    <x v="75"/>
  </r>
  <r>
    <x v="9"/>
    <x v="10"/>
    <x v="288"/>
    <x v="337"/>
    <x v="3"/>
    <x v="156"/>
    <x v="92"/>
    <x v="0"/>
    <x v="23"/>
    <x v="54"/>
    <x v="69"/>
    <x v="7"/>
    <x v="27"/>
    <x v="104"/>
    <x v="29"/>
    <x v="126"/>
    <x v="75"/>
    <x v="27"/>
    <x v="138"/>
    <x v="99"/>
    <x v="29"/>
    <x v="172"/>
    <x v="6"/>
    <x v="47"/>
    <x v="15"/>
    <x v="18"/>
    <x v="128"/>
    <x v="83"/>
    <x v="25"/>
    <x v="143"/>
    <x v="202"/>
  </r>
  <r>
    <x v="9"/>
    <x v="10"/>
    <x v="317"/>
    <x v="338"/>
    <x v="3"/>
    <x v="161"/>
    <x v="139"/>
    <x v="20"/>
    <x v="36"/>
    <x v="54"/>
    <x v="69"/>
    <x v="23"/>
    <x v="27"/>
    <x v="104"/>
    <x v="29"/>
    <x v="126"/>
    <x v="75"/>
    <x v="27"/>
    <x v="138"/>
    <x v="99"/>
    <x v="29"/>
    <x v="172"/>
    <x v="0"/>
    <x v="109"/>
    <x v="0"/>
    <x v="23"/>
    <x v="12"/>
    <x v="35"/>
    <x v="24"/>
    <x v="14"/>
    <x v="36"/>
  </r>
  <r>
    <x v="9"/>
    <x v="10"/>
    <x v="245"/>
    <x v="339"/>
    <x v="3"/>
    <x v="126"/>
    <x v="128"/>
    <x v="22"/>
    <x v="107"/>
    <x v="54"/>
    <x v="69"/>
    <x v="29"/>
    <x v="27"/>
    <x v="104"/>
    <x v="29"/>
    <x v="126"/>
    <x v="75"/>
    <x v="27"/>
    <x v="138"/>
    <x v="62"/>
    <x v="19"/>
    <x v="101"/>
    <x v="27"/>
    <x v="68"/>
    <x v="124"/>
    <x v="23"/>
    <x v="75"/>
    <x v="124"/>
    <x v="24"/>
    <x v="87"/>
    <x v="142"/>
  </r>
  <r>
    <x v="9"/>
    <x v="10"/>
    <x v="353"/>
    <x v="340"/>
    <x v="3"/>
    <x v="161"/>
    <x v="232"/>
    <x v="29"/>
    <x v="188"/>
    <x v="54"/>
    <x v="69"/>
    <x v="42"/>
    <x v="27"/>
    <x v="104"/>
    <x v="29"/>
    <x v="126"/>
    <x v="75"/>
    <x v="27"/>
    <x v="138"/>
    <x v="99"/>
    <x v="29"/>
    <x v="172"/>
    <x v="0"/>
    <x v="109"/>
    <x v="0"/>
    <x v="23"/>
    <x v="113"/>
    <x v="160"/>
    <x v="24"/>
    <x v="126"/>
    <x v="184"/>
  </r>
  <r>
    <x v="9"/>
    <x v="10"/>
    <x v="161"/>
    <x v="341"/>
    <x v="3"/>
    <x v="157"/>
    <x v="229"/>
    <x v="30"/>
    <x v="83"/>
    <x v="54"/>
    <x v="69"/>
    <x v="42"/>
    <x v="27"/>
    <x v="104"/>
    <x v="29"/>
    <x v="126"/>
    <x v="75"/>
    <x v="27"/>
    <x v="138"/>
    <x v="99"/>
    <x v="29"/>
    <x v="172"/>
    <x v="5"/>
    <x v="19"/>
    <x v="5"/>
    <x v="23"/>
    <x v="24"/>
    <x v="53"/>
    <x v="24"/>
    <x v="28"/>
    <x v="62"/>
  </r>
  <r>
    <x v="9"/>
    <x v="10"/>
    <x v="276"/>
    <x v="342"/>
    <x v="3"/>
    <x v="161"/>
    <x v="232"/>
    <x v="30"/>
    <x v="171"/>
    <x v="54"/>
    <x v="69"/>
    <x v="42"/>
    <x v="27"/>
    <x v="104"/>
    <x v="29"/>
    <x v="126"/>
    <x v="75"/>
    <x v="27"/>
    <x v="138"/>
    <x v="99"/>
    <x v="29"/>
    <x v="172"/>
    <x v="0"/>
    <x v="109"/>
    <x v="0"/>
    <x v="23"/>
    <x v="98"/>
    <x v="149"/>
    <x v="24"/>
    <x v="111"/>
    <x v="169"/>
  </r>
  <r>
    <x v="9"/>
    <x v="10"/>
    <x v="137"/>
    <x v="343"/>
    <x v="3"/>
    <x v="159"/>
    <x v="230"/>
    <x v="31"/>
    <x v="151"/>
    <x v="54"/>
    <x v="69"/>
    <x v="42"/>
    <x v="27"/>
    <x v="104"/>
    <x v="29"/>
    <x v="126"/>
    <x v="75"/>
    <x v="27"/>
    <x v="138"/>
    <x v="99"/>
    <x v="29"/>
    <x v="172"/>
    <x v="3"/>
    <x v="71"/>
    <x v="10"/>
    <x v="23"/>
    <x v="79"/>
    <x v="129"/>
    <x v="24"/>
    <x v="91"/>
    <x v="149"/>
  </r>
  <r>
    <x v="9"/>
    <x v="10"/>
    <x v="261"/>
    <x v="344"/>
    <x v="3"/>
    <x v="161"/>
    <x v="232"/>
    <x v="30"/>
    <x v="186"/>
    <x v="54"/>
    <x v="69"/>
    <x v="42"/>
    <x v="27"/>
    <x v="104"/>
    <x v="29"/>
    <x v="126"/>
    <x v="75"/>
    <x v="27"/>
    <x v="138"/>
    <x v="99"/>
    <x v="29"/>
    <x v="172"/>
    <x v="0"/>
    <x v="109"/>
    <x v="0"/>
    <x v="23"/>
    <x v="111"/>
    <x v="158"/>
    <x v="24"/>
    <x v="124"/>
    <x v="182"/>
  </r>
  <r>
    <x v="9"/>
    <x v="10"/>
    <x v="308"/>
    <x v="345"/>
    <x v="3"/>
    <x v="157"/>
    <x v="229"/>
    <x v="31"/>
    <x v="136"/>
    <x v="54"/>
    <x v="69"/>
    <x v="42"/>
    <x v="27"/>
    <x v="104"/>
    <x v="29"/>
    <x v="126"/>
    <x v="75"/>
    <x v="27"/>
    <x v="138"/>
    <x v="99"/>
    <x v="29"/>
    <x v="172"/>
    <x v="5"/>
    <x v="57"/>
    <x v="14"/>
    <x v="23"/>
    <x v="64"/>
    <x v="109"/>
    <x v="24"/>
    <x v="77"/>
    <x v="127"/>
  </r>
  <r>
    <x v="9"/>
    <x v="10"/>
    <x v="140"/>
    <x v="346"/>
    <x v="3"/>
    <x v="161"/>
    <x v="232"/>
    <x v="30"/>
    <x v="98"/>
    <x v="54"/>
    <x v="69"/>
    <x v="42"/>
    <x v="27"/>
    <x v="104"/>
    <x v="29"/>
    <x v="126"/>
    <x v="75"/>
    <x v="27"/>
    <x v="138"/>
    <x v="99"/>
    <x v="29"/>
    <x v="172"/>
    <x v="0"/>
    <x v="109"/>
    <x v="0"/>
    <x v="23"/>
    <x v="35"/>
    <x v="67"/>
    <x v="24"/>
    <x v="40"/>
    <x v="78"/>
  </r>
  <r>
    <x v="9"/>
    <x v="10"/>
    <x v="108"/>
    <x v="347"/>
    <x v="3"/>
    <x v="161"/>
    <x v="232"/>
    <x v="30"/>
    <x v="157"/>
    <x v="54"/>
    <x v="69"/>
    <x v="42"/>
    <x v="27"/>
    <x v="104"/>
    <x v="29"/>
    <x v="126"/>
    <x v="75"/>
    <x v="27"/>
    <x v="138"/>
    <x v="99"/>
    <x v="29"/>
    <x v="172"/>
    <x v="0"/>
    <x v="109"/>
    <x v="169"/>
    <x v="23"/>
    <x v="85"/>
    <x v="136"/>
    <x v="24"/>
    <x v="97"/>
    <x v="156"/>
  </r>
  <r>
    <x v="9"/>
    <x v="19"/>
    <x v="171"/>
    <x v="70"/>
    <x v="3"/>
    <x v="123"/>
    <x v="202"/>
    <x v="30"/>
    <x v="186"/>
    <x v="54"/>
    <x v="69"/>
    <x v="42"/>
    <x v="27"/>
    <x v="104"/>
    <x v="29"/>
    <x v="126"/>
    <x v="75"/>
    <x v="27"/>
    <x v="138"/>
    <x v="90"/>
    <x v="6"/>
    <x v="115"/>
    <x v="27"/>
    <x v="94"/>
    <x v="155"/>
    <x v="23"/>
    <x v="111"/>
    <x v="158"/>
    <x v="24"/>
    <x v="124"/>
    <x v="182"/>
  </r>
  <r>
    <x v="9"/>
    <x v="10"/>
    <x v="184"/>
    <x v="348"/>
    <x v="3"/>
    <x v="161"/>
    <x v="94"/>
    <x v="0"/>
    <x v="55"/>
    <x v="54"/>
    <x v="69"/>
    <x v="6"/>
    <x v="27"/>
    <x v="104"/>
    <x v="29"/>
    <x v="126"/>
    <x v="75"/>
    <x v="27"/>
    <x v="138"/>
    <x v="99"/>
    <x v="29"/>
    <x v="172"/>
    <x v="0"/>
    <x v="109"/>
    <x v="0"/>
    <x v="23"/>
    <x v="103"/>
    <x v="152"/>
    <x v="25"/>
    <x v="143"/>
    <x v="202"/>
  </r>
  <r>
    <x v="9"/>
    <x v="11"/>
    <x v="263"/>
    <x v="357"/>
    <x v="3"/>
    <x v="149"/>
    <x v="84"/>
    <x v="10"/>
    <x v="24"/>
    <x v="54"/>
    <x v="69"/>
    <x v="4"/>
    <x v="27"/>
    <x v="104"/>
    <x v="29"/>
    <x v="126"/>
    <x v="75"/>
    <x v="27"/>
    <x v="138"/>
    <x v="99"/>
    <x v="29"/>
    <x v="172"/>
    <x v="17"/>
    <x v="53"/>
    <x v="102"/>
    <x v="25"/>
    <x v="128"/>
    <x v="176"/>
    <x v="25"/>
    <x v="143"/>
    <x v="202"/>
  </r>
  <r>
    <x v="9"/>
    <x v="11"/>
    <x v="263"/>
    <x v="349"/>
    <x v="3"/>
    <x v="161"/>
    <x v="232"/>
    <x v="30"/>
    <x v="157"/>
    <x v="54"/>
    <x v="69"/>
    <x v="42"/>
    <x v="27"/>
    <x v="104"/>
    <x v="29"/>
    <x v="126"/>
    <x v="75"/>
    <x v="27"/>
    <x v="138"/>
    <x v="99"/>
    <x v="29"/>
    <x v="172"/>
    <x v="28"/>
    <x v="109"/>
    <x v="169"/>
    <x v="23"/>
    <x v="85"/>
    <x v="136"/>
    <x v="24"/>
    <x v="97"/>
    <x v="156"/>
  </r>
  <r>
    <x v="9"/>
    <x v="11"/>
    <x v="75"/>
    <x v="350"/>
    <x v="3"/>
    <x v="168"/>
    <x v="90"/>
    <x v="8"/>
    <x v="5"/>
    <x v="54"/>
    <x v="69"/>
    <x v="2"/>
    <x v="27"/>
    <x v="104"/>
    <x v="29"/>
    <x v="126"/>
    <x v="75"/>
    <x v="27"/>
    <x v="138"/>
    <x v="99"/>
    <x v="29"/>
    <x v="172"/>
    <x v="28"/>
    <x v="109"/>
    <x v="169"/>
    <x v="12"/>
    <x v="15"/>
    <x v="41"/>
    <x v="25"/>
    <x v="143"/>
    <x v="202"/>
  </r>
  <r>
    <x v="9"/>
    <x v="11"/>
    <x v="325"/>
    <x v="351"/>
    <x v="3"/>
    <x v="161"/>
    <x v="232"/>
    <x v="30"/>
    <x v="87"/>
    <x v="54"/>
    <x v="69"/>
    <x v="42"/>
    <x v="27"/>
    <x v="104"/>
    <x v="29"/>
    <x v="126"/>
    <x v="75"/>
    <x v="27"/>
    <x v="138"/>
    <x v="99"/>
    <x v="29"/>
    <x v="172"/>
    <x v="28"/>
    <x v="109"/>
    <x v="169"/>
    <x v="23"/>
    <x v="27"/>
    <x v="55"/>
    <x v="24"/>
    <x v="32"/>
    <x v="65"/>
  </r>
  <r>
    <x v="9"/>
    <x v="11"/>
    <x v="352"/>
    <x v="352"/>
    <x v="3"/>
    <x v="161"/>
    <x v="232"/>
    <x v="30"/>
    <x v="98"/>
    <x v="54"/>
    <x v="69"/>
    <x v="42"/>
    <x v="27"/>
    <x v="104"/>
    <x v="29"/>
    <x v="126"/>
    <x v="75"/>
    <x v="27"/>
    <x v="138"/>
    <x v="99"/>
    <x v="29"/>
    <x v="172"/>
    <x v="28"/>
    <x v="109"/>
    <x v="169"/>
    <x v="23"/>
    <x v="35"/>
    <x v="67"/>
    <x v="24"/>
    <x v="40"/>
    <x v="78"/>
  </r>
  <r>
    <x v="9"/>
    <x v="11"/>
    <x v="74"/>
    <x v="353"/>
    <x v="3"/>
    <x v="161"/>
    <x v="232"/>
    <x v="31"/>
    <x v="170"/>
    <x v="54"/>
    <x v="69"/>
    <x v="42"/>
    <x v="27"/>
    <x v="104"/>
    <x v="29"/>
    <x v="126"/>
    <x v="75"/>
    <x v="27"/>
    <x v="138"/>
    <x v="99"/>
    <x v="29"/>
    <x v="172"/>
    <x v="28"/>
    <x v="109"/>
    <x v="169"/>
    <x v="23"/>
    <x v="97"/>
    <x v="148"/>
    <x v="24"/>
    <x v="110"/>
    <x v="168"/>
  </r>
  <r>
    <x v="9"/>
    <x v="11"/>
    <x v="198"/>
    <x v="354"/>
    <x v="3"/>
    <x v="161"/>
    <x v="149"/>
    <x v="22"/>
    <x v="84"/>
    <x v="54"/>
    <x v="69"/>
    <x v="25"/>
    <x v="27"/>
    <x v="104"/>
    <x v="29"/>
    <x v="126"/>
    <x v="75"/>
    <x v="27"/>
    <x v="138"/>
    <x v="99"/>
    <x v="29"/>
    <x v="172"/>
    <x v="28"/>
    <x v="109"/>
    <x v="169"/>
    <x v="23"/>
    <x v="55"/>
    <x v="98"/>
    <x v="24"/>
    <x v="68"/>
    <x v="116"/>
  </r>
  <r>
    <x v="9"/>
    <x v="11"/>
    <x v="183"/>
    <x v="355"/>
    <x v="3"/>
    <x v="162"/>
    <x v="233"/>
    <x v="30"/>
    <x v="92"/>
    <x v="54"/>
    <x v="69"/>
    <x v="42"/>
    <x v="27"/>
    <x v="104"/>
    <x v="29"/>
    <x v="126"/>
    <x v="75"/>
    <x v="27"/>
    <x v="138"/>
    <x v="99"/>
    <x v="29"/>
    <x v="172"/>
    <x v="28"/>
    <x v="109"/>
    <x v="169"/>
    <x v="22"/>
    <x v="31"/>
    <x v="58"/>
    <x v="24"/>
    <x v="36"/>
    <x v="70"/>
  </r>
  <r>
    <x v="9"/>
    <x v="11"/>
    <x v="260"/>
    <x v="356"/>
    <x v="3"/>
    <x v="171"/>
    <x v="239"/>
    <x v="30"/>
    <x v="156"/>
    <x v="54"/>
    <x v="69"/>
    <x v="42"/>
    <x v="27"/>
    <x v="104"/>
    <x v="29"/>
    <x v="126"/>
    <x v="75"/>
    <x v="27"/>
    <x v="138"/>
    <x v="99"/>
    <x v="29"/>
    <x v="172"/>
    <x v="28"/>
    <x v="109"/>
    <x v="169"/>
    <x v="13"/>
    <x v="84"/>
    <x v="92"/>
    <x v="24"/>
    <x v="96"/>
    <x v="155"/>
  </r>
  <r>
    <x v="9"/>
    <x v="11"/>
    <x v="84"/>
    <x v="358"/>
    <x v="3"/>
    <x v="164"/>
    <x v="96"/>
    <x v="0"/>
    <x v="23"/>
    <x v="54"/>
    <x v="69"/>
    <x v="6"/>
    <x v="27"/>
    <x v="104"/>
    <x v="29"/>
    <x v="126"/>
    <x v="75"/>
    <x v="27"/>
    <x v="138"/>
    <x v="99"/>
    <x v="29"/>
    <x v="172"/>
    <x v="28"/>
    <x v="109"/>
    <x v="169"/>
    <x v="20"/>
    <x v="55"/>
    <x v="90"/>
    <x v="2"/>
    <x v="143"/>
    <x v="12"/>
  </r>
  <r>
    <x v="9"/>
    <x v="11"/>
    <x v="252"/>
    <x v="359"/>
    <x v="3"/>
    <x v="135"/>
    <x v="211"/>
    <x v="30"/>
    <x v="3"/>
    <x v="54"/>
    <x v="69"/>
    <x v="42"/>
    <x v="27"/>
    <x v="104"/>
    <x v="29"/>
    <x v="126"/>
    <x v="75"/>
    <x v="27"/>
    <x v="138"/>
    <x v="1"/>
    <x v="9"/>
    <x v="1"/>
    <x v="27"/>
    <x v="1"/>
    <x v="1"/>
    <x v="23"/>
    <x v="2"/>
    <x v="2"/>
    <x v="24"/>
    <x v="2"/>
    <x v="4"/>
  </r>
  <r>
    <x v="9"/>
    <x v="11"/>
    <x v="119"/>
    <x v="360"/>
    <x v="3"/>
    <x v="165"/>
    <x v="235"/>
    <x v="32"/>
    <x v="119"/>
    <x v="54"/>
    <x v="69"/>
    <x v="42"/>
    <x v="27"/>
    <x v="104"/>
    <x v="29"/>
    <x v="126"/>
    <x v="75"/>
    <x v="27"/>
    <x v="138"/>
    <x v="99"/>
    <x v="29"/>
    <x v="172"/>
    <x v="28"/>
    <x v="109"/>
    <x v="169"/>
    <x v="19"/>
    <x v="50"/>
    <x v="82"/>
    <x v="24"/>
    <x v="61"/>
    <x v="105"/>
  </r>
  <r>
    <x v="9"/>
    <x v="11"/>
    <x v="234"/>
    <x v="361"/>
    <x v="3"/>
    <x v="165"/>
    <x v="235"/>
    <x v="32"/>
    <x v="119"/>
    <x v="54"/>
    <x v="69"/>
    <x v="42"/>
    <x v="27"/>
    <x v="104"/>
    <x v="29"/>
    <x v="126"/>
    <x v="75"/>
    <x v="27"/>
    <x v="138"/>
    <x v="99"/>
    <x v="29"/>
    <x v="172"/>
    <x v="28"/>
    <x v="109"/>
    <x v="169"/>
    <x v="19"/>
    <x v="50"/>
    <x v="82"/>
    <x v="24"/>
    <x v="61"/>
    <x v="105"/>
  </r>
  <r>
    <x v="9"/>
    <x v="11"/>
    <x v="122"/>
    <x v="362"/>
    <x v="3"/>
    <x v="166"/>
    <x v="185"/>
    <x v="25"/>
    <x v="195"/>
    <x v="54"/>
    <x v="69"/>
    <x v="32"/>
    <x v="27"/>
    <x v="104"/>
    <x v="29"/>
    <x v="126"/>
    <x v="75"/>
    <x v="27"/>
    <x v="138"/>
    <x v="99"/>
    <x v="29"/>
    <x v="172"/>
    <x v="28"/>
    <x v="109"/>
    <x v="169"/>
    <x v="17"/>
    <x v="121"/>
    <x v="166"/>
    <x v="24"/>
    <x v="135"/>
    <x v="196"/>
  </r>
  <r>
    <x v="9"/>
    <x v="11"/>
    <x v="40"/>
    <x v="363"/>
    <x v="3"/>
    <x v="167"/>
    <x v="236"/>
    <x v="30"/>
    <x v="156"/>
    <x v="54"/>
    <x v="69"/>
    <x v="42"/>
    <x v="27"/>
    <x v="104"/>
    <x v="29"/>
    <x v="126"/>
    <x v="75"/>
    <x v="27"/>
    <x v="138"/>
    <x v="99"/>
    <x v="29"/>
    <x v="172"/>
    <x v="28"/>
    <x v="109"/>
    <x v="169"/>
    <x v="16"/>
    <x v="84"/>
    <x v="122"/>
    <x v="24"/>
    <x v="96"/>
    <x v="155"/>
  </r>
  <r>
    <x v="9"/>
    <x v="11"/>
    <x v="16"/>
    <x v="364"/>
    <x v="3"/>
    <x v="167"/>
    <x v="236"/>
    <x v="30"/>
    <x v="91"/>
    <x v="54"/>
    <x v="69"/>
    <x v="42"/>
    <x v="27"/>
    <x v="104"/>
    <x v="29"/>
    <x v="126"/>
    <x v="75"/>
    <x v="27"/>
    <x v="138"/>
    <x v="99"/>
    <x v="29"/>
    <x v="172"/>
    <x v="28"/>
    <x v="109"/>
    <x v="169"/>
    <x v="16"/>
    <x v="30"/>
    <x v="44"/>
    <x v="24"/>
    <x v="35"/>
    <x v="69"/>
  </r>
  <r>
    <x v="9"/>
    <x v="11"/>
    <x v="318"/>
    <x v="365"/>
    <x v="3"/>
    <x v="171"/>
    <x v="236"/>
    <x v="30"/>
    <x v="179"/>
    <x v="54"/>
    <x v="69"/>
    <x v="39"/>
    <x v="27"/>
    <x v="104"/>
    <x v="29"/>
    <x v="126"/>
    <x v="75"/>
    <x v="27"/>
    <x v="138"/>
    <x v="99"/>
    <x v="29"/>
    <x v="172"/>
    <x v="28"/>
    <x v="109"/>
    <x v="169"/>
    <x v="13"/>
    <x v="105"/>
    <x v="138"/>
    <x v="24"/>
    <x v="119"/>
    <x v="178"/>
  </r>
  <r>
    <x v="9"/>
    <x v="11"/>
    <x v="339"/>
    <x v="366"/>
    <x v="3"/>
    <x v="163"/>
    <x v="234"/>
    <x v="29"/>
    <x v="47"/>
    <x v="54"/>
    <x v="69"/>
    <x v="42"/>
    <x v="27"/>
    <x v="104"/>
    <x v="29"/>
    <x v="126"/>
    <x v="75"/>
    <x v="27"/>
    <x v="138"/>
    <x v="99"/>
    <x v="29"/>
    <x v="172"/>
    <x v="28"/>
    <x v="109"/>
    <x v="169"/>
    <x v="21"/>
    <x v="7"/>
    <x v="18"/>
    <x v="24"/>
    <x v="7"/>
    <x v="21"/>
  </r>
  <r>
    <x v="9"/>
    <x v="51"/>
    <x v="258"/>
    <x v="367"/>
    <x v="3"/>
    <x v="161"/>
    <x v="232"/>
    <x v="32"/>
    <x v="68"/>
    <x v="54"/>
    <x v="69"/>
    <x v="42"/>
    <x v="27"/>
    <x v="104"/>
    <x v="29"/>
    <x v="126"/>
    <x v="75"/>
    <x v="27"/>
    <x v="138"/>
    <x v="99"/>
    <x v="29"/>
    <x v="172"/>
    <x v="28"/>
    <x v="109"/>
    <x v="169"/>
    <x v="23"/>
    <x v="11"/>
    <x v="34"/>
    <x v="24"/>
    <x v="13"/>
    <x v="35"/>
  </r>
  <r>
    <x v="9"/>
    <x v="11"/>
    <x v="37"/>
    <x v="368"/>
    <x v="3"/>
    <x v="169"/>
    <x v="237"/>
    <x v="31"/>
    <x v="87"/>
    <x v="54"/>
    <x v="69"/>
    <x v="42"/>
    <x v="27"/>
    <x v="104"/>
    <x v="29"/>
    <x v="126"/>
    <x v="75"/>
    <x v="27"/>
    <x v="138"/>
    <x v="99"/>
    <x v="29"/>
    <x v="172"/>
    <x v="28"/>
    <x v="109"/>
    <x v="169"/>
    <x v="15"/>
    <x v="27"/>
    <x v="37"/>
    <x v="24"/>
    <x v="32"/>
    <x v="65"/>
  </r>
  <r>
    <x v="9"/>
    <x v="11"/>
    <x v="226"/>
    <x v="369"/>
    <x v="3"/>
    <x v="170"/>
    <x v="238"/>
    <x v="30"/>
    <x v="172"/>
    <x v="54"/>
    <x v="69"/>
    <x v="42"/>
    <x v="27"/>
    <x v="104"/>
    <x v="29"/>
    <x v="126"/>
    <x v="75"/>
    <x v="27"/>
    <x v="138"/>
    <x v="99"/>
    <x v="29"/>
    <x v="172"/>
    <x v="28"/>
    <x v="109"/>
    <x v="169"/>
    <x v="14"/>
    <x v="99"/>
    <x v="132"/>
    <x v="24"/>
    <x v="112"/>
    <x v="170"/>
  </r>
  <r>
    <x v="9"/>
    <x v="11"/>
    <x v="337"/>
    <x v="371"/>
    <x v="3"/>
    <x v="172"/>
    <x v="98"/>
    <x v="0"/>
    <x v="40"/>
    <x v="54"/>
    <x v="69"/>
    <x v="6"/>
    <x v="27"/>
    <x v="104"/>
    <x v="29"/>
    <x v="126"/>
    <x v="75"/>
    <x v="27"/>
    <x v="138"/>
    <x v="99"/>
    <x v="29"/>
    <x v="172"/>
    <x v="28"/>
    <x v="109"/>
    <x v="169"/>
    <x v="12"/>
    <x v="87"/>
    <x v="99"/>
    <x v="9"/>
    <x v="143"/>
    <x v="110"/>
  </r>
  <r>
    <x v="9"/>
    <x v="11"/>
    <x v="81"/>
    <x v="372"/>
    <x v="3"/>
    <x v="173"/>
    <x v="240"/>
    <x v="31"/>
    <x v="98"/>
    <x v="54"/>
    <x v="69"/>
    <x v="42"/>
    <x v="27"/>
    <x v="104"/>
    <x v="29"/>
    <x v="126"/>
    <x v="75"/>
    <x v="27"/>
    <x v="138"/>
    <x v="99"/>
    <x v="29"/>
    <x v="172"/>
    <x v="28"/>
    <x v="109"/>
    <x v="169"/>
    <x v="11"/>
    <x v="35"/>
    <x v="26"/>
    <x v="24"/>
    <x v="40"/>
    <x v="78"/>
  </r>
  <r>
    <x v="9"/>
    <x v="11"/>
    <x v="158"/>
    <x v="373"/>
    <x v="3"/>
    <x v="173"/>
    <x v="240"/>
    <x v="30"/>
    <x v="136"/>
    <x v="54"/>
    <x v="69"/>
    <x v="42"/>
    <x v="27"/>
    <x v="104"/>
    <x v="29"/>
    <x v="126"/>
    <x v="75"/>
    <x v="27"/>
    <x v="138"/>
    <x v="99"/>
    <x v="29"/>
    <x v="172"/>
    <x v="28"/>
    <x v="109"/>
    <x v="169"/>
    <x v="11"/>
    <x v="64"/>
    <x v="59"/>
    <x v="24"/>
    <x v="77"/>
    <x v="127"/>
  </r>
  <r>
    <x v="9"/>
    <x v="11"/>
    <x v="177"/>
    <x v="374"/>
    <x v="3"/>
    <x v="147"/>
    <x v="222"/>
    <x v="30"/>
    <x v="40"/>
    <x v="54"/>
    <x v="69"/>
    <x v="42"/>
    <x v="27"/>
    <x v="104"/>
    <x v="29"/>
    <x v="126"/>
    <x v="75"/>
    <x v="27"/>
    <x v="138"/>
    <x v="99"/>
    <x v="0"/>
    <x v="172"/>
    <x v="20"/>
    <x v="3"/>
    <x v="8"/>
    <x v="23"/>
    <x v="4"/>
    <x v="14"/>
    <x v="24"/>
    <x v="4"/>
    <x v="17"/>
  </r>
  <r>
    <x v="9"/>
    <x v="11"/>
    <x v="171"/>
    <x v="375"/>
    <x v="3"/>
    <x v="161"/>
    <x v="94"/>
    <x v="0"/>
    <x v="45"/>
    <x v="54"/>
    <x v="69"/>
    <x v="6"/>
    <x v="27"/>
    <x v="104"/>
    <x v="29"/>
    <x v="126"/>
    <x v="75"/>
    <x v="27"/>
    <x v="138"/>
    <x v="99"/>
    <x v="29"/>
    <x v="172"/>
    <x v="28"/>
    <x v="109"/>
    <x v="169"/>
    <x v="23"/>
    <x v="94"/>
    <x v="145"/>
    <x v="25"/>
    <x v="143"/>
    <x v="202"/>
  </r>
  <r>
    <x v="9"/>
    <x v="11"/>
    <x v="8"/>
    <x v="376"/>
    <x v="3"/>
    <x v="177"/>
    <x v="244"/>
    <x v="30"/>
    <x v="77"/>
    <x v="54"/>
    <x v="69"/>
    <x v="42"/>
    <x v="27"/>
    <x v="104"/>
    <x v="29"/>
    <x v="126"/>
    <x v="75"/>
    <x v="27"/>
    <x v="138"/>
    <x v="99"/>
    <x v="29"/>
    <x v="172"/>
    <x v="28"/>
    <x v="109"/>
    <x v="169"/>
    <x v="6"/>
    <x v="18"/>
    <x v="9"/>
    <x v="24"/>
    <x v="22"/>
    <x v="49"/>
  </r>
  <r>
    <x v="9"/>
    <x v="51"/>
    <x v="232"/>
    <x v="377"/>
    <x v="3"/>
    <x v="173"/>
    <x v="240"/>
    <x v="32"/>
    <x v="86"/>
    <x v="54"/>
    <x v="69"/>
    <x v="42"/>
    <x v="27"/>
    <x v="104"/>
    <x v="29"/>
    <x v="126"/>
    <x v="75"/>
    <x v="27"/>
    <x v="138"/>
    <x v="99"/>
    <x v="29"/>
    <x v="172"/>
    <x v="28"/>
    <x v="109"/>
    <x v="169"/>
    <x v="11"/>
    <x v="26"/>
    <x v="22"/>
    <x v="24"/>
    <x v="31"/>
    <x v="64"/>
  </r>
  <r>
    <x v="9"/>
    <x v="11"/>
    <x v="63"/>
    <x v="378"/>
    <x v="3"/>
    <x v="138"/>
    <x v="82"/>
    <x v="0"/>
    <x v="28"/>
    <x v="54"/>
    <x v="69"/>
    <x v="7"/>
    <x v="27"/>
    <x v="104"/>
    <x v="29"/>
    <x v="126"/>
    <x v="75"/>
    <x v="27"/>
    <x v="138"/>
    <x v="59"/>
    <x v="3"/>
    <x v="12"/>
    <x v="23"/>
    <x v="109"/>
    <x v="103"/>
    <x v="25"/>
    <x v="128"/>
    <x v="176"/>
    <x v="25"/>
    <x v="143"/>
    <x v="202"/>
  </r>
  <r>
    <x v="9"/>
    <x v="11"/>
    <x v="213"/>
    <x v="379"/>
    <x v="3"/>
    <x v="173"/>
    <x v="240"/>
    <x v="30"/>
    <x v="119"/>
    <x v="54"/>
    <x v="69"/>
    <x v="42"/>
    <x v="27"/>
    <x v="104"/>
    <x v="29"/>
    <x v="126"/>
    <x v="75"/>
    <x v="27"/>
    <x v="138"/>
    <x v="99"/>
    <x v="29"/>
    <x v="172"/>
    <x v="28"/>
    <x v="109"/>
    <x v="169"/>
    <x v="11"/>
    <x v="50"/>
    <x v="42"/>
    <x v="24"/>
    <x v="61"/>
    <x v="105"/>
  </r>
  <r>
    <x v="9"/>
    <x v="11"/>
    <x v="134"/>
    <x v="380"/>
    <x v="3"/>
    <x v="146"/>
    <x v="109"/>
    <x v="16"/>
    <x v="54"/>
    <x v="54"/>
    <x v="69"/>
    <x v="19"/>
    <x v="27"/>
    <x v="104"/>
    <x v="29"/>
    <x v="126"/>
    <x v="75"/>
    <x v="27"/>
    <x v="138"/>
    <x v="99"/>
    <x v="0"/>
    <x v="172"/>
    <x v="21"/>
    <x v="52"/>
    <x v="89"/>
    <x v="23"/>
    <x v="60"/>
    <x v="104"/>
    <x v="24"/>
    <x v="73"/>
    <x v="121"/>
  </r>
  <r>
    <x v="9"/>
    <x v="11"/>
    <x v="271"/>
    <x v="381"/>
    <x v="3"/>
    <x v="174"/>
    <x v="151"/>
    <x v="22"/>
    <x v="66"/>
    <x v="54"/>
    <x v="69"/>
    <x v="25"/>
    <x v="27"/>
    <x v="104"/>
    <x v="29"/>
    <x v="126"/>
    <x v="75"/>
    <x v="27"/>
    <x v="138"/>
    <x v="99"/>
    <x v="29"/>
    <x v="172"/>
    <x v="28"/>
    <x v="109"/>
    <x v="169"/>
    <x v="10"/>
    <x v="40"/>
    <x v="29"/>
    <x v="24"/>
    <x v="45"/>
    <x v="92"/>
  </r>
  <r>
    <x v="9"/>
    <x v="51"/>
    <x v="100"/>
    <x v="382"/>
    <x v="3"/>
    <x v="174"/>
    <x v="241"/>
    <x v="32"/>
    <x v="173"/>
    <x v="54"/>
    <x v="69"/>
    <x v="42"/>
    <x v="27"/>
    <x v="104"/>
    <x v="29"/>
    <x v="126"/>
    <x v="75"/>
    <x v="27"/>
    <x v="138"/>
    <x v="99"/>
    <x v="29"/>
    <x v="172"/>
    <x v="28"/>
    <x v="109"/>
    <x v="169"/>
    <x v="10"/>
    <x v="100"/>
    <x v="112"/>
    <x v="24"/>
    <x v="113"/>
    <x v="171"/>
  </r>
  <r>
    <x v="9"/>
    <x v="51"/>
    <x v="169"/>
    <x v="383"/>
    <x v="3"/>
    <x v="177"/>
    <x v="244"/>
    <x v="32"/>
    <x v="86"/>
    <x v="54"/>
    <x v="69"/>
    <x v="42"/>
    <x v="27"/>
    <x v="104"/>
    <x v="29"/>
    <x v="126"/>
    <x v="75"/>
    <x v="27"/>
    <x v="138"/>
    <x v="99"/>
    <x v="29"/>
    <x v="172"/>
    <x v="28"/>
    <x v="109"/>
    <x v="169"/>
    <x v="6"/>
    <x v="26"/>
    <x v="12"/>
    <x v="24"/>
    <x v="31"/>
    <x v="64"/>
  </r>
  <r>
    <x v="9"/>
    <x v="51"/>
    <x v="117"/>
    <x v="384"/>
    <x v="3"/>
    <x v="184"/>
    <x v="247"/>
    <x v="32"/>
    <x v="52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4"/>
    <x v="8"/>
    <x v="27"/>
  </r>
  <r>
    <x v="9"/>
    <x v="11"/>
    <x v="36"/>
    <x v="385"/>
    <x v="3"/>
    <x v="174"/>
    <x v="151"/>
    <x v="22"/>
    <x v="59"/>
    <x v="54"/>
    <x v="69"/>
    <x v="25"/>
    <x v="27"/>
    <x v="104"/>
    <x v="29"/>
    <x v="126"/>
    <x v="75"/>
    <x v="27"/>
    <x v="138"/>
    <x v="99"/>
    <x v="29"/>
    <x v="172"/>
    <x v="28"/>
    <x v="109"/>
    <x v="169"/>
    <x v="10"/>
    <x v="35"/>
    <x v="25"/>
    <x v="24"/>
    <x v="40"/>
    <x v="79"/>
  </r>
  <r>
    <x v="9"/>
    <x v="11"/>
    <x v="190"/>
    <x v="386"/>
    <x v="3"/>
    <x v="175"/>
    <x v="242"/>
    <x v="30"/>
    <x v="98"/>
    <x v="54"/>
    <x v="69"/>
    <x v="42"/>
    <x v="27"/>
    <x v="104"/>
    <x v="29"/>
    <x v="126"/>
    <x v="75"/>
    <x v="27"/>
    <x v="138"/>
    <x v="99"/>
    <x v="29"/>
    <x v="172"/>
    <x v="28"/>
    <x v="109"/>
    <x v="169"/>
    <x v="9"/>
    <x v="35"/>
    <x v="21"/>
    <x v="24"/>
    <x v="40"/>
    <x v="78"/>
  </r>
  <r>
    <x v="9"/>
    <x v="51"/>
    <x v="166"/>
    <x v="387"/>
    <x v="3"/>
    <x v="176"/>
    <x v="243"/>
    <x v="32"/>
    <x v="86"/>
    <x v="54"/>
    <x v="69"/>
    <x v="42"/>
    <x v="27"/>
    <x v="104"/>
    <x v="29"/>
    <x v="126"/>
    <x v="75"/>
    <x v="27"/>
    <x v="138"/>
    <x v="99"/>
    <x v="29"/>
    <x v="172"/>
    <x v="28"/>
    <x v="109"/>
    <x v="169"/>
    <x v="8"/>
    <x v="26"/>
    <x v="17"/>
    <x v="24"/>
    <x v="31"/>
    <x v="64"/>
  </r>
  <r>
    <x v="9"/>
    <x v="11"/>
    <x v="20"/>
    <x v="388"/>
    <x v="3"/>
    <x v="189"/>
    <x v="250"/>
    <x v="30"/>
    <x v="9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9"/>
    <x v="40"/>
    <x v="58"/>
  </r>
  <r>
    <x v="9"/>
    <x v="11"/>
    <x v="246"/>
    <x v="389"/>
    <x v="3"/>
    <x v="179"/>
    <x v="100"/>
    <x v="0"/>
    <x v="19"/>
    <x v="54"/>
    <x v="69"/>
    <x v="6"/>
    <x v="27"/>
    <x v="104"/>
    <x v="29"/>
    <x v="126"/>
    <x v="75"/>
    <x v="27"/>
    <x v="138"/>
    <x v="99"/>
    <x v="29"/>
    <x v="172"/>
    <x v="28"/>
    <x v="109"/>
    <x v="169"/>
    <x v="4"/>
    <x v="48"/>
    <x v="19"/>
    <x v="17"/>
    <x v="143"/>
    <x v="88"/>
  </r>
  <r>
    <x v="9"/>
    <x v="11"/>
    <x v="115"/>
    <x v="390"/>
    <x v="3"/>
    <x v="180"/>
    <x v="101"/>
    <x v="0"/>
    <x v="23"/>
    <x v="54"/>
    <x v="69"/>
    <x v="6"/>
    <x v="27"/>
    <x v="104"/>
    <x v="29"/>
    <x v="126"/>
    <x v="75"/>
    <x v="27"/>
    <x v="138"/>
    <x v="99"/>
    <x v="29"/>
    <x v="172"/>
    <x v="28"/>
    <x v="109"/>
    <x v="169"/>
    <x v="3"/>
    <x v="55"/>
    <x v="20"/>
    <x v="18"/>
    <x v="143"/>
    <x v="99"/>
  </r>
  <r>
    <x v="9"/>
    <x v="11"/>
    <x v="53"/>
    <x v="391"/>
    <x v="3"/>
    <x v="182"/>
    <x v="103"/>
    <x v="0"/>
    <x v="37"/>
    <x v="54"/>
    <x v="69"/>
    <x v="6"/>
    <x v="27"/>
    <x v="104"/>
    <x v="29"/>
    <x v="126"/>
    <x v="75"/>
    <x v="27"/>
    <x v="138"/>
    <x v="99"/>
    <x v="29"/>
    <x v="172"/>
    <x v="28"/>
    <x v="109"/>
    <x v="169"/>
    <x v="1"/>
    <x v="85"/>
    <x v="23"/>
    <x v="20"/>
    <x v="143"/>
    <x v="151"/>
  </r>
  <r>
    <x v="9"/>
    <x v="11"/>
    <x v="236"/>
    <x v="392"/>
    <x v="3"/>
    <x v="180"/>
    <x v="156"/>
    <x v="22"/>
    <x v="66"/>
    <x v="54"/>
    <x v="69"/>
    <x v="25"/>
    <x v="27"/>
    <x v="104"/>
    <x v="29"/>
    <x v="126"/>
    <x v="75"/>
    <x v="27"/>
    <x v="138"/>
    <x v="99"/>
    <x v="29"/>
    <x v="172"/>
    <x v="28"/>
    <x v="109"/>
    <x v="169"/>
    <x v="3"/>
    <x v="40"/>
    <x v="10"/>
    <x v="24"/>
    <x v="45"/>
    <x v="92"/>
  </r>
  <r>
    <x v="9"/>
    <x v="49"/>
    <x v="262"/>
    <x v="393"/>
    <x v="3"/>
    <x v="184"/>
    <x v="247"/>
    <x v="32"/>
    <x v="106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4"/>
    <x v="47"/>
    <x v="94"/>
  </r>
  <r>
    <x v="9"/>
    <x v="11"/>
    <x v="282"/>
    <x v="394"/>
    <x v="3"/>
    <x v="180"/>
    <x v="101"/>
    <x v="0"/>
    <x v="23"/>
    <x v="54"/>
    <x v="69"/>
    <x v="6"/>
    <x v="27"/>
    <x v="104"/>
    <x v="29"/>
    <x v="126"/>
    <x v="75"/>
    <x v="27"/>
    <x v="138"/>
    <x v="99"/>
    <x v="29"/>
    <x v="172"/>
    <x v="28"/>
    <x v="109"/>
    <x v="169"/>
    <x v="3"/>
    <x v="55"/>
    <x v="20"/>
    <x v="18"/>
    <x v="143"/>
    <x v="99"/>
  </r>
  <r>
    <x v="9"/>
    <x v="11"/>
    <x v="7"/>
    <x v="395"/>
    <x v="3"/>
    <x v="178"/>
    <x v="99"/>
    <x v="0"/>
    <x v="21"/>
    <x v="54"/>
    <x v="69"/>
    <x v="6"/>
    <x v="27"/>
    <x v="104"/>
    <x v="29"/>
    <x v="126"/>
    <x v="75"/>
    <x v="27"/>
    <x v="138"/>
    <x v="99"/>
    <x v="29"/>
    <x v="172"/>
    <x v="28"/>
    <x v="109"/>
    <x v="169"/>
    <x v="5"/>
    <x v="53"/>
    <x v="24"/>
    <x v="16"/>
    <x v="143"/>
    <x v="93"/>
  </r>
  <r>
    <x v="9"/>
    <x v="11"/>
    <x v="9"/>
    <x v="397"/>
    <x v="3"/>
    <x v="181"/>
    <x v="245"/>
    <x v="31"/>
    <x v="103"/>
    <x v="54"/>
    <x v="69"/>
    <x v="42"/>
    <x v="27"/>
    <x v="104"/>
    <x v="29"/>
    <x v="126"/>
    <x v="75"/>
    <x v="27"/>
    <x v="138"/>
    <x v="99"/>
    <x v="29"/>
    <x v="172"/>
    <x v="28"/>
    <x v="109"/>
    <x v="169"/>
    <x v="2"/>
    <x v="40"/>
    <x v="8"/>
    <x v="24"/>
    <x v="45"/>
    <x v="90"/>
  </r>
  <r>
    <x v="9"/>
    <x v="11"/>
    <x v="79"/>
    <x v="398"/>
    <x v="3"/>
    <x v="181"/>
    <x v="245"/>
    <x v="30"/>
    <x v="82"/>
    <x v="54"/>
    <x v="69"/>
    <x v="42"/>
    <x v="27"/>
    <x v="104"/>
    <x v="29"/>
    <x v="126"/>
    <x v="75"/>
    <x v="27"/>
    <x v="138"/>
    <x v="99"/>
    <x v="29"/>
    <x v="172"/>
    <x v="28"/>
    <x v="109"/>
    <x v="169"/>
    <x v="2"/>
    <x v="23"/>
    <x v="6"/>
    <x v="24"/>
    <x v="27"/>
    <x v="61"/>
  </r>
  <r>
    <x v="9"/>
    <x v="11"/>
    <x v="251"/>
    <x v="399"/>
    <x v="3"/>
    <x v="181"/>
    <x v="102"/>
    <x v="0"/>
    <x v="32"/>
    <x v="54"/>
    <x v="69"/>
    <x v="6"/>
    <x v="27"/>
    <x v="104"/>
    <x v="29"/>
    <x v="126"/>
    <x v="75"/>
    <x v="27"/>
    <x v="138"/>
    <x v="99"/>
    <x v="29"/>
    <x v="172"/>
    <x v="28"/>
    <x v="109"/>
    <x v="169"/>
    <x v="2"/>
    <x v="81"/>
    <x v="27"/>
    <x v="19"/>
    <x v="143"/>
    <x v="136"/>
  </r>
  <r>
    <x v="9"/>
    <x v="11"/>
    <x v="34"/>
    <x v="400"/>
    <x v="3"/>
    <x v="183"/>
    <x v="246"/>
    <x v="30"/>
    <x v="94"/>
    <x v="54"/>
    <x v="69"/>
    <x v="42"/>
    <x v="27"/>
    <x v="104"/>
    <x v="29"/>
    <x v="126"/>
    <x v="75"/>
    <x v="27"/>
    <x v="138"/>
    <x v="99"/>
    <x v="29"/>
    <x v="172"/>
    <x v="28"/>
    <x v="109"/>
    <x v="169"/>
    <x v="0"/>
    <x v="32"/>
    <x v="4"/>
    <x v="24"/>
    <x v="37"/>
    <x v="71"/>
  </r>
  <r>
    <x v="9"/>
    <x v="11"/>
    <x v="133"/>
    <x v="401"/>
    <x v="3"/>
    <x v="183"/>
    <x v="246"/>
    <x v="30"/>
    <x v="148"/>
    <x v="54"/>
    <x v="69"/>
    <x v="42"/>
    <x v="27"/>
    <x v="104"/>
    <x v="29"/>
    <x v="126"/>
    <x v="75"/>
    <x v="27"/>
    <x v="138"/>
    <x v="99"/>
    <x v="29"/>
    <x v="172"/>
    <x v="28"/>
    <x v="109"/>
    <x v="169"/>
    <x v="0"/>
    <x v="76"/>
    <x v="7"/>
    <x v="24"/>
    <x v="88"/>
    <x v="143"/>
  </r>
  <r>
    <x v="9"/>
    <x v="49"/>
    <x v="256"/>
    <x v="402"/>
    <x v="3"/>
    <x v="183"/>
    <x v="263"/>
    <x v="7"/>
    <x v="0"/>
    <x v="54"/>
    <x v="69"/>
    <x v="48"/>
    <x v="27"/>
    <x v="104"/>
    <x v="29"/>
    <x v="126"/>
    <x v="75"/>
    <x v="27"/>
    <x v="138"/>
    <x v="99"/>
    <x v="29"/>
    <x v="172"/>
    <x v="28"/>
    <x v="109"/>
    <x v="169"/>
    <x v="0"/>
    <x v="0"/>
    <x v="0"/>
    <x v="24"/>
    <x v="0"/>
    <x v="0"/>
  </r>
  <r>
    <x v="9"/>
    <x v="11"/>
    <x v="301"/>
    <x v="403"/>
    <x v="3"/>
    <x v="184"/>
    <x v="247"/>
    <x v="30"/>
    <x v="70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4"/>
    <x v="15"/>
    <x v="37"/>
  </r>
  <r>
    <x v="9"/>
    <x v="11"/>
    <x v="6"/>
    <x v="404"/>
    <x v="3"/>
    <x v="183"/>
    <x v="246"/>
    <x v="29"/>
    <x v="161"/>
    <x v="54"/>
    <x v="69"/>
    <x v="42"/>
    <x v="27"/>
    <x v="104"/>
    <x v="29"/>
    <x v="126"/>
    <x v="75"/>
    <x v="27"/>
    <x v="138"/>
    <x v="99"/>
    <x v="29"/>
    <x v="172"/>
    <x v="28"/>
    <x v="109"/>
    <x v="169"/>
    <x v="0"/>
    <x v="89"/>
    <x v="11"/>
    <x v="24"/>
    <x v="101"/>
    <x v="160"/>
  </r>
  <r>
    <x v="9"/>
    <x v="11"/>
    <x v="279"/>
    <x v="405"/>
    <x v="3"/>
    <x v="184"/>
    <x v="247"/>
    <x v="30"/>
    <x v="122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4"/>
    <x v="64"/>
    <x v="107"/>
  </r>
  <r>
    <x v="9"/>
    <x v="11"/>
    <x v="278"/>
    <x v="396"/>
    <x v="3"/>
    <x v="135"/>
    <x v="211"/>
    <x v="30"/>
    <x v="5"/>
    <x v="54"/>
    <x v="69"/>
    <x v="42"/>
    <x v="27"/>
    <x v="104"/>
    <x v="29"/>
    <x v="126"/>
    <x v="75"/>
    <x v="27"/>
    <x v="138"/>
    <x v="2"/>
    <x v="9"/>
    <x v="2"/>
    <x v="27"/>
    <x v="2"/>
    <x v="2"/>
    <x v="23"/>
    <x v="3"/>
    <x v="3"/>
    <x v="24"/>
    <x v="3"/>
    <x v="5"/>
  </r>
  <r>
    <x v="9"/>
    <x v="12"/>
    <x v="132"/>
    <x v="406"/>
    <x v="3"/>
    <x v="121"/>
    <x v="71"/>
    <x v="0"/>
    <x v="40"/>
    <x v="54"/>
    <x v="69"/>
    <x v="7"/>
    <x v="27"/>
    <x v="104"/>
    <x v="29"/>
    <x v="126"/>
    <x v="75"/>
    <x v="27"/>
    <x v="138"/>
    <x v="73"/>
    <x v="25"/>
    <x v="142"/>
    <x v="4"/>
    <x v="109"/>
    <x v="20"/>
    <x v="25"/>
    <x v="128"/>
    <x v="176"/>
    <x v="25"/>
    <x v="143"/>
    <x v="202"/>
  </r>
  <r>
    <x v="9"/>
    <x v="12"/>
    <x v="265"/>
    <x v="407"/>
    <x v="3"/>
    <x v="185"/>
    <x v="107"/>
    <x v="0"/>
    <x v="23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23"/>
    <x v="68"/>
    <x v="109"/>
  </r>
  <r>
    <x v="9"/>
    <x v="12"/>
    <x v="171"/>
    <x v="408"/>
    <x v="3"/>
    <x v="184"/>
    <x v="106"/>
    <x v="0"/>
    <x v="59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24"/>
    <x v="120"/>
    <x v="176"/>
  </r>
  <r>
    <x v="9"/>
    <x v="12"/>
    <x v="326"/>
    <x v="409"/>
    <x v="3"/>
    <x v="186"/>
    <x v="161"/>
    <x v="22"/>
    <x v="70"/>
    <x v="54"/>
    <x v="69"/>
    <x v="26"/>
    <x v="27"/>
    <x v="104"/>
    <x v="29"/>
    <x v="126"/>
    <x v="75"/>
    <x v="27"/>
    <x v="138"/>
    <x v="99"/>
    <x v="29"/>
    <x v="172"/>
    <x v="28"/>
    <x v="109"/>
    <x v="169"/>
    <x v="25"/>
    <x v="128"/>
    <x v="176"/>
    <x v="22"/>
    <x v="49"/>
    <x v="89"/>
  </r>
  <r>
    <x v="9"/>
    <x v="12"/>
    <x v="222"/>
    <x v="410"/>
    <x v="3"/>
    <x v="186"/>
    <x v="248"/>
    <x v="29"/>
    <x v="17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2"/>
    <x v="118"/>
    <x v="174"/>
  </r>
  <r>
    <x v="9"/>
    <x v="12"/>
    <x v="173"/>
    <x v="411"/>
    <x v="3"/>
    <x v="187"/>
    <x v="249"/>
    <x v="32"/>
    <x v="84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1"/>
    <x v="29"/>
    <x v="52"/>
  </r>
  <r>
    <x v="9"/>
    <x v="12"/>
    <x v="241"/>
    <x v="412"/>
    <x v="3"/>
    <x v="188"/>
    <x v="108"/>
    <x v="0"/>
    <x v="52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20"/>
    <x v="116"/>
    <x v="165"/>
  </r>
  <r>
    <x v="9"/>
    <x v="12"/>
    <x v="3"/>
    <x v="413"/>
    <x v="3"/>
    <x v="188"/>
    <x v="108"/>
    <x v="0"/>
    <x v="16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20"/>
    <x v="53"/>
    <x v="84"/>
  </r>
  <r>
    <x v="9"/>
    <x v="12"/>
    <x v="121"/>
    <x v="414"/>
    <x v="3"/>
    <x v="189"/>
    <x v="211"/>
    <x v="28"/>
    <x v="144"/>
    <x v="54"/>
    <x v="69"/>
    <x v="34"/>
    <x v="27"/>
    <x v="104"/>
    <x v="29"/>
    <x v="126"/>
    <x v="75"/>
    <x v="27"/>
    <x v="138"/>
    <x v="99"/>
    <x v="29"/>
    <x v="172"/>
    <x v="28"/>
    <x v="109"/>
    <x v="169"/>
    <x v="25"/>
    <x v="128"/>
    <x v="176"/>
    <x v="19"/>
    <x v="94"/>
    <x v="135"/>
  </r>
  <r>
    <x v="9"/>
    <x v="12"/>
    <x v="292"/>
    <x v="415"/>
    <x v="3"/>
    <x v="190"/>
    <x v="110"/>
    <x v="0"/>
    <x v="26"/>
    <x v="54"/>
    <x v="69"/>
    <x v="8"/>
    <x v="27"/>
    <x v="104"/>
    <x v="29"/>
    <x v="126"/>
    <x v="75"/>
    <x v="27"/>
    <x v="138"/>
    <x v="99"/>
    <x v="29"/>
    <x v="172"/>
    <x v="28"/>
    <x v="109"/>
    <x v="169"/>
    <x v="25"/>
    <x v="128"/>
    <x v="176"/>
    <x v="18"/>
    <x v="81"/>
    <x v="108"/>
  </r>
  <r>
    <x v="9"/>
    <x v="12"/>
    <x v="294"/>
    <x v="416"/>
    <x v="3"/>
    <x v="194"/>
    <x v="254"/>
    <x v="30"/>
    <x v="10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4"/>
    <x v="50"/>
    <x v="53"/>
  </r>
  <r>
    <x v="9"/>
    <x v="12"/>
    <x v="168"/>
    <x v="417"/>
    <x v="3"/>
    <x v="191"/>
    <x v="251"/>
    <x v="32"/>
    <x v="99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7"/>
    <x v="41"/>
    <x v="50"/>
  </r>
  <r>
    <x v="9"/>
    <x v="12"/>
    <x v="317"/>
    <x v="418"/>
    <x v="3"/>
    <x v="191"/>
    <x v="216"/>
    <x v="26"/>
    <x v="76"/>
    <x v="54"/>
    <x v="69"/>
    <x v="35"/>
    <x v="27"/>
    <x v="104"/>
    <x v="29"/>
    <x v="126"/>
    <x v="75"/>
    <x v="27"/>
    <x v="138"/>
    <x v="99"/>
    <x v="29"/>
    <x v="172"/>
    <x v="28"/>
    <x v="109"/>
    <x v="169"/>
    <x v="25"/>
    <x v="128"/>
    <x v="176"/>
    <x v="17"/>
    <x v="21"/>
    <x v="42"/>
  </r>
  <r>
    <x v="9"/>
    <x v="12"/>
    <x v="330"/>
    <x v="419"/>
    <x v="3"/>
    <x v="192"/>
    <x v="252"/>
    <x v="31"/>
    <x v="200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6"/>
    <x v="139"/>
    <x v="194"/>
  </r>
  <r>
    <x v="9"/>
    <x v="12"/>
    <x v="343"/>
    <x v="420"/>
    <x v="3"/>
    <x v="195"/>
    <x v="124"/>
    <x v="11"/>
    <x v="33"/>
    <x v="54"/>
    <x v="69"/>
    <x v="14"/>
    <x v="27"/>
    <x v="104"/>
    <x v="29"/>
    <x v="126"/>
    <x v="75"/>
    <x v="27"/>
    <x v="138"/>
    <x v="99"/>
    <x v="29"/>
    <x v="172"/>
    <x v="28"/>
    <x v="109"/>
    <x v="169"/>
    <x v="25"/>
    <x v="128"/>
    <x v="176"/>
    <x v="13"/>
    <x v="55"/>
    <x v="46"/>
  </r>
  <r>
    <x v="9"/>
    <x v="12"/>
    <x v="208"/>
    <x v="421"/>
    <x v="3"/>
    <x v="195"/>
    <x v="113"/>
    <x v="0"/>
    <x v="46"/>
    <x v="54"/>
    <x v="69"/>
    <x v="8"/>
    <x v="27"/>
    <x v="104"/>
    <x v="29"/>
    <x v="126"/>
    <x v="75"/>
    <x v="27"/>
    <x v="138"/>
    <x v="99"/>
    <x v="29"/>
    <x v="172"/>
    <x v="28"/>
    <x v="109"/>
    <x v="169"/>
    <x v="25"/>
    <x v="128"/>
    <x v="176"/>
    <x v="13"/>
    <x v="108"/>
    <x v="147"/>
  </r>
  <r>
    <x v="9"/>
    <x v="12"/>
    <x v="91"/>
    <x v="422"/>
    <x v="3"/>
    <x v="193"/>
    <x v="253"/>
    <x v="30"/>
    <x v="9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5"/>
    <x v="40"/>
    <x v="41"/>
  </r>
  <r>
    <x v="9"/>
    <x v="12"/>
    <x v="46"/>
    <x v="423"/>
    <x v="3"/>
    <x v="196"/>
    <x v="255"/>
    <x v="32"/>
    <x v="7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2"/>
    <x v="23"/>
    <x v="28"/>
  </r>
  <r>
    <x v="9"/>
    <x v="12"/>
    <x v="14"/>
    <x v="424"/>
    <x v="3"/>
    <x v="196"/>
    <x v="255"/>
    <x v="29"/>
    <x v="74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2"/>
    <x v="19"/>
    <x v="25"/>
  </r>
  <r>
    <x v="9"/>
    <x v="12"/>
    <x v="49"/>
    <x v="425"/>
    <x v="3"/>
    <x v="196"/>
    <x v="255"/>
    <x v="29"/>
    <x v="74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2"/>
    <x v="19"/>
    <x v="25"/>
  </r>
  <r>
    <x v="9"/>
    <x v="12"/>
    <x v="70"/>
    <x v="426"/>
    <x v="3"/>
    <x v="196"/>
    <x v="255"/>
    <x v="32"/>
    <x v="7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2"/>
    <x v="23"/>
    <x v="28"/>
  </r>
  <r>
    <x v="9"/>
    <x v="12"/>
    <x v="174"/>
    <x v="427"/>
    <x v="3"/>
    <x v="196"/>
    <x v="255"/>
    <x v="29"/>
    <x v="74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2"/>
    <x v="19"/>
    <x v="25"/>
  </r>
  <r>
    <x v="9"/>
    <x v="12"/>
    <x v="227"/>
    <x v="428"/>
    <x v="3"/>
    <x v="196"/>
    <x v="255"/>
    <x v="29"/>
    <x v="74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2"/>
    <x v="19"/>
    <x v="25"/>
  </r>
  <r>
    <x v="9"/>
    <x v="12"/>
    <x v="178"/>
    <x v="429"/>
    <x v="3"/>
    <x v="196"/>
    <x v="255"/>
    <x v="32"/>
    <x v="7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2"/>
    <x v="23"/>
    <x v="28"/>
  </r>
  <r>
    <x v="9"/>
    <x v="12"/>
    <x v="231"/>
    <x v="430"/>
    <x v="3"/>
    <x v="208"/>
    <x v="265"/>
    <x v="30"/>
    <x v="98"/>
    <x v="54"/>
    <x v="69"/>
    <x v="41"/>
    <x v="27"/>
    <x v="104"/>
    <x v="29"/>
    <x v="126"/>
    <x v="75"/>
    <x v="27"/>
    <x v="138"/>
    <x v="99"/>
    <x v="29"/>
    <x v="172"/>
    <x v="28"/>
    <x v="109"/>
    <x v="169"/>
    <x v="25"/>
    <x v="128"/>
    <x v="176"/>
    <x v="25"/>
    <x v="143"/>
    <x v="202"/>
  </r>
  <r>
    <x v="9"/>
    <x v="12"/>
    <x v="217"/>
    <x v="431"/>
    <x v="3"/>
    <x v="196"/>
    <x v="255"/>
    <x v="32"/>
    <x v="84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2"/>
    <x v="29"/>
    <x v="31"/>
  </r>
  <r>
    <x v="9"/>
    <x v="12"/>
    <x v="21"/>
    <x v="432"/>
    <x v="3"/>
    <x v="196"/>
    <x v="255"/>
    <x v="32"/>
    <x v="112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2"/>
    <x v="56"/>
    <x v="56"/>
  </r>
  <r>
    <x v="9"/>
    <x v="12"/>
    <x v="43"/>
    <x v="433"/>
    <x v="3"/>
    <x v="197"/>
    <x v="256"/>
    <x v="32"/>
    <x v="7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1"/>
    <x v="23"/>
    <x v="26"/>
  </r>
  <r>
    <x v="9"/>
    <x v="12"/>
    <x v="212"/>
    <x v="434"/>
    <x v="3"/>
    <x v="197"/>
    <x v="256"/>
    <x v="32"/>
    <x v="7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1"/>
    <x v="23"/>
    <x v="26"/>
  </r>
  <r>
    <x v="9"/>
    <x v="12"/>
    <x v="269"/>
    <x v="435"/>
    <x v="3"/>
    <x v="197"/>
    <x v="256"/>
    <x v="32"/>
    <x v="7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1"/>
    <x v="23"/>
    <x v="26"/>
  </r>
  <r>
    <x v="9"/>
    <x v="12"/>
    <x v="191"/>
    <x v="436"/>
    <x v="3"/>
    <x v="197"/>
    <x v="256"/>
    <x v="29"/>
    <x v="74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1"/>
    <x v="19"/>
    <x v="22"/>
  </r>
  <r>
    <x v="9"/>
    <x v="12"/>
    <x v="25"/>
    <x v="439"/>
    <x v="3"/>
    <x v="197"/>
    <x v="256"/>
    <x v="32"/>
    <x v="112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1"/>
    <x v="56"/>
    <x v="48"/>
  </r>
  <r>
    <x v="9"/>
    <x v="12"/>
    <x v="334"/>
    <x v="438"/>
    <x v="3"/>
    <x v="192"/>
    <x v="164"/>
    <x v="22"/>
    <x v="191"/>
    <x v="54"/>
    <x v="69"/>
    <x v="26"/>
    <x v="27"/>
    <x v="104"/>
    <x v="29"/>
    <x v="126"/>
    <x v="75"/>
    <x v="27"/>
    <x v="138"/>
    <x v="99"/>
    <x v="29"/>
    <x v="172"/>
    <x v="28"/>
    <x v="109"/>
    <x v="169"/>
    <x v="25"/>
    <x v="128"/>
    <x v="176"/>
    <x v="16"/>
    <x v="137"/>
    <x v="192"/>
  </r>
  <r>
    <x v="9"/>
    <x v="12"/>
    <x v="52"/>
    <x v="440"/>
    <x v="3"/>
    <x v="208"/>
    <x v="266"/>
    <x v="30"/>
    <x v="192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5"/>
    <x v="143"/>
    <x v="202"/>
  </r>
  <r>
    <x v="9"/>
    <x v="12"/>
    <x v="47"/>
    <x v="441"/>
    <x v="3"/>
    <x v="198"/>
    <x v="257"/>
    <x v="32"/>
    <x v="7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0"/>
    <x v="23"/>
    <x v="24"/>
  </r>
  <r>
    <x v="9"/>
    <x v="12"/>
    <x v="144"/>
    <x v="442"/>
    <x v="3"/>
    <x v="203"/>
    <x v="261"/>
    <x v="30"/>
    <x v="16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4"/>
    <x v="108"/>
    <x v="44"/>
  </r>
  <r>
    <x v="9"/>
    <x v="12"/>
    <x v="346"/>
    <x v="443"/>
    <x v="3"/>
    <x v="199"/>
    <x v="258"/>
    <x v="32"/>
    <x v="86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8"/>
    <x v="31"/>
    <x v="23"/>
  </r>
  <r>
    <x v="9"/>
    <x v="12"/>
    <x v="235"/>
    <x v="444"/>
    <x v="3"/>
    <x v="200"/>
    <x v="259"/>
    <x v="30"/>
    <x v="151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7"/>
    <x v="91"/>
    <x v="47"/>
  </r>
  <r>
    <x v="9"/>
    <x v="12"/>
    <x v="176"/>
    <x v="445"/>
    <x v="3"/>
    <x v="200"/>
    <x v="259"/>
    <x v="32"/>
    <x v="112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7"/>
    <x v="56"/>
    <x v="24"/>
  </r>
  <r>
    <x v="9"/>
    <x v="12"/>
    <x v="84"/>
    <x v="446"/>
    <x v="3"/>
    <x v="208"/>
    <x v="266"/>
    <x v="30"/>
    <x v="125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5"/>
    <x v="143"/>
    <x v="202"/>
  </r>
  <r>
    <x v="9"/>
    <x v="12"/>
    <x v="7"/>
    <x v="447"/>
    <x v="3"/>
    <x v="202"/>
    <x v="115"/>
    <x v="0"/>
    <x v="20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5"/>
    <x v="65"/>
    <x v="20"/>
  </r>
  <r>
    <x v="9"/>
    <x v="12"/>
    <x v="273"/>
    <x v="448"/>
    <x v="3"/>
    <x v="201"/>
    <x v="260"/>
    <x v="30"/>
    <x v="85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6"/>
    <x v="30"/>
    <x v="14"/>
  </r>
  <r>
    <x v="9"/>
    <x v="12"/>
    <x v="341"/>
    <x v="449"/>
    <x v="3"/>
    <x v="203"/>
    <x v="261"/>
    <x v="29"/>
    <x v="123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4"/>
    <x v="66"/>
    <x v="16"/>
  </r>
  <r>
    <x v="9"/>
    <x v="12"/>
    <x v="256"/>
    <x v="450"/>
    <x v="3"/>
    <x v="208"/>
    <x v="268"/>
    <x v="6"/>
    <x v="130"/>
    <x v="54"/>
    <x v="69"/>
    <x v="48"/>
    <x v="27"/>
    <x v="104"/>
    <x v="29"/>
    <x v="126"/>
    <x v="75"/>
    <x v="27"/>
    <x v="138"/>
    <x v="99"/>
    <x v="29"/>
    <x v="172"/>
    <x v="28"/>
    <x v="109"/>
    <x v="169"/>
    <x v="25"/>
    <x v="128"/>
    <x v="176"/>
    <x v="25"/>
    <x v="143"/>
    <x v="202"/>
  </r>
  <r>
    <x v="9"/>
    <x v="12"/>
    <x v="156"/>
    <x v="451"/>
    <x v="3"/>
    <x v="203"/>
    <x v="231"/>
    <x v="3"/>
    <x v="56"/>
    <x v="54"/>
    <x v="69"/>
    <x v="36"/>
    <x v="27"/>
    <x v="104"/>
    <x v="29"/>
    <x v="126"/>
    <x v="75"/>
    <x v="27"/>
    <x v="138"/>
    <x v="99"/>
    <x v="29"/>
    <x v="172"/>
    <x v="28"/>
    <x v="109"/>
    <x v="169"/>
    <x v="25"/>
    <x v="128"/>
    <x v="176"/>
    <x v="4"/>
    <x v="11"/>
    <x v="8"/>
  </r>
  <r>
    <x v="9"/>
    <x v="12"/>
    <x v="172"/>
    <x v="452"/>
    <x v="3"/>
    <x v="204"/>
    <x v="262"/>
    <x v="30"/>
    <x v="87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3"/>
    <x v="32"/>
    <x v="11"/>
  </r>
  <r>
    <x v="9"/>
    <x v="12"/>
    <x v="23"/>
    <x v="453"/>
    <x v="3"/>
    <x v="204"/>
    <x v="117"/>
    <x v="0"/>
    <x v="51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3"/>
    <x v="115"/>
    <x v="39"/>
  </r>
  <r>
    <x v="9"/>
    <x v="12"/>
    <x v="159"/>
    <x v="454"/>
    <x v="3"/>
    <x v="209"/>
    <x v="120"/>
    <x v="0"/>
    <x v="10"/>
    <x v="54"/>
    <x v="69"/>
    <x v="6"/>
    <x v="27"/>
    <x v="104"/>
    <x v="29"/>
    <x v="126"/>
    <x v="75"/>
    <x v="27"/>
    <x v="138"/>
    <x v="99"/>
    <x v="29"/>
    <x v="172"/>
    <x v="28"/>
    <x v="109"/>
    <x v="169"/>
    <x v="25"/>
    <x v="128"/>
    <x v="176"/>
    <x v="25"/>
    <x v="143"/>
    <x v="202"/>
  </r>
  <r>
    <x v="9"/>
    <x v="12"/>
    <x v="90"/>
    <x v="455"/>
    <x v="3"/>
    <x v="206"/>
    <x v="119"/>
    <x v="0"/>
    <x v="15"/>
    <x v="54"/>
    <x v="69"/>
    <x v="8"/>
    <x v="27"/>
    <x v="104"/>
    <x v="29"/>
    <x v="126"/>
    <x v="75"/>
    <x v="27"/>
    <x v="138"/>
    <x v="99"/>
    <x v="29"/>
    <x v="172"/>
    <x v="28"/>
    <x v="109"/>
    <x v="169"/>
    <x v="25"/>
    <x v="128"/>
    <x v="176"/>
    <x v="1"/>
    <x v="48"/>
    <x v="6"/>
  </r>
  <r>
    <x v="9"/>
    <x v="12"/>
    <x v="282"/>
    <x v="456"/>
    <x v="3"/>
    <x v="205"/>
    <x v="263"/>
    <x v="31"/>
    <x v="9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"/>
    <x v="40"/>
    <x v="10"/>
  </r>
  <r>
    <x v="9"/>
    <x v="12"/>
    <x v="325"/>
    <x v="457"/>
    <x v="3"/>
    <x v="161"/>
    <x v="232"/>
    <x v="30"/>
    <x v="1"/>
    <x v="54"/>
    <x v="69"/>
    <x v="42"/>
    <x v="27"/>
    <x v="104"/>
    <x v="29"/>
    <x v="126"/>
    <x v="75"/>
    <x v="27"/>
    <x v="138"/>
    <x v="99"/>
    <x v="29"/>
    <x v="172"/>
    <x v="28"/>
    <x v="109"/>
    <x v="169"/>
    <x v="23"/>
    <x v="1"/>
    <x v="1"/>
    <x v="24"/>
    <x v="1"/>
    <x v="1"/>
  </r>
  <r>
    <x v="9"/>
    <x v="12"/>
    <x v="142"/>
    <x v="458"/>
    <x v="3"/>
    <x v="209"/>
    <x v="267"/>
    <x v="30"/>
    <x v="98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25"/>
    <x v="143"/>
    <x v="202"/>
  </r>
  <r>
    <x v="9"/>
    <x v="12"/>
    <x v="215"/>
    <x v="459"/>
    <x v="3"/>
    <x v="206"/>
    <x v="264"/>
    <x v="32"/>
    <x v="162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"/>
    <x v="102"/>
    <x v="15"/>
  </r>
  <r>
    <x v="9"/>
    <x v="12"/>
    <x v="338"/>
    <x v="460"/>
    <x v="3"/>
    <x v="206"/>
    <x v="264"/>
    <x v="30"/>
    <x v="115"/>
    <x v="54"/>
    <x v="69"/>
    <x v="42"/>
    <x v="27"/>
    <x v="104"/>
    <x v="29"/>
    <x v="126"/>
    <x v="75"/>
    <x v="27"/>
    <x v="138"/>
    <x v="99"/>
    <x v="29"/>
    <x v="172"/>
    <x v="28"/>
    <x v="109"/>
    <x v="169"/>
    <x v="25"/>
    <x v="128"/>
    <x v="176"/>
    <x v="1"/>
    <x v="58"/>
    <x v="9"/>
  </r>
  <r>
    <x v="9"/>
    <x v="12"/>
    <x v="299"/>
    <x v="461"/>
    <x v="3"/>
    <x v="206"/>
    <x v="118"/>
    <x v="0"/>
    <x v="17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1"/>
    <x v="56"/>
    <x v="7"/>
  </r>
  <r>
    <x v="9"/>
    <x v="12"/>
    <x v="131"/>
    <x v="462"/>
    <x v="3"/>
    <x v="206"/>
    <x v="118"/>
    <x v="0"/>
    <x v="37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1"/>
    <x v="97"/>
    <x v="13"/>
  </r>
  <r>
    <x v="9"/>
    <x v="12"/>
    <x v="291"/>
    <x v="463"/>
    <x v="3"/>
    <x v="207"/>
    <x v="119"/>
    <x v="0"/>
    <x v="7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0"/>
    <x v="20"/>
    <x v="2"/>
  </r>
  <r>
    <x v="9"/>
    <x v="12"/>
    <x v="50"/>
    <x v="464"/>
    <x v="3"/>
    <x v="207"/>
    <x v="119"/>
    <x v="0"/>
    <x v="14"/>
    <x v="54"/>
    <x v="69"/>
    <x v="7"/>
    <x v="27"/>
    <x v="104"/>
    <x v="29"/>
    <x v="126"/>
    <x v="75"/>
    <x v="27"/>
    <x v="138"/>
    <x v="99"/>
    <x v="29"/>
    <x v="172"/>
    <x v="28"/>
    <x v="109"/>
    <x v="169"/>
    <x v="25"/>
    <x v="128"/>
    <x v="176"/>
    <x v="0"/>
    <x v="47"/>
    <x v="3"/>
  </r>
  <r>
    <x v="9"/>
    <x v="12"/>
    <x v="32"/>
    <x v="465"/>
    <x v="3"/>
    <x v="208"/>
    <x v="139"/>
    <x v="17"/>
    <x v="62"/>
    <x v="54"/>
    <x v="69"/>
    <x v="19"/>
    <x v="27"/>
    <x v="104"/>
    <x v="29"/>
    <x v="126"/>
    <x v="75"/>
    <x v="27"/>
    <x v="138"/>
    <x v="99"/>
    <x v="29"/>
    <x v="172"/>
    <x v="28"/>
    <x v="109"/>
    <x v="169"/>
    <x v="25"/>
    <x v="128"/>
    <x v="176"/>
    <x v="25"/>
    <x v="143"/>
    <x v="2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42">
  <r>
    <x v="3"/>
    <x v="15"/>
    <x v="49"/>
    <x v="0"/>
    <x v="53"/>
    <x v="23"/>
    <x v="14"/>
    <x v="22"/>
    <x v="1"/>
  </r>
  <r>
    <x v="3"/>
    <x v="15"/>
    <x v="50"/>
    <x v="0"/>
    <x v="213"/>
    <x v="251"/>
    <x v="14"/>
    <x v="250"/>
    <x v="0"/>
  </r>
  <r>
    <x v="3"/>
    <x v="16"/>
    <x v="51"/>
    <x v="0"/>
    <x v="53"/>
    <x v="99"/>
    <x v="14"/>
    <x v="93"/>
    <x v="1"/>
  </r>
  <r>
    <x v="3"/>
    <x v="16"/>
    <x v="52"/>
    <x v="0"/>
    <x v="150"/>
    <x v="60"/>
    <x v="14"/>
    <x v="58"/>
    <x v="0"/>
  </r>
  <r>
    <x v="3"/>
    <x v="17"/>
    <x v="53"/>
    <x v="0"/>
    <x v="53"/>
    <x v="59"/>
    <x v="14"/>
    <x v="53"/>
    <x v="1"/>
  </r>
  <r>
    <x v="3"/>
    <x v="17"/>
    <x v="54"/>
    <x v="0"/>
    <x v="89"/>
    <x v="69"/>
    <x v="14"/>
    <x v="64"/>
    <x v="0"/>
  </r>
  <r>
    <x v="3"/>
    <x v="18"/>
    <x v="55"/>
    <x v="0"/>
    <x v="9"/>
    <x v="175"/>
    <x v="14"/>
    <x v="168"/>
    <x v="0"/>
  </r>
  <r>
    <x v="3"/>
    <x v="18"/>
    <x v="56"/>
    <x v="0"/>
    <x v="53"/>
    <x v="26"/>
    <x v="14"/>
    <x v="26"/>
    <x v="1"/>
  </r>
  <r>
    <x v="3"/>
    <x v="19"/>
    <x v="57"/>
    <x v="0"/>
    <x v="27"/>
    <x v="103"/>
    <x v="14"/>
    <x v="97"/>
    <x v="0"/>
  </r>
  <r>
    <x v="3"/>
    <x v="20"/>
    <x v="58"/>
    <x v="0"/>
    <x v="53"/>
    <x v="72"/>
    <x v="14"/>
    <x v="67"/>
    <x v="1"/>
  </r>
  <r>
    <x v="3"/>
    <x v="20"/>
    <x v="59"/>
    <x v="0"/>
    <x v="127"/>
    <x v="235"/>
    <x v="14"/>
    <x v="231"/>
    <x v="0"/>
  </r>
  <r>
    <x v="3"/>
    <x v="21"/>
    <x v="60"/>
    <x v="0"/>
    <x v="318"/>
    <x v="188"/>
    <x v="14"/>
    <x v="182"/>
    <x v="0"/>
  </r>
  <r>
    <x v="3"/>
    <x v="22"/>
    <x v="61"/>
    <x v="0"/>
    <x v="53"/>
    <x v="39"/>
    <x v="14"/>
    <x v="34"/>
    <x v="1"/>
  </r>
  <r>
    <x v="3"/>
    <x v="22"/>
    <x v="62"/>
    <x v="0"/>
    <x v="183"/>
    <x v="60"/>
    <x v="14"/>
    <x v="58"/>
    <x v="0"/>
  </r>
  <r>
    <x v="3"/>
    <x v="23"/>
    <x v="63"/>
    <x v="0"/>
    <x v="53"/>
    <x v="33"/>
    <x v="14"/>
    <x v="33"/>
    <x v="1"/>
  </r>
  <r>
    <x v="3"/>
    <x v="23"/>
    <x v="64"/>
    <x v="0"/>
    <x v="4"/>
    <x v="163"/>
    <x v="14"/>
    <x v="152"/>
    <x v="0"/>
  </r>
  <r>
    <x v="3"/>
    <x v="24"/>
    <x v="65"/>
    <x v="0"/>
    <x v="53"/>
    <x v="58"/>
    <x v="14"/>
    <x v="52"/>
    <x v="1"/>
  </r>
  <r>
    <x v="3"/>
    <x v="24"/>
    <x v="66"/>
    <x v="0"/>
    <x v="304"/>
    <x v="92"/>
    <x v="14"/>
    <x v="86"/>
    <x v="0"/>
  </r>
  <r>
    <x v="3"/>
    <x v="25"/>
    <x v="67"/>
    <x v="0"/>
    <x v="53"/>
    <x v="67"/>
    <x v="14"/>
    <x v="62"/>
    <x v="1"/>
  </r>
  <r>
    <x v="4"/>
    <x v="26"/>
    <x v="68"/>
    <x v="0"/>
    <x v="11"/>
    <x v="205"/>
    <x v="14"/>
    <x v="200"/>
    <x v="0"/>
  </r>
  <r>
    <x v="4"/>
    <x v="27"/>
    <x v="69"/>
    <x v="0"/>
    <x v="53"/>
    <x v="84"/>
    <x v="14"/>
    <x v="75"/>
    <x v="1"/>
  </r>
  <r>
    <x v="4"/>
    <x v="27"/>
    <x v="70"/>
    <x v="0"/>
    <x v="111"/>
    <x v="178"/>
    <x v="14"/>
    <x v="172"/>
    <x v="0"/>
  </r>
  <r>
    <x v="4"/>
    <x v="28"/>
    <x v="71"/>
    <x v="0"/>
    <x v="53"/>
    <x v="30"/>
    <x v="14"/>
    <x v="28"/>
    <x v="1"/>
  </r>
  <r>
    <x v="4"/>
    <x v="28"/>
    <x v="72"/>
    <x v="0"/>
    <x v="215"/>
    <x v="69"/>
    <x v="14"/>
    <x v="64"/>
    <x v="0"/>
  </r>
  <r>
    <x v="4"/>
    <x v="29"/>
    <x v="73"/>
    <x v="0"/>
    <x v="150"/>
    <x v="60"/>
    <x v="14"/>
    <x v="58"/>
    <x v="0"/>
  </r>
  <r>
    <x v="4"/>
    <x v="30"/>
    <x v="74"/>
    <x v="0"/>
    <x v="53"/>
    <x v="64"/>
    <x v="14"/>
    <x v="60"/>
    <x v="1"/>
  </r>
  <r>
    <x v="4"/>
    <x v="30"/>
    <x v="75"/>
    <x v="0"/>
    <x v="89"/>
    <x v="69"/>
    <x v="14"/>
    <x v="64"/>
    <x v="0"/>
  </r>
  <r>
    <x v="4"/>
    <x v="31"/>
    <x v="76"/>
    <x v="0"/>
    <x v="53"/>
    <x v="31"/>
    <x v="14"/>
    <x v="29"/>
    <x v="1"/>
  </r>
  <r>
    <x v="4"/>
    <x v="31"/>
    <x v="77"/>
    <x v="0"/>
    <x v="197"/>
    <x v="245"/>
    <x v="14"/>
    <x v="235"/>
    <x v="0"/>
  </r>
  <r>
    <x v="4"/>
    <x v="32"/>
    <x v="78"/>
    <x v="0"/>
    <x v="53"/>
    <x v="75"/>
    <x v="14"/>
    <x v="69"/>
    <x v="1"/>
  </r>
  <r>
    <x v="4"/>
    <x v="32"/>
    <x v="79"/>
    <x v="0"/>
    <x v="157"/>
    <x v="273"/>
    <x v="14"/>
    <x v="275"/>
    <x v="0"/>
  </r>
  <r>
    <x v="4"/>
    <x v="33"/>
    <x v="80"/>
    <x v="0"/>
    <x v="201"/>
    <x v="245"/>
    <x v="14"/>
    <x v="235"/>
    <x v="0"/>
  </r>
  <r>
    <x v="4"/>
    <x v="34"/>
    <x v="81"/>
    <x v="0"/>
    <x v="53"/>
    <x v="42"/>
    <x v="14"/>
    <x v="38"/>
    <x v="1"/>
  </r>
  <r>
    <x v="4"/>
    <x v="34"/>
    <x v="82"/>
    <x v="0"/>
    <x v="97"/>
    <x v="212"/>
    <x v="14"/>
    <x v="208"/>
    <x v="0"/>
  </r>
  <r>
    <x v="4"/>
    <x v="35"/>
    <x v="83"/>
    <x v="0"/>
    <x v="53"/>
    <x v="47"/>
    <x v="14"/>
    <x v="43"/>
    <x v="1"/>
  </r>
  <r>
    <x v="4"/>
    <x v="35"/>
    <x v="84"/>
    <x v="0"/>
    <x v="183"/>
    <x v="60"/>
    <x v="14"/>
    <x v="58"/>
    <x v="0"/>
  </r>
  <r>
    <x v="4"/>
    <x v="36"/>
    <x v="85"/>
    <x v="0"/>
    <x v="53"/>
    <x v="14"/>
    <x v="14"/>
    <x v="27"/>
    <x v="1"/>
  </r>
  <r>
    <x v="4"/>
    <x v="36"/>
    <x v="86"/>
    <x v="0"/>
    <x v="336"/>
    <x v="113"/>
    <x v="83"/>
    <x v="114"/>
    <x v="0"/>
  </r>
  <r>
    <x v="4"/>
    <x v="36"/>
    <x v="87"/>
    <x v="0"/>
    <x v="291"/>
    <x v="204"/>
    <x v="169"/>
    <x v="208"/>
    <x v="0"/>
  </r>
  <r>
    <x v="4"/>
    <x v="36"/>
    <x v="88"/>
    <x v="0"/>
    <x v="103"/>
    <x v="177"/>
    <x v="142"/>
    <x v="180"/>
    <x v="0"/>
  </r>
  <r>
    <x v="4"/>
    <x v="37"/>
    <x v="89"/>
    <x v="0"/>
    <x v="53"/>
    <x v="19"/>
    <x v="18"/>
    <x v="19"/>
    <x v="1"/>
  </r>
  <r>
    <x v="4"/>
    <x v="37"/>
    <x v="90"/>
    <x v="0"/>
    <x v="229"/>
    <x v="94"/>
    <x v="66"/>
    <x v="97"/>
    <x v="0"/>
  </r>
  <r>
    <x v="4"/>
    <x v="38"/>
    <x v="91"/>
    <x v="0"/>
    <x v="53"/>
    <x v="41"/>
    <x v="29"/>
    <x v="44"/>
    <x v="1"/>
  </r>
  <r>
    <x v="4"/>
    <x v="38"/>
    <x v="92"/>
    <x v="0"/>
    <x v="270"/>
    <x v="137"/>
    <x v="104"/>
    <x v="138"/>
    <x v="0"/>
  </r>
  <r>
    <x v="4"/>
    <x v="38"/>
    <x v="93"/>
    <x v="0"/>
    <x v="285"/>
    <x v="230"/>
    <x v="194"/>
    <x v="235"/>
    <x v="0"/>
  </r>
  <r>
    <x v="4"/>
    <x v="39"/>
    <x v="94"/>
    <x v="0"/>
    <x v="316"/>
    <x v="94"/>
    <x v="66"/>
    <x v="97"/>
    <x v="0"/>
  </r>
  <r>
    <x v="4"/>
    <x v="40"/>
    <x v="95"/>
    <x v="0"/>
    <x v="53"/>
    <x v="29"/>
    <x v="22"/>
    <x v="32"/>
    <x v="1"/>
  </r>
  <r>
    <x v="4"/>
    <x v="40"/>
    <x v="96"/>
    <x v="0"/>
    <x v="304"/>
    <x v="84"/>
    <x v="58"/>
    <x v="86"/>
    <x v="0"/>
  </r>
  <r>
    <x v="4"/>
    <x v="41"/>
    <x v="97"/>
    <x v="0"/>
    <x v="281"/>
    <x v="171"/>
    <x v="136"/>
    <x v="174"/>
    <x v="0"/>
  </r>
  <r>
    <x v="4"/>
    <x v="42"/>
    <x v="98"/>
    <x v="0"/>
    <x v="53"/>
    <x v="28"/>
    <x v="22"/>
    <x v="31"/>
    <x v="1"/>
  </r>
  <r>
    <x v="4"/>
    <x v="42"/>
    <x v="99"/>
    <x v="0"/>
    <x v="31"/>
    <x v="38"/>
    <x v="26"/>
    <x v="41"/>
    <x v="0"/>
  </r>
  <r>
    <x v="5"/>
    <x v="43"/>
    <x v="100"/>
    <x v="0"/>
    <x v="53"/>
    <x v="53"/>
    <x v="38"/>
    <x v="55"/>
    <x v="1"/>
  </r>
  <r>
    <x v="5"/>
    <x v="43"/>
    <x v="101"/>
    <x v="0"/>
    <x v="47"/>
    <x v="129"/>
    <x v="97"/>
    <x v="131"/>
    <x v="0"/>
  </r>
  <r>
    <x v="5"/>
    <x v="43"/>
    <x v="102"/>
    <x v="0"/>
    <x v="31"/>
    <x v="38"/>
    <x v="26"/>
    <x v="41"/>
    <x v="0"/>
  </r>
  <r>
    <x v="5"/>
    <x v="44"/>
    <x v="103"/>
    <x v="1"/>
    <x v="339"/>
    <x v="214"/>
    <x v="178"/>
    <x v="217"/>
    <x v="0"/>
  </r>
  <r>
    <x v="5"/>
    <x v="44"/>
    <x v="104"/>
    <x v="0"/>
    <x v="53"/>
    <x v="19"/>
    <x v="18"/>
    <x v="18"/>
    <x v="1"/>
  </r>
  <r>
    <x v="5"/>
    <x v="45"/>
    <x v="105"/>
    <x v="0"/>
    <x v="137"/>
    <x v="144"/>
    <x v="111"/>
    <x v="145"/>
    <x v="0"/>
  </r>
  <r>
    <x v="5"/>
    <x v="46"/>
    <x v="106"/>
    <x v="0"/>
    <x v="53"/>
    <x v="27"/>
    <x v="21"/>
    <x v="30"/>
    <x v="1"/>
  </r>
  <r>
    <x v="5"/>
    <x v="46"/>
    <x v="107"/>
    <x v="0"/>
    <x v="76"/>
    <x v="122"/>
    <x v="92"/>
    <x v="125"/>
    <x v="0"/>
  </r>
  <r>
    <x v="5"/>
    <x v="46"/>
    <x v="108"/>
    <x v="0"/>
    <x v="31"/>
    <x v="38"/>
    <x v="26"/>
    <x v="41"/>
    <x v="0"/>
  </r>
  <r>
    <x v="5"/>
    <x v="47"/>
    <x v="109"/>
    <x v="0"/>
    <x v="53"/>
    <x v="52"/>
    <x v="38"/>
    <x v="54"/>
    <x v="1"/>
  </r>
  <r>
    <x v="5"/>
    <x v="47"/>
    <x v="110"/>
    <x v="0"/>
    <x v="183"/>
    <x v="56"/>
    <x v="39"/>
    <x v="58"/>
    <x v="0"/>
  </r>
  <r>
    <x v="5"/>
    <x v="48"/>
    <x v="111"/>
    <x v="0"/>
    <x v="53"/>
    <x v="49"/>
    <x v="35"/>
    <x v="49"/>
    <x v="1"/>
  </r>
  <r>
    <x v="5"/>
    <x v="48"/>
    <x v="112"/>
    <x v="0"/>
    <x v="3"/>
    <x v="213"/>
    <x v="177"/>
    <x v="216"/>
    <x v="0"/>
  </r>
  <r>
    <x v="5"/>
    <x v="49"/>
    <x v="113"/>
    <x v="0"/>
    <x v="89"/>
    <x v="62"/>
    <x v="45"/>
    <x v="64"/>
    <x v="0"/>
  </r>
  <r>
    <x v="5"/>
    <x v="50"/>
    <x v="114"/>
    <x v="0"/>
    <x v="53"/>
    <x v="80"/>
    <x v="56"/>
    <x v="82"/>
    <x v="1"/>
  </r>
  <r>
    <x v="5"/>
    <x v="50"/>
    <x v="115"/>
    <x v="0"/>
    <x v="199"/>
    <x v="258"/>
    <x v="220"/>
    <x v="262"/>
    <x v="0"/>
  </r>
  <r>
    <x v="5"/>
    <x v="51"/>
    <x v="116"/>
    <x v="0"/>
    <x v="53"/>
    <x v="35"/>
    <x v="24"/>
    <x v="40"/>
    <x v="1"/>
  </r>
  <r>
    <x v="5"/>
    <x v="51"/>
    <x v="117"/>
    <x v="1"/>
    <x v="237"/>
    <x v="230"/>
    <x v="194"/>
    <x v="235"/>
    <x v="0"/>
  </r>
  <r>
    <x v="5"/>
    <x v="51"/>
    <x v="118"/>
    <x v="0"/>
    <x v="195"/>
    <x v="129"/>
    <x v="97"/>
    <x v="131"/>
    <x v="0"/>
  </r>
  <r>
    <x v="5"/>
    <x v="52"/>
    <x v="119"/>
    <x v="0"/>
    <x v="96"/>
    <x v="102"/>
    <x v="73"/>
    <x v="103"/>
    <x v="0"/>
  </r>
  <r>
    <x v="5"/>
    <x v="52"/>
    <x v="120"/>
    <x v="0"/>
    <x v="43"/>
    <x v="229"/>
    <x v="193"/>
    <x v="234"/>
    <x v="0"/>
  </r>
  <r>
    <x v="5"/>
    <x v="52"/>
    <x v="121"/>
    <x v="0"/>
    <x v="87"/>
    <x v="155"/>
    <x v="122"/>
    <x v="157"/>
    <x v="0"/>
  </r>
  <r>
    <x v="5"/>
    <x v="53"/>
    <x v="122"/>
    <x v="0"/>
    <x v="53"/>
    <x v="20"/>
    <x v="18"/>
    <x v="20"/>
    <x v="1"/>
  </r>
  <r>
    <x v="5"/>
    <x v="53"/>
    <x v="123"/>
    <x v="0"/>
    <x v="275"/>
    <x v="257"/>
    <x v="219"/>
    <x v="261"/>
    <x v="0"/>
  </r>
  <r>
    <x v="5"/>
    <x v="53"/>
    <x v="124"/>
    <x v="0"/>
    <x v="71"/>
    <x v="117"/>
    <x v="87"/>
    <x v="119"/>
    <x v="0"/>
  </r>
  <r>
    <x v="5"/>
    <x v="54"/>
    <x v="125"/>
    <x v="0"/>
    <x v="270"/>
    <x v="137"/>
    <x v="104"/>
    <x v="138"/>
    <x v="0"/>
  </r>
  <r>
    <x v="5"/>
    <x v="55"/>
    <x v="126"/>
    <x v="0"/>
    <x v="53"/>
    <x v="91"/>
    <x v="64"/>
    <x v="94"/>
    <x v="1"/>
  </r>
  <r>
    <x v="5"/>
    <x v="55"/>
    <x v="127"/>
    <x v="0"/>
    <x v="198"/>
    <x v="188"/>
    <x v="153"/>
    <x v="191"/>
    <x v="0"/>
  </r>
  <r>
    <x v="5"/>
    <x v="56"/>
    <x v="128"/>
    <x v="0"/>
    <x v="304"/>
    <x v="84"/>
    <x v="58"/>
    <x v="86"/>
    <x v="0"/>
  </r>
  <r>
    <x v="5"/>
    <x v="56"/>
    <x v="129"/>
    <x v="0"/>
    <x v="53"/>
    <x v="54"/>
    <x v="39"/>
    <x v="56"/>
    <x v="1"/>
  </r>
  <r>
    <x v="6"/>
    <x v="57"/>
    <x v="130"/>
    <x v="0"/>
    <x v="53"/>
    <x v="45"/>
    <x v="31"/>
    <x v="46"/>
    <x v="1"/>
  </r>
  <r>
    <x v="6"/>
    <x v="58"/>
    <x v="131"/>
    <x v="0"/>
    <x v="110"/>
    <x v="118"/>
    <x v="88"/>
    <x v="120"/>
    <x v="0"/>
  </r>
  <r>
    <x v="6"/>
    <x v="59"/>
    <x v="132"/>
    <x v="0"/>
    <x v="53"/>
    <x v="51"/>
    <x v="37"/>
    <x v="51"/>
    <x v="1"/>
  </r>
  <r>
    <x v="6"/>
    <x v="60"/>
    <x v="133"/>
    <x v="0"/>
    <x v="118"/>
    <x v="103"/>
    <x v="73"/>
    <x v="104"/>
    <x v="0"/>
  </r>
  <r>
    <x v="6"/>
    <x v="60"/>
    <x v="134"/>
    <x v="0"/>
    <x v="183"/>
    <x v="56"/>
    <x v="39"/>
    <x v="58"/>
    <x v="0"/>
  </r>
  <r>
    <x v="6"/>
    <x v="61"/>
    <x v="135"/>
    <x v="0"/>
    <x v="53"/>
    <x v="79"/>
    <x v="55"/>
    <x v="81"/>
    <x v="1"/>
  </r>
  <r>
    <x v="6"/>
    <x v="61"/>
    <x v="136"/>
    <x v="0"/>
    <x v="89"/>
    <x v="62"/>
    <x v="43"/>
    <x v="64"/>
    <x v="0"/>
  </r>
  <r>
    <x v="6"/>
    <x v="62"/>
    <x v="137"/>
    <x v="0"/>
    <x v="98"/>
    <x v="139"/>
    <x v="106"/>
    <x v="140"/>
    <x v="0"/>
  </r>
  <r>
    <x v="6"/>
    <x v="62"/>
    <x v="138"/>
    <x v="0"/>
    <x v="188"/>
    <x v="103"/>
    <x v="73"/>
    <x v="104"/>
    <x v="0"/>
  </r>
  <r>
    <x v="6"/>
    <x v="63"/>
    <x v="139"/>
    <x v="0"/>
    <x v="53"/>
    <x v="46"/>
    <x v="32"/>
    <x v="47"/>
    <x v="1"/>
  </r>
  <r>
    <x v="6"/>
    <x v="63"/>
    <x v="140"/>
    <x v="0"/>
    <x v="355"/>
    <x v="69"/>
    <x v="48"/>
    <x v="70"/>
    <x v="0"/>
  </r>
  <r>
    <x v="6"/>
    <x v="64"/>
    <x v="141"/>
    <x v="0"/>
    <x v="53"/>
    <x v="82"/>
    <x v="58"/>
    <x v="84"/>
    <x v="1"/>
  </r>
  <r>
    <x v="6"/>
    <x v="64"/>
    <x v="142"/>
    <x v="0"/>
    <x v="199"/>
    <x v="258"/>
    <x v="220"/>
    <x v="262"/>
    <x v="0"/>
  </r>
  <r>
    <x v="6"/>
    <x v="65"/>
    <x v="143"/>
    <x v="0"/>
    <x v="229"/>
    <x v="150"/>
    <x v="117"/>
    <x v="151"/>
    <x v="0"/>
  </r>
  <r>
    <x v="6"/>
    <x v="66"/>
    <x v="144"/>
    <x v="0"/>
    <x v="53"/>
    <x v="22"/>
    <x v="20"/>
    <x v="25"/>
    <x v="1"/>
  </r>
  <r>
    <x v="6"/>
    <x v="66"/>
    <x v="145"/>
    <x v="0"/>
    <x v="327"/>
    <x v="175"/>
    <x v="141"/>
    <x v="178"/>
    <x v="0"/>
  </r>
  <r>
    <x v="6"/>
    <x v="66"/>
    <x v="146"/>
    <x v="0"/>
    <x v="125"/>
    <x v="263"/>
    <x v="225"/>
    <x v="267"/>
    <x v="0"/>
  </r>
  <r>
    <x v="6"/>
    <x v="66"/>
    <x v="147"/>
    <x v="0"/>
    <x v="96"/>
    <x v="216"/>
    <x v="180"/>
    <x v="219"/>
    <x v="0"/>
  </r>
  <r>
    <x v="6"/>
    <x v="67"/>
    <x v="148"/>
    <x v="0"/>
    <x v="299"/>
    <x v="167"/>
    <x v="133"/>
    <x v="169"/>
    <x v="0"/>
  </r>
  <r>
    <x v="6"/>
    <x v="68"/>
    <x v="149"/>
    <x v="0"/>
    <x v="142"/>
    <x v="112"/>
    <x v="82"/>
    <x v="113"/>
    <x v="0"/>
  </r>
  <r>
    <x v="6"/>
    <x v="68"/>
    <x v="150"/>
    <x v="0"/>
    <x v="27"/>
    <x v="237"/>
    <x v="200"/>
    <x v="241"/>
    <x v="0"/>
  </r>
  <r>
    <x v="6"/>
    <x v="69"/>
    <x v="151"/>
    <x v="0"/>
    <x v="257"/>
    <x v="103"/>
    <x v="73"/>
    <x v="104"/>
    <x v="0"/>
  </r>
  <r>
    <x v="6"/>
    <x v="70"/>
    <x v="152"/>
    <x v="0"/>
    <x v="53"/>
    <x v="34"/>
    <x v="24"/>
    <x v="37"/>
    <x v="1"/>
  </r>
  <r>
    <x v="6"/>
    <x v="70"/>
    <x v="153"/>
    <x v="0"/>
    <x v="112"/>
    <x v="258"/>
    <x v="220"/>
    <x v="262"/>
    <x v="0"/>
  </r>
  <r>
    <x v="6"/>
    <x v="70"/>
    <x v="154"/>
    <x v="1"/>
    <x v="43"/>
    <x v="50"/>
    <x v="36"/>
    <x v="50"/>
    <x v="0"/>
  </r>
  <r>
    <x v="6"/>
    <x v="71"/>
    <x v="155"/>
    <x v="0"/>
    <x v="53"/>
    <x v="21"/>
    <x v="19"/>
    <x v="21"/>
    <x v="1"/>
  </r>
  <r>
    <x v="6"/>
    <x v="71"/>
    <x v="156"/>
    <x v="0"/>
    <x v="141"/>
    <x v="237"/>
    <x v="200"/>
    <x v="241"/>
    <x v="0"/>
  </r>
  <r>
    <x v="6"/>
    <x v="71"/>
    <x v="157"/>
    <x v="0"/>
    <x v="62"/>
    <x v="195"/>
    <x v="160"/>
    <x v="198"/>
    <x v="0"/>
  </r>
  <r>
    <x v="6"/>
    <x v="72"/>
    <x v="158"/>
    <x v="0"/>
    <x v="55"/>
    <x v="117"/>
    <x v="87"/>
    <x v="119"/>
    <x v="0"/>
  </r>
  <r>
    <x v="6"/>
    <x v="72"/>
    <x v="159"/>
    <x v="0"/>
    <x v="21"/>
    <x v="228"/>
    <x v="192"/>
    <x v="233"/>
    <x v="0"/>
  </r>
  <r>
    <x v="6"/>
    <x v="72"/>
    <x v="160"/>
    <x v="0"/>
    <x v="307"/>
    <x v="69"/>
    <x v="48"/>
    <x v="70"/>
    <x v="0"/>
  </r>
  <r>
    <x v="6"/>
    <x v="72"/>
    <x v="161"/>
    <x v="0"/>
    <x v="210"/>
    <x v="244"/>
    <x v="207"/>
    <x v="248"/>
    <x v="0"/>
  </r>
  <r>
    <x v="6"/>
    <x v="73"/>
    <x v="162"/>
    <x v="0"/>
    <x v="53"/>
    <x v="49"/>
    <x v="35"/>
    <x v="49"/>
    <x v="1"/>
  </r>
  <r>
    <x v="6"/>
    <x v="73"/>
    <x v="163"/>
    <x v="0"/>
    <x v="66"/>
    <x v="175"/>
    <x v="141"/>
    <x v="178"/>
    <x v="0"/>
  </r>
  <r>
    <x v="6"/>
    <x v="74"/>
    <x v="164"/>
    <x v="0"/>
    <x v="18"/>
    <x v="179"/>
    <x v="144"/>
    <x v="181"/>
    <x v="0"/>
  </r>
  <r>
    <x v="6"/>
    <x v="75"/>
    <x v="165"/>
    <x v="0"/>
    <x v="53"/>
    <x v="46"/>
    <x v="32"/>
    <x v="47"/>
    <x v="1"/>
  </r>
  <r>
    <x v="6"/>
    <x v="75"/>
    <x v="166"/>
    <x v="0"/>
    <x v="353"/>
    <x v="287"/>
    <x v="247"/>
    <x v="291"/>
    <x v="0"/>
  </r>
  <r>
    <x v="6"/>
    <x v="75"/>
    <x v="167"/>
    <x v="0"/>
    <x v="304"/>
    <x v="84"/>
    <x v="58"/>
    <x v="86"/>
    <x v="0"/>
  </r>
  <r>
    <x v="6"/>
    <x v="76"/>
    <x v="168"/>
    <x v="0"/>
    <x v="270"/>
    <x v="137"/>
    <x v="104"/>
    <x v="138"/>
    <x v="0"/>
  </r>
  <r>
    <x v="6"/>
    <x v="76"/>
    <x v="169"/>
    <x v="0"/>
    <x v="256"/>
    <x v="158"/>
    <x v="125"/>
    <x v="160"/>
    <x v="0"/>
  </r>
  <r>
    <x v="6"/>
    <x v="76"/>
    <x v="170"/>
    <x v="0"/>
    <x v="276"/>
    <x v="94"/>
    <x v="68"/>
    <x v="97"/>
    <x v="0"/>
  </r>
  <r>
    <x v="6"/>
    <x v="76"/>
    <x v="171"/>
    <x v="0"/>
    <x v="205"/>
    <x v="69"/>
    <x v="48"/>
    <x v="70"/>
    <x v="0"/>
  </r>
  <r>
    <x v="6"/>
    <x v="76"/>
    <x v="172"/>
    <x v="0"/>
    <x v="53"/>
    <x v="130"/>
    <x v="98"/>
    <x v="132"/>
    <x v="1"/>
  </r>
  <r>
    <x v="7"/>
    <x v="77"/>
    <x v="173"/>
    <x v="0"/>
    <x v="321"/>
    <x v="188"/>
    <x v="153"/>
    <x v="191"/>
    <x v="0"/>
  </r>
  <r>
    <x v="7"/>
    <x v="77"/>
    <x v="174"/>
    <x v="0"/>
    <x v="58"/>
    <x v="149"/>
    <x v="116"/>
    <x v="150"/>
    <x v="0"/>
  </r>
  <r>
    <x v="7"/>
    <x v="78"/>
    <x v="175"/>
    <x v="0"/>
    <x v="338"/>
    <x v="279"/>
    <x v="239"/>
    <x v="283"/>
    <x v="0"/>
  </r>
  <r>
    <x v="7"/>
    <x v="78"/>
    <x v="176"/>
    <x v="0"/>
    <x v="174"/>
    <x v="149"/>
    <x v="116"/>
    <x v="150"/>
    <x v="0"/>
  </r>
  <r>
    <x v="7"/>
    <x v="79"/>
    <x v="177"/>
    <x v="1"/>
    <x v="333"/>
    <x v="216"/>
    <x v="180"/>
    <x v="219"/>
    <x v="0"/>
  </r>
  <r>
    <x v="7"/>
    <x v="80"/>
    <x v="178"/>
    <x v="0"/>
    <x v="327"/>
    <x v="32"/>
    <x v="23"/>
    <x v="35"/>
    <x v="0"/>
  </r>
  <r>
    <x v="7"/>
    <x v="81"/>
    <x v="179"/>
    <x v="0"/>
    <x v="328"/>
    <x v="92"/>
    <x v="65"/>
    <x v="96"/>
    <x v="0"/>
  </r>
  <r>
    <x v="7"/>
    <x v="81"/>
    <x v="180"/>
    <x v="0"/>
    <x v="53"/>
    <x v="111"/>
    <x v="81"/>
    <x v="112"/>
    <x v="1"/>
  </r>
  <r>
    <x v="7"/>
    <x v="81"/>
    <x v="181"/>
    <x v="0"/>
    <x v="10"/>
    <x v="69"/>
    <x v="48"/>
    <x v="70"/>
    <x v="0"/>
  </r>
  <r>
    <x v="7"/>
    <x v="82"/>
    <x v="182"/>
    <x v="1"/>
    <x v="86"/>
    <x v="189"/>
    <x v="154"/>
    <x v="192"/>
    <x v="0"/>
  </r>
  <r>
    <x v="7"/>
    <x v="82"/>
    <x v="183"/>
    <x v="0"/>
    <x v="332"/>
    <x v="76"/>
    <x v="52"/>
    <x v="76"/>
    <x v="0"/>
  </r>
  <r>
    <x v="7"/>
    <x v="82"/>
    <x v="184"/>
    <x v="0"/>
    <x v="151"/>
    <x v="61"/>
    <x v="42"/>
    <x v="61"/>
    <x v="0"/>
  </r>
  <r>
    <x v="7"/>
    <x v="82"/>
    <x v="185"/>
    <x v="1"/>
    <x v="11"/>
    <x v="197"/>
    <x v="161"/>
    <x v="200"/>
    <x v="0"/>
  </r>
  <r>
    <x v="7"/>
    <x v="82"/>
    <x v="186"/>
    <x v="0"/>
    <x v="245"/>
    <x v="133"/>
    <x v="100"/>
    <x v="134"/>
    <x v="0"/>
  </r>
  <r>
    <x v="7"/>
    <x v="83"/>
    <x v="187"/>
    <x v="0"/>
    <x v="336"/>
    <x v="210"/>
    <x v="175"/>
    <x v="214"/>
    <x v="0"/>
  </r>
  <r>
    <x v="7"/>
    <x v="83"/>
    <x v="188"/>
    <x v="0"/>
    <x v="118"/>
    <x v="103"/>
    <x v="73"/>
    <x v="104"/>
    <x v="0"/>
  </r>
  <r>
    <x v="7"/>
    <x v="84"/>
    <x v="189"/>
    <x v="0"/>
    <x v="238"/>
    <x v="238"/>
    <x v="201"/>
    <x v="242"/>
    <x v="0"/>
  </r>
  <r>
    <x v="7"/>
    <x v="84"/>
    <x v="190"/>
    <x v="0"/>
    <x v="311"/>
    <x v="103"/>
    <x v="73"/>
    <x v="104"/>
    <x v="0"/>
  </r>
  <r>
    <x v="7"/>
    <x v="85"/>
    <x v="191"/>
    <x v="0"/>
    <x v="351"/>
    <x v="149"/>
    <x v="116"/>
    <x v="150"/>
    <x v="0"/>
  </r>
  <r>
    <x v="7"/>
    <x v="85"/>
    <x v="192"/>
    <x v="1"/>
    <x v="76"/>
    <x v="122"/>
    <x v="92"/>
    <x v="125"/>
    <x v="0"/>
  </r>
  <r>
    <x v="7"/>
    <x v="85"/>
    <x v="193"/>
    <x v="1"/>
    <x v="76"/>
    <x v="122"/>
    <x v="92"/>
    <x v="125"/>
    <x v="0"/>
  </r>
  <r>
    <x v="7"/>
    <x v="85"/>
    <x v="194"/>
    <x v="0"/>
    <x v="192"/>
    <x v="117"/>
    <x v="87"/>
    <x v="119"/>
    <x v="0"/>
  </r>
  <r>
    <x v="7"/>
    <x v="86"/>
    <x v="195"/>
    <x v="0"/>
    <x v="337"/>
    <x v="69"/>
    <x v="48"/>
    <x v="70"/>
    <x v="0"/>
  </r>
  <r>
    <x v="7"/>
    <x v="86"/>
    <x v="196"/>
    <x v="0"/>
    <x v="130"/>
    <x v="76"/>
    <x v="52"/>
    <x v="76"/>
    <x v="0"/>
  </r>
  <r>
    <x v="7"/>
    <x v="86"/>
    <x v="197"/>
    <x v="0"/>
    <x v="23"/>
    <x v="69"/>
    <x v="48"/>
    <x v="70"/>
    <x v="0"/>
  </r>
  <r>
    <x v="7"/>
    <x v="87"/>
    <x v="198"/>
    <x v="1"/>
    <x v="54"/>
    <x v="69"/>
    <x v="48"/>
    <x v="70"/>
    <x v="0"/>
  </r>
  <r>
    <x v="7"/>
    <x v="88"/>
    <x v="199"/>
    <x v="0"/>
    <x v="248"/>
    <x v="239"/>
    <x v="202"/>
    <x v="243"/>
    <x v="0"/>
  </r>
  <r>
    <x v="7"/>
    <x v="88"/>
    <x v="199"/>
    <x v="0"/>
    <x v="248"/>
    <x v="199"/>
    <x v="164"/>
    <x v="202"/>
    <x v="0"/>
  </r>
  <r>
    <x v="7"/>
    <x v="89"/>
    <x v="200"/>
    <x v="0"/>
    <x v="315"/>
    <x v="237"/>
    <x v="200"/>
    <x v="241"/>
    <x v="0"/>
  </r>
  <r>
    <x v="7"/>
    <x v="89"/>
    <x v="201"/>
    <x v="0"/>
    <x v="53"/>
    <x v="66"/>
    <x v="47"/>
    <x v="68"/>
    <x v="1"/>
  </r>
  <r>
    <x v="7"/>
    <x v="89"/>
    <x v="202"/>
    <x v="0"/>
    <x v="287"/>
    <x v="161"/>
    <x v="128"/>
    <x v="163"/>
    <x v="0"/>
  </r>
  <r>
    <x v="7"/>
    <x v="89"/>
    <x v="203"/>
    <x v="0"/>
    <x v="82"/>
    <x v="132"/>
    <x v="99"/>
    <x v="133"/>
    <x v="0"/>
  </r>
  <r>
    <x v="7"/>
    <x v="89"/>
    <x v="204"/>
    <x v="0"/>
    <x v="242"/>
    <x v="124"/>
    <x v="92"/>
    <x v="126"/>
    <x v="0"/>
  </r>
  <r>
    <x v="7"/>
    <x v="90"/>
    <x v="205"/>
    <x v="0"/>
    <x v="355"/>
    <x v="103"/>
    <x v="73"/>
    <x v="104"/>
    <x v="0"/>
  </r>
  <r>
    <x v="7"/>
    <x v="90"/>
    <x v="206"/>
    <x v="0"/>
    <x v="71"/>
    <x v="117"/>
    <x v="87"/>
    <x v="119"/>
    <x v="0"/>
  </r>
  <r>
    <x v="7"/>
    <x v="90"/>
    <x v="207"/>
    <x v="0"/>
    <x v="203"/>
    <x v="198"/>
    <x v="163"/>
    <x v="201"/>
    <x v="0"/>
  </r>
  <r>
    <x v="7"/>
    <x v="91"/>
    <x v="208"/>
    <x v="0"/>
    <x v="0"/>
    <x v="69"/>
    <x v="48"/>
    <x v="70"/>
    <x v="0"/>
  </r>
  <r>
    <x v="7"/>
    <x v="92"/>
    <x v="209"/>
    <x v="0"/>
    <x v="266"/>
    <x v="132"/>
    <x v="99"/>
    <x v="133"/>
    <x v="0"/>
  </r>
  <r>
    <x v="7"/>
    <x v="93"/>
    <x v="210"/>
    <x v="0"/>
    <x v="259"/>
    <x v="236"/>
    <x v="199"/>
    <x v="240"/>
    <x v="0"/>
  </r>
  <r>
    <x v="7"/>
    <x v="94"/>
    <x v="211"/>
    <x v="1"/>
    <x v="38"/>
    <x v="138"/>
    <x v="105"/>
    <x v="139"/>
    <x v="0"/>
  </r>
  <r>
    <x v="7"/>
    <x v="94"/>
    <x v="212"/>
    <x v="0"/>
    <x v="228"/>
    <x v="117"/>
    <x v="87"/>
    <x v="119"/>
    <x v="0"/>
  </r>
  <r>
    <x v="7"/>
    <x v="95"/>
    <x v="213"/>
    <x v="1"/>
    <x v="303"/>
    <x v="103"/>
    <x v="73"/>
    <x v="104"/>
    <x v="0"/>
  </r>
  <r>
    <x v="7"/>
    <x v="95"/>
    <x v="214"/>
    <x v="1"/>
    <x v="56"/>
    <x v="149"/>
    <x v="116"/>
    <x v="150"/>
    <x v="0"/>
  </r>
  <r>
    <x v="7"/>
    <x v="95"/>
    <x v="215"/>
    <x v="0"/>
    <x v="142"/>
    <x v="237"/>
    <x v="200"/>
    <x v="241"/>
    <x v="0"/>
  </r>
  <r>
    <x v="7"/>
    <x v="95"/>
    <x v="216"/>
    <x v="0"/>
    <x v="294"/>
    <x v="248"/>
    <x v="211"/>
    <x v="253"/>
    <x v="0"/>
  </r>
  <r>
    <x v="7"/>
    <x v="96"/>
    <x v="217"/>
    <x v="0"/>
    <x v="77"/>
    <x v="135"/>
    <x v="102"/>
    <x v="136"/>
    <x v="0"/>
  </r>
  <r>
    <x v="7"/>
    <x v="96"/>
    <x v="218"/>
    <x v="0"/>
    <x v="267"/>
    <x v="135"/>
    <x v="102"/>
    <x v="136"/>
    <x v="0"/>
  </r>
  <r>
    <x v="7"/>
    <x v="96"/>
    <x v="219"/>
    <x v="0"/>
    <x v="72"/>
    <x v="135"/>
    <x v="102"/>
    <x v="136"/>
    <x v="0"/>
  </r>
  <r>
    <x v="7"/>
    <x v="96"/>
    <x v="220"/>
    <x v="0"/>
    <x v="298"/>
    <x v="135"/>
    <x v="102"/>
    <x v="136"/>
    <x v="0"/>
  </r>
  <r>
    <x v="7"/>
    <x v="96"/>
    <x v="221"/>
    <x v="0"/>
    <x v="113"/>
    <x v="135"/>
    <x v="102"/>
    <x v="136"/>
    <x v="0"/>
  </r>
  <r>
    <x v="7"/>
    <x v="96"/>
    <x v="222"/>
    <x v="0"/>
    <x v="359"/>
    <x v="135"/>
    <x v="102"/>
    <x v="136"/>
    <x v="0"/>
  </r>
  <r>
    <x v="7"/>
    <x v="96"/>
    <x v="223"/>
    <x v="0"/>
    <x v="184"/>
    <x v="135"/>
    <x v="102"/>
    <x v="136"/>
    <x v="0"/>
  </r>
  <r>
    <x v="7"/>
    <x v="96"/>
    <x v="224"/>
    <x v="0"/>
    <x v="268"/>
    <x v="135"/>
    <x v="102"/>
    <x v="136"/>
    <x v="0"/>
  </r>
  <r>
    <x v="7"/>
    <x v="96"/>
    <x v="225"/>
    <x v="0"/>
    <x v="178"/>
    <x v="135"/>
    <x v="102"/>
    <x v="136"/>
    <x v="0"/>
  </r>
  <r>
    <x v="7"/>
    <x v="96"/>
    <x v="226"/>
    <x v="1"/>
    <x v="224"/>
    <x v="135"/>
    <x v="102"/>
    <x v="136"/>
    <x v="0"/>
  </r>
  <r>
    <x v="7"/>
    <x v="96"/>
    <x v="227"/>
    <x v="0"/>
    <x v="14"/>
    <x v="203"/>
    <x v="168"/>
    <x v="207"/>
    <x v="0"/>
  </r>
  <r>
    <x v="7"/>
    <x v="97"/>
    <x v="228"/>
    <x v="1"/>
    <x v="120"/>
    <x v="167"/>
    <x v="133"/>
    <x v="169"/>
    <x v="0"/>
  </r>
  <r>
    <x v="7"/>
    <x v="97"/>
    <x v="229"/>
    <x v="1"/>
    <x v="43"/>
    <x v="103"/>
    <x v="73"/>
    <x v="104"/>
    <x v="0"/>
  </r>
  <r>
    <x v="7"/>
    <x v="97"/>
    <x v="230"/>
    <x v="0"/>
    <x v="232"/>
    <x v="110"/>
    <x v="80"/>
    <x v="111"/>
    <x v="0"/>
  </r>
  <r>
    <x v="7"/>
    <x v="98"/>
    <x v="231"/>
    <x v="0"/>
    <x v="281"/>
    <x v="174"/>
    <x v="140"/>
    <x v="177"/>
    <x v="0"/>
  </r>
  <r>
    <x v="7"/>
    <x v="98"/>
    <x v="232"/>
    <x v="0"/>
    <x v="65"/>
    <x v="248"/>
    <x v="211"/>
    <x v="253"/>
    <x v="0"/>
  </r>
  <r>
    <x v="7"/>
    <x v="98"/>
    <x v="233"/>
    <x v="0"/>
    <x v="296"/>
    <x v="260"/>
    <x v="222"/>
    <x v="264"/>
    <x v="0"/>
  </r>
  <r>
    <x v="7"/>
    <x v="98"/>
    <x v="234"/>
    <x v="0"/>
    <x v="64"/>
    <x v="61"/>
    <x v="42"/>
    <x v="61"/>
    <x v="0"/>
  </r>
  <r>
    <x v="7"/>
    <x v="98"/>
    <x v="235"/>
    <x v="0"/>
    <x v="297"/>
    <x v="96"/>
    <x v="69"/>
    <x v="99"/>
    <x v="0"/>
  </r>
  <r>
    <x v="7"/>
    <x v="99"/>
    <x v="236"/>
    <x v="0"/>
    <x v="305"/>
    <x v="156"/>
    <x v="124"/>
    <x v="158"/>
    <x v="0"/>
  </r>
  <r>
    <x v="7"/>
    <x v="99"/>
    <x v="237"/>
    <x v="0"/>
    <x v="222"/>
    <x v="136"/>
    <x v="103"/>
    <x v="137"/>
    <x v="0"/>
  </r>
  <r>
    <x v="7"/>
    <x v="99"/>
    <x v="238"/>
    <x v="0"/>
    <x v="99"/>
    <x v="136"/>
    <x v="103"/>
    <x v="137"/>
    <x v="0"/>
  </r>
  <r>
    <x v="7"/>
    <x v="99"/>
    <x v="239"/>
    <x v="0"/>
    <x v="155"/>
    <x v="136"/>
    <x v="103"/>
    <x v="137"/>
    <x v="0"/>
  </r>
  <r>
    <x v="7"/>
    <x v="99"/>
    <x v="240"/>
    <x v="0"/>
    <x v="148"/>
    <x v="136"/>
    <x v="103"/>
    <x v="137"/>
    <x v="0"/>
  </r>
  <r>
    <x v="7"/>
    <x v="99"/>
    <x v="241"/>
    <x v="0"/>
    <x v="204"/>
    <x v="136"/>
    <x v="103"/>
    <x v="137"/>
    <x v="0"/>
  </r>
  <r>
    <x v="7"/>
    <x v="99"/>
    <x v="242"/>
    <x v="0"/>
    <x v="28"/>
    <x v="136"/>
    <x v="103"/>
    <x v="137"/>
    <x v="0"/>
  </r>
  <r>
    <x v="7"/>
    <x v="99"/>
    <x v="243"/>
    <x v="0"/>
    <x v="103"/>
    <x v="173"/>
    <x v="139"/>
    <x v="176"/>
    <x v="0"/>
  </r>
  <r>
    <x v="7"/>
    <x v="100"/>
    <x v="244"/>
    <x v="0"/>
    <x v="149"/>
    <x v="161"/>
    <x v="128"/>
    <x v="163"/>
    <x v="0"/>
  </r>
  <r>
    <x v="7"/>
    <x v="100"/>
    <x v="245"/>
    <x v="0"/>
    <x v="278"/>
    <x v="172"/>
    <x v="138"/>
    <x v="175"/>
    <x v="0"/>
  </r>
  <r>
    <x v="7"/>
    <x v="100"/>
    <x v="246"/>
    <x v="1"/>
    <x v="221"/>
    <x v="117"/>
    <x v="87"/>
    <x v="119"/>
    <x v="0"/>
  </r>
  <r>
    <x v="7"/>
    <x v="100"/>
    <x v="247"/>
    <x v="1"/>
    <x v="93"/>
    <x v="118"/>
    <x v="88"/>
    <x v="120"/>
    <x v="0"/>
  </r>
  <r>
    <x v="7"/>
    <x v="100"/>
    <x v="248"/>
    <x v="0"/>
    <x v="183"/>
    <x v="56"/>
    <x v="39"/>
    <x v="58"/>
    <x v="0"/>
  </r>
  <r>
    <x v="7"/>
    <x v="100"/>
    <x v="249"/>
    <x v="0"/>
    <x v="89"/>
    <x v="62"/>
    <x v="43"/>
    <x v="64"/>
    <x v="0"/>
  </r>
  <r>
    <x v="7"/>
    <x v="100"/>
    <x v="250"/>
    <x v="0"/>
    <x v="304"/>
    <x v="84"/>
    <x v="58"/>
    <x v="86"/>
    <x v="0"/>
  </r>
  <r>
    <x v="7"/>
    <x v="100"/>
    <x v="251"/>
    <x v="0"/>
    <x v="53"/>
    <x v="73"/>
    <x v="51"/>
    <x v="73"/>
    <x v="1"/>
  </r>
  <r>
    <x v="7"/>
    <x v="100"/>
    <x v="252"/>
    <x v="0"/>
    <x v="53"/>
    <x v="69"/>
    <x v="48"/>
    <x v="70"/>
    <x v="1"/>
  </r>
  <r>
    <x v="7"/>
    <x v="100"/>
    <x v="253"/>
    <x v="0"/>
    <x v="53"/>
    <x v="38"/>
    <x v="28"/>
    <x v="41"/>
    <x v="1"/>
  </r>
  <r>
    <x v="7"/>
    <x v="100"/>
    <x v="254"/>
    <x v="0"/>
    <x v="53"/>
    <x v="38"/>
    <x v="28"/>
    <x v="41"/>
    <x v="1"/>
  </r>
  <r>
    <x v="7"/>
    <x v="100"/>
    <x v="255"/>
    <x v="0"/>
    <x v="53"/>
    <x v="38"/>
    <x v="28"/>
    <x v="41"/>
    <x v="1"/>
  </r>
  <r>
    <x v="7"/>
    <x v="100"/>
    <x v="256"/>
    <x v="0"/>
    <x v="53"/>
    <x v="38"/>
    <x v="28"/>
    <x v="41"/>
    <x v="1"/>
  </r>
  <r>
    <x v="7"/>
    <x v="100"/>
    <x v="257"/>
    <x v="0"/>
    <x v="53"/>
    <x v="38"/>
    <x v="28"/>
    <x v="41"/>
    <x v="1"/>
  </r>
  <r>
    <x v="7"/>
    <x v="100"/>
    <x v="258"/>
    <x v="0"/>
    <x v="53"/>
    <x v="38"/>
    <x v="28"/>
    <x v="41"/>
    <x v="1"/>
  </r>
  <r>
    <x v="7"/>
    <x v="100"/>
    <x v="259"/>
    <x v="0"/>
    <x v="53"/>
    <x v="38"/>
    <x v="28"/>
    <x v="41"/>
    <x v="1"/>
  </r>
  <r>
    <x v="8"/>
    <x v="101"/>
    <x v="260"/>
    <x v="1"/>
    <x v="279"/>
    <x v="103"/>
    <x v="73"/>
    <x v="104"/>
    <x v="0"/>
  </r>
  <r>
    <x v="8"/>
    <x v="102"/>
    <x v="261"/>
    <x v="0"/>
    <x v="114"/>
    <x v="117"/>
    <x v="87"/>
    <x v="119"/>
    <x v="0"/>
  </r>
  <r>
    <x v="8"/>
    <x v="102"/>
    <x v="262"/>
    <x v="0"/>
    <x v="53"/>
    <x v="78"/>
    <x v="54"/>
    <x v="80"/>
    <x v="1"/>
  </r>
  <r>
    <x v="8"/>
    <x v="102"/>
    <x v="263"/>
    <x v="0"/>
    <x v="188"/>
    <x v="103"/>
    <x v="73"/>
    <x v="104"/>
    <x v="0"/>
  </r>
  <r>
    <x v="8"/>
    <x v="102"/>
    <x v="264"/>
    <x v="1"/>
    <x v="278"/>
    <x v="103"/>
    <x v="73"/>
    <x v="104"/>
    <x v="0"/>
  </r>
  <r>
    <x v="8"/>
    <x v="103"/>
    <x v="265"/>
    <x v="0"/>
    <x v="168"/>
    <x v="169"/>
    <x v="135"/>
    <x v="171"/>
    <x v="0"/>
  </r>
  <r>
    <x v="8"/>
    <x v="103"/>
    <x v="266"/>
    <x v="0"/>
    <x v="88"/>
    <x v="193"/>
    <x v="158"/>
    <x v="196"/>
    <x v="0"/>
  </r>
  <r>
    <x v="8"/>
    <x v="104"/>
    <x v="267"/>
    <x v="0"/>
    <x v="117"/>
    <x v="69"/>
    <x v="48"/>
    <x v="70"/>
    <x v="0"/>
  </r>
  <r>
    <x v="8"/>
    <x v="104"/>
    <x v="268"/>
    <x v="0"/>
    <x v="174"/>
    <x v="149"/>
    <x v="116"/>
    <x v="150"/>
    <x v="0"/>
  </r>
  <r>
    <x v="8"/>
    <x v="105"/>
    <x v="269"/>
    <x v="0"/>
    <x v="68"/>
    <x v="103"/>
    <x v="73"/>
    <x v="104"/>
    <x v="0"/>
  </r>
  <r>
    <x v="8"/>
    <x v="105"/>
    <x v="270"/>
    <x v="1"/>
    <x v="108"/>
    <x v="116"/>
    <x v="86"/>
    <x v="118"/>
    <x v="0"/>
  </r>
  <r>
    <x v="8"/>
    <x v="106"/>
    <x v="271"/>
    <x v="1"/>
    <x v="10"/>
    <x v="69"/>
    <x v="48"/>
    <x v="70"/>
    <x v="0"/>
  </r>
  <r>
    <x v="8"/>
    <x v="106"/>
    <x v="272"/>
    <x v="0"/>
    <x v="104"/>
    <x v="153"/>
    <x v="120"/>
    <x v="155"/>
    <x v="0"/>
  </r>
  <r>
    <x v="8"/>
    <x v="106"/>
    <x v="273"/>
    <x v="1"/>
    <x v="118"/>
    <x v="103"/>
    <x v="73"/>
    <x v="104"/>
    <x v="0"/>
  </r>
  <r>
    <x v="8"/>
    <x v="107"/>
    <x v="274"/>
    <x v="0"/>
    <x v="185"/>
    <x v="61"/>
    <x v="42"/>
    <x v="61"/>
    <x v="0"/>
  </r>
  <r>
    <x v="8"/>
    <x v="108"/>
    <x v="275"/>
    <x v="0"/>
    <x v="183"/>
    <x v="56"/>
    <x v="39"/>
    <x v="58"/>
    <x v="0"/>
  </r>
  <r>
    <x v="8"/>
    <x v="108"/>
    <x v="276"/>
    <x v="0"/>
    <x v="146"/>
    <x v="256"/>
    <x v="218"/>
    <x v="260"/>
    <x v="0"/>
  </r>
  <r>
    <x v="8"/>
    <x v="109"/>
    <x v="277"/>
    <x v="0"/>
    <x v="311"/>
    <x v="103"/>
    <x v="73"/>
    <x v="104"/>
    <x v="0"/>
  </r>
  <r>
    <x v="8"/>
    <x v="109"/>
    <x v="278"/>
    <x v="1"/>
    <x v="297"/>
    <x v="96"/>
    <x v="69"/>
    <x v="99"/>
    <x v="0"/>
  </r>
  <r>
    <x v="8"/>
    <x v="110"/>
    <x v="279"/>
    <x v="0"/>
    <x v="89"/>
    <x v="62"/>
    <x v="43"/>
    <x v="64"/>
    <x v="0"/>
  </r>
  <r>
    <x v="8"/>
    <x v="110"/>
    <x v="280"/>
    <x v="0"/>
    <x v="357"/>
    <x v="113"/>
    <x v="83"/>
    <x v="114"/>
    <x v="0"/>
  </r>
  <r>
    <x v="8"/>
    <x v="110"/>
    <x v="281"/>
    <x v="0"/>
    <x v="347"/>
    <x v="113"/>
    <x v="83"/>
    <x v="114"/>
    <x v="0"/>
  </r>
  <r>
    <x v="8"/>
    <x v="110"/>
    <x v="282"/>
    <x v="1"/>
    <x v="350"/>
    <x v="76"/>
    <x v="52"/>
    <x v="76"/>
    <x v="0"/>
  </r>
  <r>
    <x v="8"/>
    <x v="111"/>
    <x v="283"/>
    <x v="0"/>
    <x v="294"/>
    <x v="237"/>
    <x v="200"/>
    <x v="241"/>
    <x v="0"/>
  </r>
  <r>
    <x v="8"/>
    <x v="111"/>
    <x v="284"/>
    <x v="1"/>
    <x v="63"/>
    <x v="110"/>
    <x v="80"/>
    <x v="111"/>
    <x v="0"/>
  </r>
  <r>
    <x v="8"/>
    <x v="111"/>
    <x v="285"/>
    <x v="0"/>
    <x v="47"/>
    <x v="129"/>
    <x v="97"/>
    <x v="131"/>
    <x v="0"/>
  </r>
  <r>
    <x v="8"/>
    <x v="111"/>
    <x v="286"/>
    <x v="0"/>
    <x v="67"/>
    <x v="207"/>
    <x v="172"/>
    <x v="211"/>
    <x v="0"/>
  </r>
  <r>
    <x v="8"/>
    <x v="112"/>
    <x v="287"/>
    <x v="1"/>
    <x v="346"/>
    <x v="132"/>
    <x v="99"/>
    <x v="133"/>
    <x v="0"/>
  </r>
  <r>
    <x v="8"/>
    <x v="113"/>
    <x v="288"/>
    <x v="0"/>
    <x v="315"/>
    <x v="237"/>
    <x v="200"/>
    <x v="241"/>
    <x v="0"/>
  </r>
  <r>
    <x v="8"/>
    <x v="113"/>
    <x v="289"/>
    <x v="1"/>
    <x v="242"/>
    <x v="124"/>
    <x v="92"/>
    <x v="126"/>
    <x v="0"/>
  </r>
  <r>
    <x v="8"/>
    <x v="113"/>
    <x v="290"/>
    <x v="0"/>
    <x v="220"/>
    <x v="217"/>
    <x v="181"/>
    <x v="220"/>
    <x v="0"/>
  </r>
  <r>
    <x v="8"/>
    <x v="114"/>
    <x v="291"/>
    <x v="1"/>
    <x v="355"/>
    <x v="103"/>
    <x v="73"/>
    <x v="104"/>
    <x v="0"/>
  </r>
  <r>
    <x v="8"/>
    <x v="114"/>
    <x v="292"/>
    <x v="0"/>
    <x v="206"/>
    <x v="182"/>
    <x v="147"/>
    <x v="185"/>
    <x v="0"/>
  </r>
  <r>
    <x v="8"/>
    <x v="114"/>
    <x v="293"/>
    <x v="0"/>
    <x v="128"/>
    <x v="61"/>
    <x v="42"/>
    <x v="61"/>
    <x v="0"/>
  </r>
  <r>
    <x v="8"/>
    <x v="115"/>
    <x v="294"/>
    <x v="1"/>
    <x v="339"/>
    <x v="214"/>
    <x v="178"/>
    <x v="217"/>
    <x v="0"/>
  </r>
  <r>
    <x v="8"/>
    <x v="116"/>
    <x v="295"/>
    <x v="0"/>
    <x v="352"/>
    <x v="162"/>
    <x v="129"/>
    <x v="164"/>
    <x v="0"/>
  </r>
  <r>
    <x v="8"/>
    <x v="116"/>
    <x v="296"/>
    <x v="0"/>
    <x v="358"/>
    <x v="162"/>
    <x v="129"/>
    <x v="164"/>
    <x v="0"/>
  </r>
  <r>
    <x v="8"/>
    <x v="116"/>
    <x v="297"/>
    <x v="0"/>
    <x v="138"/>
    <x v="162"/>
    <x v="129"/>
    <x v="164"/>
    <x v="0"/>
  </r>
  <r>
    <x v="8"/>
    <x v="116"/>
    <x v="298"/>
    <x v="0"/>
    <x v="301"/>
    <x v="162"/>
    <x v="129"/>
    <x v="164"/>
    <x v="0"/>
  </r>
  <r>
    <x v="8"/>
    <x v="116"/>
    <x v="299"/>
    <x v="0"/>
    <x v="199"/>
    <x v="258"/>
    <x v="220"/>
    <x v="262"/>
    <x v="0"/>
  </r>
  <r>
    <x v="8"/>
    <x v="117"/>
    <x v="300"/>
    <x v="0"/>
    <x v="306"/>
    <x v="103"/>
    <x v="73"/>
    <x v="104"/>
    <x v="0"/>
  </r>
  <r>
    <x v="8"/>
    <x v="118"/>
    <x v="301"/>
    <x v="1"/>
    <x v="228"/>
    <x v="117"/>
    <x v="87"/>
    <x v="119"/>
    <x v="0"/>
  </r>
  <r>
    <x v="8"/>
    <x v="118"/>
    <x v="302"/>
    <x v="0"/>
    <x v="253"/>
    <x v="69"/>
    <x v="48"/>
    <x v="70"/>
    <x v="0"/>
  </r>
  <r>
    <x v="8"/>
    <x v="118"/>
    <x v="303"/>
    <x v="0"/>
    <x v="71"/>
    <x v="234"/>
    <x v="198"/>
    <x v="239"/>
    <x v="0"/>
  </r>
  <r>
    <x v="8"/>
    <x v="119"/>
    <x v="304"/>
    <x v="1"/>
    <x v="357"/>
    <x v="230"/>
    <x v="194"/>
    <x v="235"/>
    <x v="0"/>
  </r>
  <r>
    <x v="8"/>
    <x v="119"/>
    <x v="305"/>
    <x v="0"/>
    <x v="189"/>
    <x v="165"/>
    <x v="131"/>
    <x v="166"/>
    <x v="0"/>
  </r>
  <r>
    <x v="8"/>
    <x v="119"/>
    <x v="306"/>
    <x v="1"/>
    <x v="284"/>
    <x v="201"/>
    <x v="166"/>
    <x v="204"/>
    <x v="0"/>
  </r>
  <r>
    <x v="8"/>
    <x v="119"/>
    <x v="307"/>
    <x v="0"/>
    <x v="182"/>
    <x v="103"/>
    <x v="73"/>
    <x v="104"/>
    <x v="0"/>
  </r>
  <r>
    <x v="8"/>
    <x v="119"/>
    <x v="308"/>
    <x v="0"/>
    <x v="232"/>
    <x v="110"/>
    <x v="80"/>
    <x v="111"/>
    <x v="0"/>
  </r>
  <r>
    <x v="8"/>
    <x v="119"/>
    <x v="309"/>
    <x v="1"/>
    <x v="281"/>
    <x v="174"/>
    <x v="140"/>
    <x v="177"/>
    <x v="0"/>
  </r>
  <r>
    <x v="8"/>
    <x v="119"/>
    <x v="310"/>
    <x v="0"/>
    <x v="208"/>
    <x v="185"/>
    <x v="151"/>
    <x v="189"/>
    <x v="0"/>
  </r>
  <r>
    <x v="8"/>
    <x v="120"/>
    <x v="311"/>
    <x v="0"/>
    <x v="41"/>
    <x v="132"/>
    <x v="99"/>
    <x v="133"/>
    <x v="0"/>
  </r>
  <r>
    <x v="8"/>
    <x v="120"/>
    <x v="312"/>
    <x v="1"/>
    <x v="76"/>
    <x v="122"/>
    <x v="92"/>
    <x v="125"/>
    <x v="0"/>
  </r>
  <r>
    <x v="8"/>
    <x v="121"/>
    <x v="313"/>
    <x v="0"/>
    <x v="304"/>
    <x v="84"/>
    <x v="58"/>
    <x v="86"/>
    <x v="0"/>
  </r>
  <r>
    <x v="8"/>
    <x v="121"/>
    <x v="314"/>
    <x v="0"/>
    <x v="310"/>
    <x v="69"/>
    <x v="48"/>
    <x v="70"/>
    <x v="0"/>
  </r>
  <r>
    <x v="8"/>
    <x v="121"/>
    <x v="315"/>
    <x v="0"/>
    <x v="78"/>
    <x v="201"/>
    <x v="166"/>
    <x v="204"/>
    <x v="0"/>
  </r>
  <r>
    <x v="8"/>
    <x v="121"/>
    <x v="316"/>
    <x v="0"/>
    <x v="158"/>
    <x v="132"/>
    <x v="99"/>
    <x v="133"/>
    <x v="0"/>
  </r>
  <r>
    <x v="8"/>
    <x v="121"/>
    <x v="317"/>
    <x v="0"/>
    <x v="273"/>
    <x v="226"/>
    <x v="190"/>
    <x v="230"/>
    <x v="0"/>
  </r>
  <r>
    <x v="8"/>
    <x v="121"/>
    <x v="318"/>
    <x v="1"/>
    <x v="290"/>
    <x v="278"/>
    <x v="238"/>
    <x v="282"/>
    <x v="0"/>
  </r>
  <r>
    <x v="8"/>
    <x v="121"/>
    <x v="319"/>
    <x v="0"/>
    <x v="215"/>
    <x v="117"/>
    <x v="87"/>
    <x v="119"/>
    <x v="0"/>
  </r>
  <r>
    <x v="8"/>
    <x v="122"/>
    <x v="320"/>
    <x v="1"/>
    <x v="123"/>
    <x v="286"/>
    <x v="246"/>
    <x v="290"/>
    <x v="0"/>
  </r>
  <r>
    <x v="8"/>
    <x v="122"/>
    <x v="321"/>
    <x v="0"/>
    <x v="80"/>
    <x v="97"/>
    <x v="71"/>
    <x v="101"/>
    <x v="0"/>
  </r>
  <r>
    <x v="8"/>
    <x v="122"/>
    <x v="322"/>
    <x v="0"/>
    <x v="64"/>
    <x v="143"/>
    <x v="110"/>
    <x v="144"/>
    <x v="0"/>
  </r>
  <r>
    <x v="8"/>
    <x v="123"/>
    <x v="323"/>
    <x v="0"/>
    <x v="53"/>
    <x v="126"/>
    <x v="94"/>
    <x v="128"/>
    <x v="1"/>
  </r>
  <r>
    <x v="8"/>
    <x v="123"/>
    <x v="0"/>
    <x v="0"/>
    <x v="141"/>
    <x v="5"/>
    <x v="5"/>
    <x v="5"/>
    <x v="0"/>
  </r>
  <r>
    <x v="8"/>
    <x v="123"/>
    <x v="1"/>
    <x v="0"/>
    <x v="21"/>
    <x v="1"/>
    <x v="1"/>
    <x v="1"/>
    <x v="0"/>
  </r>
  <r>
    <x v="8"/>
    <x v="123"/>
    <x v="324"/>
    <x v="0"/>
    <x v="209"/>
    <x v="139"/>
    <x v="106"/>
    <x v="140"/>
    <x v="0"/>
  </r>
  <r>
    <x v="0"/>
    <x v="0"/>
    <x v="23"/>
    <x v="0"/>
    <x v="53"/>
    <x v="121"/>
    <x v="14"/>
    <x v="117"/>
    <x v="1"/>
  </r>
  <r>
    <x v="0"/>
    <x v="0"/>
    <x v="24"/>
    <x v="0"/>
    <x v="150"/>
    <x v="60"/>
    <x v="14"/>
    <x v="58"/>
    <x v="0"/>
  </r>
  <r>
    <x v="0"/>
    <x v="1"/>
    <x v="25"/>
    <x v="0"/>
    <x v="53"/>
    <x v="89"/>
    <x v="14"/>
    <x v="79"/>
    <x v="1"/>
  </r>
  <r>
    <x v="1"/>
    <x v="2"/>
    <x v="26"/>
    <x v="0"/>
    <x v="53"/>
    <x v="131"/>
    <x v="14"/>
    <x v="123"/>
    <x v="1"/>
  </r>
  <r>
    <x v="1"/>
    <x v="2"/>
    <x v="27"/>
    <x v="0"/>
    <x v="299"/>
    <x v="60"/>
    <x v="14"/>
    <x v="58"/>
    <x v="0"/>
  </r>
  <r>
    <x v="1"/>
    <x v="3"/>
    <x v="28"/>
    <x v="0"/>
    <x v="53"/>
    <x v="25"/>
    <x v="14"/>
    <x v="24"/>
    <x v="1"/>
  </r>
  <r>
    <x v="1"/>
    <x v="3"/>
    <x v="29"/>
    <x v="0"/>
    <x v="122"/>
    <x v="117"/>
    <x v="14"/>
    <x v="114"/>
    <x v="0"/>
  </r>
  <r>
    <x v="1"/>
    <x v="4"/>
    <x v="30"/>
    <x v="0"/>
    <x v="69"/>
    <x v="117"/>
    <x v="14"/>
    <x v="114"/>
    <x v="0"/>
  </r>
  <r>
    <x v="1"/>
    <x v="4"/>
    <x v="31"/>
    <x v="0"/>
    <x v="150"/>
    <x v="60"/>
    <x v="14"/>
    <x v="58"/>
    <x v="0"/>
  </r>
  <r>
    <x v="1"/>
    <x v="5"/>
    <x v="32"/>
    <x v="0"/>
    <x v="53"/>
    <x v="95"/>
    <x v="14"/>
    <x v="90"/>
    <x v="1"/>
  </r>
  <r>
    <x v="1"/>
    <x v="5"/>
    <x v="33"/>
    <x v="0"/>
    <x v="304"/>
    <x v="92"/>
    <x v="14"/>
    <x v="86"/>
    <x v="0"/>
  </r>
  <r>
    <x v="1"/>
    <x v="6"/>
    <x v="34"/>
    <x v="0"/>
    <x v="53"/>
    <x v="40"/>
    <x v="14"/>
    <x v="36"/>
    <x v="1"/>
  </r>
  <r>
    <x v="1"/>
    <x v="6"/>
    <x v="35"/>
    <x v="0"/>
    <x v="53"/>
    <x v="100"/>
    <x v="14"/>
    <x v="95"/>
    <x v="1"/>
  </r>
  <r>
    <x v="1"/>
    <x v="6"/>
    <x v="36"/>
    <x v="0"/>
    <x v="299"/>
    <x v="60"/>
    <x v="14"/>
    <x v="58"/>
    <x v="0"/>
  </r>
  <r>
    <x v="2"/>
    <x v="7"/>
    <x v="37"/>
    <x v="0"/>
    <x v="53"/>
    <x v="18"/>
    <x v="14"/>
    <x v="17"/>
    <x v="1"/>
  </r>
  <r>
    <x v="2"/>
    <x v="7"/>
    <x v="38"/>
    <x v="0"/>
    <x v="150"/>
    <x v="60"/>
    <x v="14"/>
    <x v="58"/>
    <x v="0"/>
  </r>
  <r>
    <x v="2"/>
    <x v="8"/>
    <x v="39"/>
    <x v="0"/>
    <x v="53"/>
    <x v="98"/>
    <x v="14"/>
    <x v="92"/>
    <x v="1"/>
  </r>
  <r>
    <x v="2"/>
    <x v="8"/>
    <x v="40"/>
    <x v="0"/>
    <x v="249"/>
    <x v="224"/>
    <x v="14"/>
    <x v="222"/>
    <x v="0"/>
  </r>
  <r>
    <x v="2"/>
    <x v="9"/>
    <x v="41"/>
    <x v="0"/>
    <x v="313"/>
    <x v="68"/>
    <x v="14"/>
    <x v="63"/>
    <x v="0"/>
  </r>
  <r>
    <x v="2"/>
    <x v="10"/>
    <x v="42"/>
    <x v="0"/>
    <x v="53"/>
    <x v="24"/>
    <x v="14"/>
    <x v="23"/>
    <x v="1"/>
  </r>
  <r>
    <x v="2"/>
    <x v="10"/>
    <x v="43"/>
    <x v="0"/>
    <x v="69"/>
    <x v="117"/>
    <x v="14"/>
    <x v="114"/>
    <x v="0"/>
  </r>
  <r>
    <x v="2"/>
    <x v="11"/>
    <x v="44"/>
    <x v="0"/>
    <x v="183"/>
    <x v="60"/>
    <x v="14"/>
    <x v="58"/>
    <x v="0"/>
  </r>
  <r>
    <x v="2"/>
    <x v="12"/>
    <x v="45"/>
    <x v="0"/>
    <x v="53"/>
    <x v="88"/>
    <x v="14"/>
    <x v="77"/>
    <x v="1"/>
  </r>
  <r>
    <x v="2"/>
    <x v="12"/>
    <x v="46"/>
    <x v="0"/>
    <x v="31"/>
    <x v="43"/>
    <x v="14"/>
    <x v="41"/>
    <x v="0"/>
  </r>
  <r>
    <x v="2"/>
    <x v="13"/>
    <x v="47"/>
    <x v="0"/>
    <x v="304"/>
    <x v="92"/>
    <x v="14"/>
    <x v="86"/>
    <x v="0"/>
  </r>
  <r>
    <x v="2"/>
    <x v="14"/>
    <x v="48"/>
    <x v="0"/>
    <x v="53"/>
    <x v="39"/>
    <x v="14"/>
    <x v="34"/>
    <x v="1"/>
  </r>
  <r>
    <x v="9"/>
    <x v="124"/>
    <x v="325"/>
    <x v="1"/>
    <x v="174"/>
    <x v="166"/>
    <x v="132"/>
    <x v="167"/>
    <x v="0"/>
  </r>
  <r>
    <x v="9"/>
    <x v="125"/>
    <x v="326"/>
    <x v="0"/>
    <x v="53"/>
    <x v="81"/>
    <x v="57"/>
    <x v="83"/>
    <x v="1"/>
  </r>
  <r>
    <x v="9"/>
    <x v="125"/>
    <x v="327"/>
    <x v="0"/>
    <x v="223"/>
    <x v="132"/>
    <x v="99"/>
    <x v="133"/>
    <x v="0"/>
  </r>
  <r>
    <x v="9"/>
    <x v="125"/>
    <x v="328"/>
    <x v="0"/>
    <x v="271"/>
    <x v="132"/>
    <x v="99"/>
    <x v="133"/>
    <x v="0"/>
  </r>
  <r>
    <x v="9"/>
    <x v="126"/>
    <x v="329"/>
    <x v="1"/>
    <x v="288"/>
    <x v="103"/>
    <x v="73"/>
    <x v="104"/>
    <x v="0"/>
  </r>
  <r>
    <x v="9"/>
    <x v="127"/>
    <x v="330"/>
    <x v="0"/>
    <x v="114"/>
    <x v="117"/>
    <x v="87"/>
    <x v="119"/>
    <x v="0"/>
  </r>
  <r>
    <x v="9"/>
    <x v="127"/>
    <x v="331"/>
    <x v="1"/>
    <x v="335"/>
    <x v="85"/>
    <x v="60"/>
    <x v="87"/>
    <x v="0"/>
  </r>
  <r>
    <x v="9"/>
    <x v="127"/>
    <x v="332"/>
    <x v="0"/>
    <x v="59"/>
    <x v="256"/>
    <x v="218"/>
    <x v="260"/>
    <x v="0"/>
  </r>
  <r>
    <x v="9"/>
    <x v="127"/>
    <x v="333"/>
    <x v="0"/>
    <x v="126"/>
    <x v="93"/>
    <x v="67"/>
    <x v="98"/>
    <x v="0"/>
  </r>
  <r>
    <x v="9"/>
    <x v="128"/>
    <x v="334"/>
    <x v="0"/>
    <x v="53"/>
    <x v="127"/>
    <x v="95"/>
    <x v="129"/>
    <x v="1"/>
  </r>
  <r>
    <x v="9"/>
    <x v="129"/>
    <x v="335"/>
    <x v="0"/>
    <x v="68"/>
    <x v="103"/>
    <x v="73"/>
    <x v="104"/>
    <x v="0"/>
  </r>
  <r>
    <x v="9"/>
    <x v="129"/>
    <x v="336"/>
    <x v="0"/>
    <x v="144"/>
    <x v="191"/>
    <x v="156"/>
    <x v="194"/>
    <x v="0"/>
  </r>
  <r>
    <x v="9"/>
    <x v="129"/>
    <x v="337"/>
    <x v="0"/>
    <x v="354"/>
    <x v="93"/>
    <x v="67"/>
    <x v="98"/>
    <x v="0"/>
  </r>
  <r>
    <x v="9"/>
    <x v="129"/>
    <x v="338"/>
    <x v="0"/>
    <x v="319"/>
    <x v="85"/>
    <x v="60"/>
    <x v="87"/>
    <x v="0"/>
  </r>
  <r>
    <x v="9"/>
    <x v="129"/>
    <x v="339"/>
    <x v="0"/>
    <x v="167"/>
    <x v="205"/>
    <x v="170"/>
    <x v="209"/>
    <x v="0"/>
  </r>
  <r>
    <x v="9"/>
    <x v="129"/>
    <x v="340"/>
    <x v="0"/>
    <x v="16"/>
    <x v="132"/>
    <x v="99"/>
    <x v="133"/>
    <x v="0"/>
  </r>
  <r>
    <x v="9"/>
    <x v="130"/>
    <x v="341"/>
    <x v="0"/>
    <x v="10"/>
    <x v="69"/>
    <x v="48"/>
    <x v="70"/>
    <x v="0"/>
  </r>
  <r>
    <x v="9"/>
    <x v="130"/>
    <x v="342"/>
    <x v="1"/>
    <x v="76"/>
    <x v="123"/>
    <x v="91"/>
    <x v="124"/>
    <x v="0"/>
  </r>
  <r>
    <x v="9"/>
    <x v="130"/>
    <x v="343"/>
    <x v="1"/>
    <x v="118"/>
    <x v="103"/>
    <x v="73"/>
    <x v="104"/>
    <x v="0"/>
  </r>
  <r>
    <x v="9"/>
    <x v="131"/>
    <x v="344"/>
    <x v="0"/>
    <x v="183"/>
    <x v="55"/>
    <x v="40"/>
    <x v="57"/>
    <x v="0"/>
  </r>
  <r>
    <x v="9"/>
    <x v="131"/>
    <x v="345"/>
    <x v="0"/>
    <x v="12"/>
    <x v="270"/>
    <x v="231"/>
    <x v="274"/>
    <x v="0"/>
  </r>
  <r>
    <x v="9"/>
    <x v="131"/>
    <x v="346"/>
    <x v="1"/>
    <x v="160"/>
    <x v="117"/>
    <x v="87"/>
    <x v="119"/>
    <x v="0"/>
  </r>
  <r>
    <x v="9"/>
    <x v="131"/>
    <x v="347"/>
    <x v="0"/>
    <x v="4"/>
    <x v="151"/>
    <x v="118"/>
    <x v="153"/>
    <x v="0"/>
  </r>
  <r>
    <x v="9"/>
    <x v="132"/>
    <x v="348"/>
    <x v="0"/>
    <x v="311"/>
    <x v="103"/>
    <x v="73"/>
    <x v="104"/>
    <x v="0"/>
  </r>
  <r>
    <x v="9"/>
    <x v="132"/>
    <x v="349"/>
    <x v="0"/>
    <x v="297"/>
    <x v="96"/>
    <x v="70"/>
    <x v="100"/>
    <x v="0"/>
  </r>
  <r>
    <x v="9"/>
    <x v="132"/>
    <x v="350"/>
    <x v="0"/>
    <x v="286"/>
    <x v="220"/>
    <x v="184"/>
    <x v="224"/>
    <x v="0"/>
  </r>
  <r>
    <x v="9"/>
    <x v="132"/>
    <x v="351"/>
    <x v="1"/>
    <x v="200"/>
    <x v="220"/>
    <x v="184"/>
    <x v="224"/>
    <x v="0"/>
  </r>
  <r>
    <x v="9"/>
    <x v="132"/>
    <x v="352"/>
    <x v="0"/>
    <x v="195"/>
    <x v="149"/>
    <x v="116"/>
    <x v="150"/>
    <x v="0"/>
  </r>
  <r>
    <x v="9"/>
    <x v="133"/>
    <x v="353"/>
    <x v="0"/>
    <x v="244"/>
    <x v="93"/>
    <x v="67"/>
    <x v="98"/>
    <x v="0"/>
  </r>
  <r>
    <x v="9"/>
    <x v="133"/>
    <x v="354"/>
    <x v="1"/>
    <x v="92"/>
    <x v="179"/>
    <x v="144"/>
    <x v="181"/>
    <x v="0"/>
  </r>
  <r>
    <x v="9"/>
    <x v="134"/>
    <x v="355"/>
    <x v="0"/>
    <x v="89"/>
    <x v="63"/>
    <x v="44"/>
    <x v="65"/>
    <x v="0"/>
  </r>
  <r>
    <x v="9"/>
    <x v="134"/>
    <x v="356"/>
    <x v="0"/>
    <x v="245"/>
    <x v="133"/>
    <x v="100"/>
    <x v="134"/>
    <x v="0"/>
  </r>
  <r>
    <x v="9"/>
    <x v="134"/>
    <x v="357"/>
    <x v="0"/>
    <x v="245"/>
    <x v="116"/>
    <x v="86"/>
    <x v="118"/>
    <x v="0"/>
  </r>
  <r>
    <x v="9"/>
    <x v="135"/>
    <x v="358"/>
    <x v="0"/>
    <x v="190"/>
    <x v="188"/>
    <x v="153"/>
    <x v="191"/>
    <x v="0"/>
  </r>
  <r>
    <x v="9"/>
    <x v="135"/>
    <x v="359"/>
    <x v="0"/>
    <x v="192"/>
    <x v="201"/>
    <x v="166"/>
    <x v="204"/>
    <x v="0"/>
  </r>
  <r>
    <x v="9"/>
    <x v="135"/>
    <x v="360"/>
    <x v="0"/>
    <x v="264"/>
    <x v="92"/>
    <x v="65"/>
    <x v="96"/>
    <x v="0"/>
  </r>
  <r>
    <x v="9"/>
    <x v="136"/>
    <x v="361"/>
    <x v="0"/>
    <x v="188"/>
    <x v="103"/>
    <x v="73"/>
    <x v="104"/>
    <x v="0"/>
  </r>
  <r>
    <x v="9"/>
    <x v="137"/>
    <x v="362"/>
    <x v="1"/>
    <x v="320"/>
    <x v="237"/>
    <x v="200"/>
    <x v="241"/>
    <x v="0"/>
  </r>
  <r>
    <x v="9"/>
    <x v="137"/>
    <x v="363"/>
    <x v="0"/>
    <x v="243"/>
    <x v="124"/>
    <x v="92"/>
    <x v="126"/>
    <x v="0"/>
  </r>
  <r>
    <x v="9"/>
    <x v="138"/>
    <x v="364"/>
    <x v="1"/>
    <x v="355"/>
    <x v="103"/>
    <x v="73"/>
    <x v="104"/>
    <x v="0"/>
  </r>
  <r>
    <x v="9"/>
    <x v="138"/>
    <x v="365"/>
    <x v="0"/>
    <x v="139"/>
    <x v="161"/>
    <x v="128"/>
    <x v="163"/>
    <x v="0"/>
  </r>
  <r>
    <x v="9"/>
    <x v="139"/>
    <x v="366"/>
    <x v="0"/>
    <x v="82"/>
    <x v="220"/>
    <x v="184"/>
    <x v="224"/>
    <x v="0"/>
  </r>
  <r>
    <x v="9"/>
    <x v="139"/>
    <x v="367"/>
    <x v="1"/>
    <x v="101"/>
    <x v="253"/>
    <x v="215"/>
    <x v="257"/>
    <x v="0"/>
  </r>
  <r>
    <x v="9"/>
    <x v="140"/>
    <x v="368"/>
    <x v="0"/>
    <x v="29"/>
    <x v="85"/>
    <x v="60"/>
    <x v="87"/>
    <x v="0"/>
  </r>
  <r>
    <x v="9"/>
    <x v="141"/>
    <x v="369"/>
    <x v="0"/>
    <x v="346"/>
    <x v="227"/>
    <x v="191"/>
    <x v="232"/>
    <x v="0"/>
  </r>
  <r>
    <x v="9"/>
    <x v="141"/>
    <x v="370"/>
    <x v="1"/>
    <x v="328"/>
    <x v="128"/>
    <x v="96"/>
    <x v="130"/>
    <x v="0"/>
  </r>
  <r>
    <x v="9"/>
    <x v="141"/>
    <x v="371"/>
    <x v="0"/>
    <x v="106"/>
    <x v="69"/>
    <x v="48"/>
    <x v="70"/>
    <x v="0"/>
  </r>
  <r>
    <x v="9"/>
    <x v="141"/>
    <x v="372"/>
    <x v="0"/>
    <x v="25"/>
    <x v="69"/>
    <x v="48"/>
    <x v="70"/>
    <x v="0"/>
  </r>
  <r>
    <x v="9"/>
    <x v="142"/>
    <x v="373"/>
    <x v="0"/>
    <x v="347"/>
    <x v="245"/>
    <x v="208"/>
    <x v="249"/>
    <x v="0"/>
  </r>
  <r>
    <x v="9"/>
    <x v="143"/>
    <x v="374"/>
    <x v="1"/>
    <x v="306"/>
    <x v="103"/>
    <x v="73"/>
    <x v="104"/>
    <x v="0"/>
  </r>
  <r>
    <x v="9"/>
    <x v="143"/>
    <x v="375"/>
    <x v="0"/>
    <x v="308"/>
    <x v="184"/>
    <x v="149"/>
    <x v="187"/>
    <x v="0"/>
  </r>
  <r>
    <x v="9"/>
    <x v="143"/>
    <x v="376"/>
    <x v="0"/>
    <x v="117"/>
    <x v="69"/>
    <x v="48"/>
    <x v="70"/>
    <x v="0"/>
  </r>
  <r>
    <x v="9"/>
    <x v="144"/>
    <x v="377"/>
    <x v="1"/>
    <x v="228"/>
    <x v="117"/>
    <x v="87"/>
    <x v="119"/>
    <x v="0"/>
  </r>
  <r>
    <x v="9"/>
    <x v="144"/>
    <x v="378"/>
    <x v="0"/>
    <x v="255"/>
    <x v="158"/>
    <x v="125"/>
    <x v="160"/>
    <x v="0"/>
  </r>
  <r>
    <x v="9"/>
    <x v="144"/>
    <x v="379"/>
    <x v="1"/>
    <x v="356"/>
    <x v="167"/>
    <x v="133"/>
    <x v="169"/>
    <x v="0"/>
  </r>
  <r>
    <x v="9"/>
    <x v="145"/>
    <x v="380"/>
    <x v="1"/>
    <x v="52"/>
    <x v="181"/>
    <x v="146"/>
    <x v="184"/>
    <x v="0"/>
  </r>
  <r>
    <x v="9"/>
    <x v="145"/>
    <x v="381"/>
    <x v="1"/>
    <x v="327"/>
    <x v="249"/>
    <x v="212"/>
    <x v="254"/>
    <x v="0"/>
  </r>
  <r>
    <x v="9"/>
    <x v="146"/>
    <x v="382"/>
    <x v="0"/>
    <x v="4"/>
    <x v="151"/>
    <x v="118"/>
    <x v="153"/>
    <x v="0"/>
  </r>
  <r>
    <x v="9"/>
    <x v="147"/>
    <x v="383"/>
    <x v="0"/>
    <x v="318"/>
    <x v="180"/>
    <x v="145"/>
    <x v="183"/>
    <x v="0"/>
  </r>
  <r>
    <x v="9"/>
    <x v="147"/>
    <x v="2"/>
    <x v="0"/>
    <x v="10"/>
    <x v="12"/>
    <x v="12"/>
    <x v="12"/>
    <x v="0"/>
  </r>
  <r>
    <x v="9"/>
    <x v="147"/>
    <x v="3"/>
    <x v="0"/>
    <x v="10"/>
    <x v="12"/>
    <x v="12"/>
    <x v="12"/>
    <x v="0"/>
  </r>
  <r>
    <x v="9"/>
    <x v="148"/>
    <x v="384"/>
    <x v="0"/>
    <x v="317"/>
    <x v="149"/>
    <x v="116"/>
    <x v="150"/>
    <x v="0"/>
  </r>
  <r>
    <x v="9"/>
    <x v="148"/>
    <x v="385"/>
    <x v="0"/>
    <x v="40"/>
    <x v="158"/>
    <x v="125"/>
    <x v="160"/>
    <x v="0"/>
  </r>
  <r>
    <x v="9"/>
    <x v="149"/>
    <x v="386"/>
    <x v="0"/>
    <x v="95"/>
    <x v="191"/>
    <x v="156"/>
    <x v="194"/>
    <x v="0"/>
  </r>
  <r>
    <x v="9"/>
    <x v="150"/>
    <x v="387"/>
    <x v="0"/>
    <x v="304"/>
    <x v="83"/>
    <x v="59"/>
    <x v="85"/>
    <x v="0"/>
  </r>
  <r>
    <x v="9"/>
    <x v="151"/>
    <x v="388"/>
    <x v="0"/>
    <x v="80"/>
    <x v="97"/>
    <x v="71"/>
    <x v="101"/>
    <x v="0"/>
  </r>
  <r>
    <x v="9"/>
    <x v="151"/>
    <x v="389"/>
    <x v="0"/>
    <x v="118"/>
    <x v="188"/>
    <x v="153"/>
    <x v="191"/>
    <x v="0"/>
  </r>
  <r>
    <x v="10"/>
    <x v="152"/>
    <x v="390"/>
    <x v="0"/>
    <x v="299"/>
    <x v="224"/>
    <x v="188"/>
    <x v="228"/>
    <x v="0"/>
  </r>
  <r>
    <x v="10"/>
    <x v="152"/>
    <x v="391"/>
    <x v="0"/>
    <x v="309"/>
    <x v="201"/>
    <x v="166"/>
    <x v="204"/>
    <x v="0"/>
  </r>
  <r>
    <x v="10"/>
    <x v="152"/>
    <x v="392"/>
    <x v="0"/>
    <x v="191"/>
    <x v="149"/>
    <x v="116"/>
    <x v="150"/>
    <x v="0"/>
  </r>
  <r>
    <x v="10"/>
    <x v="153"/>
    <x v="393"/>
    <x v="0"/>
    <x v="53"/>
    <x v="20"/>
    <x v="18"/>
    <x v="20"/>
    <x v="1"/>
  </r>
  <r>
    <x v="10"/>
    <x v="153"/>
    <x v="394"/>
    <x v="0"/>
    <x v="232"/>
    <x v="110"/>
    <x v="80"/>
    <x v="111"/>
    <x v="0"/>
  </r>
  <r>
    <x v="10"/>
    <x v="154"/>
    <x v="395"/>
    <x v="1"/>
    <x v="288"/>
    <x v="103"/>
    <x v="73"/>
    <x v="104"/>
    <x v="0"/>
  </r>
  <r>
    <x v="10"/>
    <x v="154"/>
    <x v="396"/>
    <x v="0"/>
    <x v="53"/>
    <x v="17"/>
    <x v="16"/>
    <x v="16"/>
    <x v="1"/>
  </r>
  <r>
    <x v="10"/>
    <x v="154"/>
    <x v="397"/>
    <x v="0"/>
    <x v="130"/>
    <x v="159"/>
    <x v="126"/>
    <x v="161"/>
    <x v="0"/>
  </r>
  <r>
    <x v="10"/>
    <x v="154"/>
    <x v="398"/>
    <x v="0"/>
    <x v="1"/>
    <x v="108"/>
    <x v="78"/>
    <x v="109"/>
    <x v="0"/>
  </r>
  <r>
    <x v="10"/>
    <x v="154"/>
    <x v="399"/>
    <x v="0"/>
    <x v="261"/>
    <x v="132"/>
    <x v="99"/>
    <x v="133"/>
    <x v="0"/>
  </r>
  <r>
    <x v="10"/>
    <x v="154"/>
    <x v="400"/>
    <x v="1"/>
    <x v="36"/>
    <x v="110"/>
    <x v="80"/>
    <x v="111"/>
    <x v="0"/>
  </r>
  <r>
    <x v="10"/>
    <x v="154"/>
    <x v="401"/>
    <x v="0"/>
    <x v="209"/>
    <x v="267"/>
    <x v="228"/>
    <x v="271"/>
    <x v="0"/>
  </r>
  <r>
    <x v="10"/>
    <x v="155"/>
    <x v="402"/>
    <x v="0"/>
    <x v="199"/>
    <x v="223"/>
    <x v="187"/>
    <x v="227"/>
    <x v="0"/>
  </r>
  <r>
    <x v="10"/>
    <x v="155"/>
    <x v="403"/>
    <x v="1"/>
    <x v="63"/>
    <x v="114"/>
    <x v="84"/>
    <x v="115"/>
    <x v="0"/>
  </r>
  <r>
    <x v="10"/>
    <x v="155"/>
    <x v="404"/>
    <x v="0"/>
    <x v="343"/>
    <x v="92"/>
    <x v="65"/>
    <x v="96"/>
    <x v="0"/>
  </r>
  <r>
    <x v="10"/>
    <x v="155"/>
    <x v="405"/>
    <x v="0"/>
    <x v="53"/>
    <x v="38"/>
    <x v="26"/>
    <x v="41"/>
    <x v="1"/>
  </r>
  <r>
    <x v="10"/>
    <x v="155"/>
    <x v="406"/>
    <x v="0"/>
    <x v="319"/>
    <x v="85"/>
    <x v="60"/>
    <x v="87"/>
    <x v="0"/>
  </r>
  <r>
    <x v="10"/>
    <x v="156"/>
    <x v="407"/>
    <x v="0"/>
    <x v="312"/>
    <x v="192"/>
    <x v="157"/>
    <x v="195"/>
    <x v="0"/>
  </r>
  <r>
    <x v="10"/>
    <x v="156"/>
    <x v="408"/>
    <x v="0"/>
    <x v="44"/>
    <x v="152"/>
    <x v="119"/>
    <x v="154"/>
    <x v="0"/>
  </r>
  <r>
    <x v="10"/>
    <x v="156"/>
    <x v="409"/>
    <x v="1"/>
    <x v="134"/>
    <x v="132"/>
    <x v="99"/>
    <x v="133"/>
    <x v="0"/>
  </r>
  <r>
    <x v="10"/>
    <x v="157"/>
    <x v="410"/>
    <x v="1"/>
    <x v="68"/>
    <x v="103"/>
    <x v="73"/>
    <x v="104"/>
    <x v="0"/>
  </r>
  <r>
    <x v="10"/>
    <x v="158"/>
    <x v="411"/>
    <x v="0"/>
    <x v="76"/>
    <x v="122"/>
    <x v="92"/>
    <x v="125"/>
    <x v="0"/>
  </r>
  <r>
    <x v="10"/>
    <x v="158"/>
    <x v="412"/>
    <x v="0"/>
    <x v="53"/>
    <x v="17"/>
    <x v="16"/>
    <x v="16"/>
    <x v="1"/>
  </r>
  <r>
    <x v="10"/>
    <x v="158"/>
    <x v="413"/>
    <x v="0"/>
    <x v="223"/>
    <x v="275"/>
    <x v="235"/>
    <x v="279"/>
    <x v="0"/>
  </r>
  <r>
    <x v="10"/>
    <x v="158"/>
    <x v="414"/>
    <x v="1"/>
    <x v="128"/>
    <x v="210"/>
    <x v="175"/>
    <x v="214"/>
    <x v="0"/>
  </r>
  <r>
    <x v="10"/>
    <x v="158"/>
    <x v="415"/>
    <x v="0"/>
    <x v="254"/>
    <x v="201"/>
    <x v="166"/>
    <x v="204"/>
    <x v="0"/>
  </r>
  <r>
    <x v="10"/>
    <x v="159"/>
    <x v="416"/>
    <x v="0"/>
    <x v="110"/>
    <x v="158"/>
    <x v="125"/>
    <x v="160"/>
    <x v="0"/>
  </r>
  <r>
    <x v="10"/>
    <x v="159"/>
    <x v="417"/>
    <x v="0"/>
    <x v="264"/>
    <x v="201"/>
    <x v="166"/>
    <x v="204"/>
    <x v="0"/>
  </r>
  <r>
    <x v="10"/>
    <x v="159"/>
    <x v="418"/>
    <x v="0"/>
    <x v="247"/>
    <x v="90"/>
    <x v="63"/>
    <x v="91"/>
    <x v="0"/>
  </r>
  <r>
    <x v="10"/>
    <x v="160"/>
    <x v="419"/>
    <x v="0"/>
    <x v="183"/>
    <x v="56"/>
    <x v="39"/>
    <x v="58"/>
    <x v="0"/>
  </r>
  <r>
    <x v="10"/>
    <x v="160"/>
    <x v="420"/>
    <x v="0"/>
    <x v="334"/>
    <x v="132"/>
    <x v="99"/>
    <x v="133"/>
    <x v="0"/>
  </r>
  <r>
    <x v="10"/>
    <x v="160"/>
    <x v="421"/>
    <x v="0"/>
    <x v="5"/>
    <x v="179"/>
    <x v="144"/>
    <x v="181"/>
    <x v="0"/>
  </r>
  <r>
    <x v="10"/>
    <x v="161"/>
    <x v="422"/>
    <x v="0"/>
    <x v="311"/>
    <x v="103"/>
    <x v="73"/>
    <x v="104"/>
    <x v="0"/>
  </r>
  <r>
    <x v="10"/>
    <x v="161"/>
    <x v="423"/>
    <x v="1"/>
    <x v="297"/>
    <x v="96"/>
    <x v="69"/>
    <x v="99"/>
    <x v="0"/>
  </r>
  <r>
    <x v="10"/>
    <x v="161"/>
    <x v="424"/>
    <x v="0"/>
    <x v="331"/>
    <x v="191"/>
    <x v="156"/>
    <x v="194"/>
    <x v="0"/>
  </r>
  <r>
    <x v="10"/>
    <x v="162"/>
    <x v="425"/>
    <x v="0"/>
    <x v="244"/>
    <x v="94"/>
    <x v="66"/>
    <x v="97"/>
    <x v="0"/>
  </r>
  <r>
    <x v="10"/>
    <x v="163"/>
    <x v="426"/>
    <x v="0"/>
    <x v="89"/>
    <x v="62"/>
    <x v="45"/>
    <x v="64"/>
    <x v="0"/>
  </r>
  <r>
    <x v="10"/>
    <x v="163"/>
    <x v="427"/>
    <x v="0"/>
    <x v="188"/>
    <x v="103"/>
    <x v="73"/>
    <x v="104"/>
    <x v="0"/>
  </r>
  <r>
    <x v="10"/>
    <x v="163"/>
    <x v="428"/>
    <x v="0"/>
    <x v="117"/>
    <x v="69"/>
    <x v="48"/>
    <x v="70"/>
    <x v="0"/>
  </r>
  <r>
    <x v="10"/>
    <x v="164"/>
    <x v="429"/>
    <x v="1"/>
    <x v="324"/>
    <x v="240"/>
    <x v="203"/>
    <x v="244"/>
    <x v="0"/>
  </r>
  <r>
    <x v="10"/>
    <x v="164"/>
    <x v="430"/>
    <x v="1"/>
    <x v="236"/>
    <x v="149"/>
    <x v="116"/>
    <x v="150"/>
    <x v="0"/>
  </r>
  <r>
    <x v="10"/>
    <x v="164"/>
    <x v="431"/>
    <x v="1"/>
    <x v="159"/>
    <x v="122"/>
    <x v="92"/>
    <x v="125"/>
    <x v="0"/>
  </r>
  <r>
    <x v="10"/>
    <x v="164"/>
    <x v="432"/>
    <x v="0"/>
    <x v="253"/>
    <x v="77"/>
    <x v="53"/>
    <x v="78"/>
    <x v="0"/>
  </r>
  <r>
    <x v="10"/>
    <x v="164"/>
    <x v="433"/>
    <x v="0"/>
    <x v="253"/>
    <x v="132"/>
    <x v="99"/>
    <x v="133"/>
    <x v="0"/>
  </r>
  <r>
    <x v="10"/>
    <x v="165"/>
    <x v="434"/>
    <x v="1"/>
    <x v="320"/>
    <x v="250"/>
    <x v="213"/>
    <x v="255"/>
    <x v="0"/>
  </r>
  <r>
    <x v="10"/>
    <x v="165"/>
    <x v="435"/>
    <x v="1"/>
    <x v="243"/>
    <x v="124"/>
    <x v="92"/>
    <x v="126"/>
    <x v="0"/>
  </r>
  <r>
    <x v="10"/>
    <x v="165"/>
    <x v="436"/>
    <x v="0"/>
    <x v="60"/>
    <x v="168"/>
    <x v="134"/>
    <x v="170"/>
    <x v="0"/>
  </r>
  <r>
    <x v="10"/>
    <x v="165"/>
    <x v="437"/>
    <x v="0"/>
    <x v="163"/>
    <x v="149"/>
    <x v="116"/>
    <x v="150"/>
    <x v="0"/>
  </r>
  <r>
    <x v="10"/>
    <x v="166"/>
    <x v="438"/>
    <x v="0"/>
    <x v="53"/>
    <x v="49"/>
    <x v="34"/>
    <x v="49"/>
    <x v="1"/>
  </r>
  <r>
    <x v="10"/>
    <x v="166"/>
    <x v="439"/>
    <x v="0"/>
    <x v="263"/>
    <x v="92"/>
    <x v="65"/>
    <x v="96"/>
    <x v="0"/>
  </r>
  <r>
    <x v="10"/>
    <x v="166"/>
    <x v="440"/>
    <x v="1"/>
    <x v="11"/>
    <x v="197"/>
    <x v="161"/>
    <x v="200"/>
    <x v="0"/>
  </r>
  <r>
    <x v="10"/>
    <x v="166"/>
    <x v="441"/>
    <x v="0"/>
    <x v="116"/>
    <x v="135"/>
    <x v="102"/>
    <x v="136"/>
    <x v="0"/>
  </r>
  <r>
    <x v="10"/>
    <x v="166"/>
    <x v="442"/>
    <x v="0"/>
    <x v="195"/>
    <x v="201"/>
    <x v="166"/>
    <x v="204"/>
    <x v="0"/>
  </r>
  <r>
    <x v="10"/>
    <x v="166"/>
    <x v="443"/>
    <x v="1"/>
    <x v="114"/>
    <x v="233"/>
    <x v="197"/>
    <x v="238"/>
    <x v="0"/>
  </r>
  <r>
    <x v="10"/>
    <x v="166"/>
    <x v="444"/>
    <x v="0"/>
    <x v="354"/>
    <x v="158"/>
    <x v="125"/>
    <x v="160"/>
    <x v="0"/>
  </r>
  <r>
    <x v="10"/>
    <x v="167"/>
    <x v="445"/>
    <x v="0"/>
    <x v="166"/>
    <x v="201"/>
    <x v="166"/>
    <x v="204"/>
    <x v="0"/>
  </r>
  <r>
    <x v="10"/>
    <x v="167"/>
    <x v="446"/>
    <x v="0"/>
    <x v="335"/>
    <x v="149"/>
    <x v="116"/>
    <x v="150"/>
    <x v="0"/>
  </r>
  <r>
    <x v="10"/>
    <x v="167"/>
    <x v="447"/>
    <x v="0"/>
    <x v="107"/>
    <x v="85"/>
    <x v="60"/>
    <x v="87"/>
    <x v="0"/>
  </r>
  <r>
    <x v="10"/>
    <x v="168"/>
    <x v="448"/>
    <x v="0"/>
    <x v="37"/>
    <x v="201"/>
    <x v="166"/>
    <x v="204"/>
    <x v="0"/>
  </r>
  <r>
    <x v="10"/>
    <x v="168"/>
    <x v="449"/>
    <x v="1"/>
    <x v="219"/>
    <x v="259"/>
    <x v="221"/>
    <x v="263"/>
    <x v="0"/>
  </r>
  <r>
    <x v="10"/>
    <x v="169"/>
    <x v="450"/>
    <x v="0"/>
    <x v="106"/>
    <x v="76"/>
    <x v="52"/>
    <x v="76"/>
    <x v="0"/>
  </r>
  <r>
    <x v="10"/>
    <x v="169"/>
    <x v="451"/>
    <x v="0"/>
    <x v="25"/>
    <x v="69"/>
    <x v="48"/>
    <x v="70"/>
    <x v="0"/>
  </r>
  <r>
    <x v="10"/>
    <x v="169"/>
    <x v="452"/>
    <x v="0"/>
    <x v="202"/>
    <x v="158"/>
    <x v="125"/>
    <x v="160"/>
    <x v="0"/>
  </r>
  <r>
    <x v="10"/>
    <x v="169"/>
    <x v="453"/>
    <x v="1"/>
    <x v="239"/>
    <x v="231"/>
    <x v="195"/>
    <x v="236"/>
    <x v="0"/>
  </r>
  <r>
    <x v="10"/>
    <x v="169"/>
    <x v="454"/>
    <x v="0"/>
    <x v="121"/>
    <x v="284"/>
    <x v="244"/>
    <x v="288"/>
    <x v="0"/>
  </r>
  <r>
    <x v="10"/>
    <x v="170"/>
    <x v="455"/>
    <x v="1"/>
    <x v="306"/>
    <x v="103"/>
    <x v="73"/>
    <x v="104"/>
    <x v="0"/>
  </r>
  <r>
    <x v="10"/>
    <x v="170"/>
    <x v="456"/>
    <x v="0"/>
    <x v="348"/>
    <x v="215"/>
    <x v="179"/>
    <x v="218"/>
    <x v="0"/>
  </r>
  <r>
    <x v="10"/>
    <x v="170"/>
    <x v="457"/>
    <x v="1"/>
    <x v="217"/>
    <x v="132"/>
    <x v="99"/>
    <x v="133"/>
    <x v="0"/>
  </r>
  <r>
    <x v="10"/>
    <x v="170"/>
    <x v="458"/>
    <x v="0"/>
    <x v="258"/>
    <x v="76"/>
    <x v="52"/>
    <x v="76"/>
    <x v="0"/>
  </r>
  <r>
    <x v="10"/>
    <x v="170"/>
    <x v="459"/>
    <x v="0"/>
    <x v="252"/>
    <x v="249"/>
    <x v="212"/>
    <x v="254"/>
    <x v="0"/>
  </r>
  <r>
    <x v="10"/>
    <x v="170"/>
    <x v="460"/>
    <x v="1"/>
    <x v="279"/>
    <x v="158"/>
    <x v="125"/>
    <x v="160"/>
    <x v="0"/>
  </r>
  <r>
    <x v="10"/>
    <x v="170"/>
    <x v="461"/>
    <x v="0"/>
    <x v="174"/>
    <x v="274"/>
    <x v="234"/>
    <x v="278"/>
    <x v="0"/>
  </r>
  <r>
    <x v="10"/>
    <x v="170"/>
    <x v="462"/>
    <x v="0"/>
    <x v="173"/>
    <x v="274"/>
    <x v="234"/>
    <x v="278"/>
    <x v="0"/>
  </r>
  <r>
    <x v="10"/>
    <x v="170"/>
    <x v="463"/>
    <x v="1"/>
    <x v="33"/>
    <x v="71"/>
    <x v="49"/>
    <x v="71"/>
    <x v="0"/>
  </r>
  <r>
    <x v="10"/>
    <x v="170"/>
    <x v="464"/>
    <x v="0"/>
    <x v="50"/>
    <x v="221"/>
    <x v="186"/>
    <x v="225"/>
    <x v="0"/>
  </r>
  <r>
    <x v="10"/>
    <x v="170"/>
    <x v="465"/>
    <x v="1"/>
    <x v="314"/>
    <x v="188"/>
    <x v="153"/>
    <x v="191"/>
    <x v="0"/>
  </r>
  <r>
    <x v="10"/>
    <x v="171"/>
    <x v="466"/>
    <x v="1"/>
    <x v="152"/>
    <x v="132"/>
    <x v="99"/>
    <x v="133"/>
    <x v="0"/>
  </r>
  <r>
    <x v="10"/>
    <x v="171"/>
    <x v="467"/>
    <x v="1"/>
    <x v="311"/>
    <x v="117"/>
    <x v="87"/>
    <x v="119"/>
    <x v="0"/>
  </r>
  <r>
    <x v="10"/>
    <x v="171"/>
    <x v="468"/>
    <x v="0"/>
    <x v="74"/>
    <x v="132"/>
    <x v="99"/>
    <x v="133"/>
    <x v="0"/>
  </r>
  <r>
    <x v="10"/>
    <x v="172"/>
    <x v="469"/>
    <x v="0"/>
    <x v="165"/>
    <x v="201"/>
    <x v="166"/>
    <x v="204"/>
    <x v="0"/>
  </r>
  <r>
    <x v="10"/>
    <x v="172"/>
    <x v="470"/>
    <x v="1"/>
    <x v="105"/>
    <x v="158"/>
    <x v="125"/>
    <x v="160"/>
    <x v="0"/>
  </r>
  <r>
    <x v="10"/>
    <x v="173"/>
    <x v="471"/>
    <x v="0"/>
    <x v="85"/>
    <x v="247"/>
    <x v="210"/>
    <x v="252"/>
    <x v="0"/>
  </r>
  <r>
    <x v="10"/>
    <x v="174"/>
    <x v="472"/>
    <x v="0"/>
    <x v="53"/>
    <x v="74"/>
    <x v="51"/>
    <x v="74"/>
    <x v="1"/>
  </r>
  <r>
    <x v="10"/>
    <x v="174"/>
    <x v="473"/>
    <x v="0"/>
    <x v="53"/>
    <x v="86"/>
    <x v="62"/>
    <x v="88"/>
    <x v="1"/>
  </r>
  <r>
    <x v="10"/>
    <x v="175"/>
    <x v="474"/>
    <x v="1"/>
    <x v="241"/>
    <x v="225"/>
    <x v="189"/>
    <x v="229"/>
    <x v="0"/>
  </r>
  <r>
    <x v="10"/>
    <x v="176"/>
    <x v="475"/>
    <x v="0"/>
    <x v="304"/>
    <x v="84"/>
    <x v="58"/>
    <x v="86"/>
    <x v="0"/>
  </r>
  <r>
    <x v="10"/>
    <x v="177"/>
    <x v="476"/>
    <x v="0"/>
    <x v="80"/>
    <x v="97"/>
    <x v="71"/>
    <x v="101"/>
    <x v="0"/>
  </r>
  <r>
    <x v="10"/>
    <x v="177"/>
    <x v="477"/>
    <x v="0"/>
    <x v="282"/>
    <x v="161"/>
    <x v="128"/>
    <x v="163"/>
    <x v="0"/>
  </r>
  <r>
    <x v="10"/>
    <x v="177"/>
    <x v="478"/>
    <x v="0"/>
    <x v="94"/>
    <x v="201"/>
    <x v="166"/>
    <x v="204"/>
    <x v="0"/>
  </r>
  <r>
    <x v="10"/>
    <x v="178"/>
    <x v="479"/>
    <x v="0"/>
    <x v="321"/>
    <x v="280"/>
    <x v="240"/>
    <x v="284"/>
    <x v="0"/>
  </r>
  <r>
    <x v="10"/>
    <x v="168"/>
    <x v="4"/>
    <x v="0"/>
    <x v="228"/>
    <x v="8"/>
    <x v="8"/>
    <x v="8"/>
    <x v="0"/>
  </r>
  <r>
    <x v="10"/>
    <x v="168"/>
    <x v="5"/>
    <x v="0"/>
    <x v="228"/>
    <x v="8"/>
    <x v="8"/>
    <x v="8"/>
    <x v="0"/>
  </r>
  <r>
    <x v="10"/>
    <x v="178"/>
    <x v="6"/>
    <x v="0"/>
    <x v="355"/>
    <x v="9"/>
    <x v="9"/>
    <x v="9"/>
    <x v="0"/>
  </r>
  <r>
    <x v="10"/>
    <x v="178"/>
    <x v="7"/>
    <x v="0"/>
    <x v="355"/>
    <x v="9"/>
    <x v="9"/>
    <x v="9"/>
    <x v="0"/>
  </r>
  <r>
    <x v="10"/>
    <x v="178"/>
    <x v="480"/>
    <x v="0"/>
    <x v="132"/>
    <x v="147"/>
    <x v="115"/>
    <x v="148"/>
    <x v="0"/>
  </r>
  <r>
    <x v="11"/>
    <x v="179"/>
    <x v="481"/>
    <x v="0"/>
    <x v="81"/>
    <x v="92"/>
    <x v="65"/>
    <x v="96"/>
    <x v="0"/>
  </r>
  <r>
    <x v="11"/>
    <x v="179"/>
    <x v="482"/>
    <x v="1"/>
    <x v="322"/>
    <x v="69"/>
    <x v="48"/>
    <x v="70"/>
    <x v="0"/>
  </r>
  <r>
    <x v="11"/>
    <x v="179"/>
    <x v="483"/>
    <x v="1"/>
    <x v="196"/>
    <x v="161"/>
    <x v="128"/>
    <x v="163"/>
    <x v="0"/>
  </r>
  <r>
    <x v="11"/>
    <x v="179"/>
    <x v="484"/>
    <x v="1"/>
    <x v="14"/>
    <x v="261"/>
    <x v="223"/>
    <x v="265"/>
    <x v="0"/>
  </r>
  <r>
    <x v="11"/>
    <x v="179"/>
    <x v="485"/>
    <x v="0"/>
    <x v="61"/>
    <x v="181"/>
    <x v="146"/>
    <x v="184"/>
    <x v="0"/>
  </r>
  <r>
    <x v="11"/>
    <x v="180"/>
    <x v="486"/>
    <x v="0"/>
    <x v="53"/>
    <x v="17"/>
    <x v="16"/>
    <x v="16"/>
    <x v="1"/>
  </r>
  <r>
    <x v="11"/>
    <x v="180"/>
    <x v="487"/>
    <x v="0"/>
    <x v="53"/>
    <x v="20"/>
    <x v="18"/>
    <x v="20"/>
    <x v="1"/>
  </r>
  <r>
    <x v="11"/>
    <x v="181"/>
    <x v="488"/>
    <x v="1"/>
    <x v="319"/>
    <x v="206"/>
    <x v="171"/>
    <x v="210"/>
    <x v="0"/>
  </r>
  <r>
    <x v="11"/>
    <x v="181"/>
    <x v="489"/>
    <x v="0"/>
    <x v="227"/>
    <x v="201"/>
    <x v="166"/>
    <x v="204"/>
    <x v="0"/>
  </r>
  <r>
    <x v="11"/>
    <x v="181"/>
    <x v="490"/>
    <x v="0"/>
    <x v="323"/>
    <x v="181"/>
    <x v="146"/>
    <x v="184"/>
    <x v="0"/>
  </r>
  <r>
    <x v="11"/>
    <x v="181"/>
    <x v="491"/>
    <x v="0"/>
    <x v="278"/>
    <x v="271"/>
    <x v="232"/>
    <x v="276"/>
    <x v="0"/>
  </r>
  <r>
    <x v="11"/>
    <x v="181"/>
    <x v="492"/>
    <x v="0"/>
    <x v="73"/>
    <x v="243"/>
    <x v="206"/>
    <x v="247"/>
    <x v="0"/>
  </r>
  <r>
    <x v="11"/>
    <x v="182"/>
    <x v="493"/>
    <x v="0"/>
    <x v="340"/>
    <x v="132"/>
    <x v="99"/>
    <x v="133"/>
    <x v="0"/>
  </r>
  <r>
    <x v="11"/>
    <x v="182"/>
    <x v="494"/>
    <x v="0"/>
    <x v="83"/>
    <x v="132"/>
    <x v="99"/>
    <x v="133"/>
    <x v="0"/>
  </r>
  <r>
    <x v="11"/>
    <x v="183"/>
    <x v="495"/>
    <x v="1"/>
    <x v="68"/>
    <x v="103"/>
    <x v="73"/>
    <x v="104"/>
    <x v="0"/>
  </r>
  <r>
    <x v="11"/>
    <x v="183"/>
    <x v="496"/>
    <x v="0"/>
    <x v="232"/>
    <x v="110"/>
    <x v="80"/>
    <x v="111"/>
    <x v="0"/>
  </r>
  <r>
    <x v="11"/>
    <x v="183"/>
    <x v="497"/>
    <x v="0"/>
    <x v="156"/>
    <x v="201"/>
    <x v="166"/>
    <x v="204"/>
    <x v="0"/>
  </r>
  <r>
    <x v="11"/>
    <x v="183"/>
    <x v="498"/>
    <x v="0"/>
    <x v="109"/>
    <x v="201"/>
    <x v="166"/>
    <x v="204"/>
    <x v="0"/>
  </r>
  <r>
    <x v="11"/>
    <x v="184"/>
    <x v="499"/>
    <x v="0"/>
    <x v="53"/>
    <x v="38"/>
    <x v="26"/>
    <x v="41"/>
    <x v="1"/>
  </r>
  <r>
    <x v="11"/>
    <x v="184"/>
    <x v="500"/>
    <x v="1"/>
    <x v="76"/>
    <x v="122"/>
    <x v="92"/>
    <x v="125"/>
    <x v="0"/>
  </r>
  <r>
    <x v="11"/>
    <x v="184"/>
    <x v="501"/>
    <x v="0"/>
    <x v="53"/>
    <x v="17"/>
    <x v="16"/>
    <x v="16"/>
    <x v="1"/>
  </r>
  <r>
    <x v="11"/>
    <x v="184"/>
    <x v="502"/>
    <x v="1"/>
    <x v="220"/>
    <x v="277"/>
    <x v="237"/>
    <x v="281"/>
    <x v="0"/>
  </r>
  <r>
    <x v="11"/>
    <x v="185"/>
    <x v="503"/>
    <x v="0"/>
    <x v="180"/>
    <x v="191"/>
    <x v="156"/>
    <x v="194"/>
    <x v="0"/>
  </r>
  <r>
    <x v="11"/>
    <x v="185"/>
    <x v="504"/>
    <x v="0"/>
    <x v="343"/>
    <x v="183"/>
    <x v="148"/>
    <x v="186"/>
    <x v="0"/>
  </r>
  <r>
    <x v="11"/>
    <x v="185"/>
    <x v="505"/>
    <x v="0"/>
    <x v="126"/>
    <x v="200"/>
    <x v="165"/>
    <x v="203"/>
    <x v="0"/>
  </r>
  <r>
    <x v="11"/>
    <x v="186"/>
    <x v="506"/>
    <x v="0"/>
    <x v="183"/>
    <x v="56"/>
    <x v="39"/>
    <x v="58"/>
    <x v="0"/>
  </r>
  <r>
    <x v="11"/>
    <x v="187"/>
    <x v="507"/>
    <x v="1"/>
    <x v="297"/>
    <x v="96"/>
    <x v="69"/>
    <x v="99"/>
    <x v="0"/>
  </r>
  <r>
    <x v="11"/>
    <x v="188"/>
    <x v="508"/>
    <x v="1"/>
    <x v="244"/>
    <x v="94"/>
    <x v="66"/>
    <x v="97"/>
    <x v="0"/>
  </r>
  <r>
    <x v="11"/>
    <x v="189"/>
    <x v="509"/>
    <x v="0"/>
    <x v="89"/>
    <x v="62"/>
    <x v="45"/>
    <x v="64"/>
    <x v="0"/>
  </r>
  <r>
    <x v="11"/>
    <x v="189"/>
    <x v="510"/>
    <x v="0"/>
    <x v="188"/>
    <x v="103"/>
    <x v="73"/>
    <x v="104"/>
    <x v="0"/>
  </r>
  <r>
    <x v="11"/>
    <x v="189"/>
    <x v="511"/>
    <x v="0"/>
    <x v="218"/>
    <x v="185"/>
    <x v="151"/>
    <x v="189"/>
    <x v="0"/>
  </r>
  <r>
    <x v="11"/>
    <x v="189"/>
    <x v="512"/>
    <x v="1"/>
    <x v="326"/>
    <x v="158"/>
    <x v="125"/>
    <x v="160"/>
    <x v="0"/>
  </r>
  <r>
    <x v="11"/>
    <x v="190"/>
    <x v="513"/>
    <x v="1"/>
    <x v="345"/>
    <x v="191"/>
    <x v="156"/>
    <x v="194"/>
    <x v="0"/>
  </r>
  <r>
    <x v="11"/>
    <x v="190"/>
    <x v="514"/>
    <x v="1"/>
    <x v="154"/>
    <x v="149"/>
    <x v="116"/>
    <x v="150"/>
    <x v="0"/>
  </r>
  <r>
    <x v="11"/>
    <x v="191"/>
    <x v="515"/>
    <x v="0"/>
    <x v="100"/>
    <x v="94"/>
    <x v="66"/>
    <x v="97"/>
    <x v="0"/>
  </r>
  <r>
    <x v="11"/>
    <x v="191"/>
    <x v="516"/>
    <x v="0"/>
    <x v="170"/>
    <x v="208"/>
    <x v="173"/>
    <x v="212"/>
    <x v="0"/>
  </r>
  <r>
    <x v="11"/>
    <x v="191"/>
    <x v="517"/>
    <x v="1"/>
    <x v="43"/>
    <x v="276"/>
    <x v="236"/>
    <x v="280"/>
    <x v="0"/>
  </r>
  <r>
    <x v="11"/>
    <x v="191"/>
    <x v="518"/>
    <x v="0"/>
    <x v="266"/>
    <x v="272"/>
    <x v="233"/>
    <x v="277"/>
    <x v="0"/>
  </r>
  <r>
    <x v="11"/>
    <x v="191"/>
    <x v="519"/>
    <x v="0"/>
    <x v="131"/>
    <x v="201"/>
    <x v="166"/>
    <x v="204"/>
    <x v="0"/>
  </r>
  <r>
    <x v="11"/>
    <x v="192"/>
    <x v="520"/>
    <x v="1"/>
    <x v="320"/>
    <x v="254"/>
    <x v="216"/>
    <x v="258"/>
    <x v="0"/>
  </r>
  <r>
    <x v="11"/>
    <x v="192"/>
    <x v="521"/>
    <x v="1"/>
    <x v="243"/>
    <x v="124"/>
    <x v="92"/>
    <x v="126"/>
    <x v="0"/>
  </r>
  <r>
    <x v="11"/>
    <x v="193"/>
    <x v="522"/>
    <x v="0"/>
    <x v="53"/>
    <x v="54"/>
    <x v="39"/>
    <x v="56"/>
    <x v="1"/>
  </r>
  <r>
    <x v="11"/>
    <x v="194"/>
    <x v="523"/>
    <x v="0"/>
    <x v="335"/>
    <x v="149"/>
    <x v="116"/>
    <x v="150"/>
    <x v="0"/>
  </r>
  <r>
    <x v="11"/>
    <x v="194"/>
    <x v="524"/>
    <x v="1"/>
    <x v="107"/>
    <x v="85"/>
    <x v="60"/>
    <x v="87"/>
    <x v="0"/>
  </r>
  <r>
    <x v="11"/>
    <x v="195"/>
    <x v="525"/>
    <x v="1"/>
    <x v="57"/>
    <x v="224"/>
    <x v="188"/>
    <x v="228"/>
    <x v="0"/>
  </r>
  <r>
    <x v="11"/>
    <x v="195"/>
    <x v="526"/>
    <x v="0"/>
    <x v="325"/>
    <x v="282"/>
    <x v="242"/>
    <x v="286"/>
    <x v="0"/>
  </r>
  <r>
    <x v="11"/>
    <x v="195"/>
    <x v="527"/>
    <x v="0"/>
    <x v="153"/>
    <x v="201"/>
    <x v="166"/>
    <x v="204"/>
    <x v="0"/>
  </r>
  <r>
    <x v="11"/>
    <x v="195"/>
    <x v="528"/>
    <x v="0"/>
    <x v="117"/>
    <x v="69"/>
    <x v="48"/>
    <x v="70"/>
    <x v="0"/>
  </r>
  <r>
    <x v="11"/>
    <x v="196"/>
    <x v="529"/>
    <x v="1"/>
    <x v="339"/>
    <x v="214"/>
    <x v="178"/>
    <x v="217"/>
    <x v="0"/>
  </r>
  <r>
    <x v="11"/>
    <x v="196"/>
    <x v="530"/>
    <x v="1"/>
    <x v="106"/>
    <x v="76"/>
    <x v="52"/>
    <x v="76"/>
    <x v="0"/>
  </r>
  <r>
    <x v="11"/>
    <x v="196"/>
    <x v="531"/>
    <x v="0"/>
    <x v="25"/>
    <x v="69"/>
    <x v="48"/>
    <x v="70"/>
    <x v="0"/>
  </r>
  <r>
    <x v="11"/>
    <x v="196"/>
    <x v="532"/>
    <x v="0"/>
    <x v="17"/>
    <x v="201"/>
    <x v="166"/>
    <x v="204"/>
    <x v="0"/>
  </r>
  <r>
    <x v="11"/>
    <x v="196"/>
    <x v="533"/>
    <x v="0"/>
    <x v="102"/>
    <x v="158"/>
    <x v="125"/>
    <x v="160"/>
    <x v="0"/>
  </r>
  <r>
    <x v="11"/>
    <x v="196"/>
    <x v="534"/>
    <x v="0"/>
    <x v="47"/>
    <x v="129"/>
    <x v="97"/>
    <x v="131"/>
    <x v="0"/>
  </r>
  <r>
    <x v="11"/>
    <x v="198"/>
    <x v="535"/>
    <x v="1"/>
    <x v="306"/>
    <x v="103"/>
    <x v="73"/>
    <x v="104"/>
    <x v="0"/>
  </r>
  <r>
    <x v="11"/>
    <x v="198"/>
    <x v="536"/>
    <x v="1"/>
    <x v="279"/>
    <x v="158"/>
    <x v="125"/>
    <x v="160"/>
    <x v="0"/>
  </r>
  <r>
    <x v="11"/>
    <x v="198"/>
    <x v="537"/>
    <x v="1"/>
    <x v="258"/>
    <x v="76"/>
    <x v="52"/>
    <x v="76"/>
    <x v="0"/>
  </r>
  <r>
    <x v="11"/>
    <x v="197"/>
    <x v="538"/>
    <x v="1"/>
    <x v="250"/>
    <x v="211"/>
    <x v="14"/>
    <x v="206"/>
    <x v="0"/>
  </r>
  <r>
    <x v="11"/>
    <x v="199"/>
    <x v="539"/>
    <x v="1"/>
    <x v="311"/>
    <x v="117"/>
    <x v="87"/>
    <x v="119"/>
    <x v="0"/>
  </r>
  <r>
    <x v="11"/>
    <x v="199"/>
    <x v="540"/>
    <x v="0"/>
    <x v="26"/>
    <x v="161"/>
    <x v="128"/>
    <x v="163"/>
    <x v="0"/>
  </r>
  <r>
    <x v="11"/>
    <x v="200"/>
    <x v="541"/>
    <x v="1"/>
    <x v="159"/>
    <x v="285"/>
    <x v="245"/>
    <x v="289"/>
    <x v="0"/>
  </r>
  <r>
    <x v="11"/>
    <x v="201"/>
    <x v="542"/>
    <x v="1"/>
    <x v="129"/>
    <x v="76"/>
    <x v="52"/>
    <x v="76"/>
    <x v="0"/>
  </r>
  <r>
    <x v="11"/>
    <x v="201"/>
    <x v="543"/>
    <x v="1"/>
    <x v="313"/>
    <x v="141"/>
    <x v="107"/>
    <x v="141"/>
    <x v="0"/>
  </r>
  <r>
    <x v="11"/>
    <x v="201"/>
    <x v="544"/>
    <x v="0"/>
    <x v="313"/>
    <x v="201"/>
    <x v="166"/>
    <x v="204"/>
    <x v="0"/>
  </r>
  <r>
    <x v="11"/>
    <x v="202"/>
    <x v="545"/>
    <x v="1"/>
    <x v="232"/>
    <x v="110"/>
    <x v="80"/>
    <x v="111"/>
    <x v="0"/>
  </r>
  <r>
    <x v="11"/>
    <x v="202"/>
    <x v="546"/>
    <x v="0"/>
    <x v="289"/>
    <x v="103"/>
    <x v="73"/>
    <x v="104"/>
    <x v="0"/>
  </r>
  <r>
    <x v="11"/>
    <x v="202"/>
    <x v="547"/>
    <x v="1"/>
    <x v="321"/>
    <x v="125"/>
    <x v="93"/>
    <x v="127"/>
    <x v="0"/>
  </r>
  <r>
    <x v="11"/>
    <x v="202"/>
    <x v="548"/>
    <x v="1"/>
    <x v="245"/>
    <x v="208"/>
    <x v="173"/>
    <x v="212"/>
    <x v="0"/>
  </r>
  <r>
    <x v="11"/>
    <x v="203"/>
    <x v="549"/>
    <x v="1"/>
    <x v="356"/>
    <x v="252"/>
    <x v="214"/>
    <x v="256"/>
    <x v="0"/>
  </r>
  <r>
    <x v="11"/>
    <x v="203"/>
    <x v="550"/>
    <x v="0"/>
    <x v="164"/>
    <x v="187"/>
    <x v="152"/>
    <x v="190"/>
    <x v="0"/>
  </r>
  <r>
    <x v="11"/>
    <x v="204"/>
    <x v="551"/>
    <x v="0"/>
    <x v="174"/>
    <x v="217"/>
    <x v="181"/>
    <x v="220"/>
    <x v="0"/>
  </r>
  <r>
    <x v="11"/>
    <x v="204"/>
    <x v="552"/>
    <x v="1"/>
    <x v="277"/>
    <x v="266"/>
    <x v="14"/>
    <x v="268"/>
    <x v="0"/>
  </r>
  <r>
    <x v="11"/>
    <x v="205"/>
    <x v="553"/>
    <x v="0"/>
    <x v="304"/>
    <x v="84"/>
    <x v="58"/>
    <x v="86"/>
    <x v="0"/>
  </r>
  <r>
    <x v="11"/>
    <x v="205"/>
    <x v="554"/>
    <x v="1"/>
    <x v="140"/>
    <x v="212"/>
    <x v="176"/>
    <x v="215"/>
    <x v="0"/>
  </r>
  <r>
    <x v="11"/>
    <x v="205"/>
    <x v="555"/>
    <x v="1"/>
    <x v="261"/>
    <x v="274"/>
    <x v="234"/>
    <x v="278"/>
    <x v="0"/>
  </r>
  <r>
    <x v="11"/>
    <x v="205"/>
    <x v="556"/>
    <x v="0"/>
    <x v="310"/>
    <x v="201"/>
    <x v="166"/>
    <x v="204"/>
    <x v="0"/>
  </r>
  <r>
    <x v="11"/>
    <x v="205"/>
    <x v="557"/>
    <x v="1"/>
    <x v="143"/>
    <x v="201"/>
    <x v="166"/>
    <x v="204"/>
    <x v="0"/>
  </r>
  <r>
    <x v="11"/>
    <x v="205"/>
    <x v="558"/>
    <x v="1"/>
    <x v="108"/>
    <x v="260"/>
    <x v="222"/>
    <x v="264"/>
    <x v="0"/>
  </r>
  <r>
    <x v="11"/>
    <x v="205"/>
    <x v="559"/>
    <x v="1"/>
    <x v="187"/>
    <x v="154"/>
    <x v="121"/>
    <x v="156"/>
    <x v="0"/>
  </r>
  <r>
    <x v="11"/>
    <x v="206"/>
    <x v="560"/>
    <x v="0"/>
    <x v="53"/>
    <x v="109"/>
    <x v="79"/>
    <x v="110"/>
    <x v="1"/>
  </r>
  <r>
    <x v="11"/>
    <x v="206"/>
    <x v="561"/>
    <x v="1"/>
    <x v="263"/>
    <x v="105"/>
    <x v="76"/>
    <x v="106"/>
    <x v="0"/>
  </r>
  <r>
    <x v="11"/>
    <x v="205"/>
    <x v="8"/>
    <x v="1"/>
    <x v="317"/>
    <x v="4"/>
    <x v="4"/>
    <x v="4"/>
    <x v="0"/>
  </r>
  <r>
    <x v="11"/>
    <x v="206"/>
    <x v="9"/>
    <x v="1"/>
    <x v="80"/>
    <x v="11"/>
    <x v="11"/>
    <x v="11"/>
    <x v="0"/>
  </r>
  <r>
    <x v="12"/>
    <x v="207"/>
    <x v="563"/>
    <x v="2"/>
    <x v="75"/>
    <x v="61"/>
    <x v="42"/>
    <x v="61"/>
    <x v="0"/>
  </r>
  <r>
    <x v="12"/>
    <x v="207"/>
    <x v="565"/>
    <x v="2"/>
    <x v="355"/>
    <x v="201"/>
    <x v="166"/>
    <x v="204"/>
    <x v="0"/>
  </r>
  <r>
    <x v="12"/>
    <x v="207"/>
    <x v="566"/>
    <x v="2"/>
    <x v="74"/>
    <x v="241"/>
    <x v="204"/>
    <x v="245"/>
    <x v="0"/>
  </r>
  <r>
    <x v="12"/>
    <x v="207"/>
    <x v="564"/>
    <x v="2"/>
    <x v="329"/>
    <x v="191"/>
    <x v="156"/>
    <x v="194"/>
    <x v="0"/>
  </r>
  <r>
    <x v="12"/>
    <x v="207"/>
    <x v="562"/>
    <x v="2"/>
    <x v="263"/>
    <x v="256"/>
    <x v="218"/>
    <x v="260"/>
    <x v="0"/>
  </r>
  <r>
    <x v="12"/>
    <x v="207"/>
    <x v="567"/>
    <x v="2"/>
    <x v="198"/>
    <x v="149"/>
    <x v="116"/>
    <x v="150"/>
    <x v="0"/>
  </r>
  <r>
    <x v="12"/>
    <x v="208"/>
    <x v="568"/>
    <x v="2"/>
    <x v="186"/>
    <x v="201"/>
    <x v="166"/>
    <x v="204"/>
    <x v="0"/>
  </r>
  <r>
    <x v="12"/>
    <x v="208"/>
    <x v="10"/>
    <x v="2"/>
    <x v="186"/>
    <x v="13"/>
    <x v="13"/>
    <x v="13"/>
    <x v="0"/>
  </r>
  <r>
    <x v="12"/>
    <x v="208"/>
    <x v="569"/>
    <x v="2"/>
    <x v="260"/>
    <x v="255"/>
    <x v="217"/>
    <x v="259"/>
    <x v="0"/>
  </r>
  <r>
    <x v="12"/>
    <x v="209"/>
    <x v="572"/>
    <x v="2"/>
    <x v="174"/>
    <x v="217"/>
    <x v="181"/>
    <x v="220"/>
    <x v="0"/>
  </r>
  <r>
    <x v="12"/>
    <x v="209"/>
    <x v="570"/>
    <x v="2"/>
    <x v="263"/>
    <x v="106"/>
    <x v="75"/>
    <x v="107"/>
    <x v="0"/>
  </r>
  <r>
    <x v="12"/>
    <x v="209"/>
    <x v="571"/>
    <x v="2"/>
    <x v="53"/>
    <x v="16"/>
    <x v="17"/>
    <x v="15"/>
    <x v="1"/>
  </r>
  <r>
    <x v="12"/>
    <x v="210"/>
    <x v="574"/>
    <x v="2"/>
    <x v="84"/>
    <x v="103"/>
    <x v="73"/>
    <x v="104"/>
    <x v="0"/>
  </r>
  <r>
    <x v="12"/>
    <x v="210"/>
    <x v="573"/>
    <x v="2"/>
    <x v="53"/>
    <x v="37"/>
    <x v="27"/>
    <x v="42"/>
    <x v="1"/>
  </r>
  <r>
    <x v="12"/>
    <x v="211"/>
    <x v="575"/>
    <x v="2"/>
    <x v="252"/>
    <x v="50"/>
    <x v="36"/>
    <x v="50"/>
    <x v="0"/>
  </r>
  <r>
    <x v="12"/>
    <x v="211"/>
    <x v="576"/>
    <x v="2"/>
    <x v="119"/>
    <x v="97"/>
    <x v="71"/>
    <x v="101"/>
    <x v="0"/>
  </r>
  <r>
    <x v="12"/>
    <x v="211"/>
    <x v="577"/>
    <x v="2"/>
    <x v="233"/>
    <x v="97"/>
    <x v="71"/>
    <x v="101"/>
    <x v="0"/>
  </r>
  <r>
    <x v="12"/>
    <x v="212"/>
    <x v="578"/>
    <x v="2"/>
    <x v="68"/>
    <x v="103"/>
    <x v="73"/>
    <x v="104"/>
    <x v="0"/>
  </r>
  <r>
    <x v="12"/>
    <x v="213"/>
    <x v="579"/>
    <x v="2"/>
    <x v="76"/>
    <x v="123"/>
    <x v="91"/>
    <x v="124"/>
    <x v="0"/>
  </r>
  <r>
    <x v="12"/>
    <x v="214"/>
    <x v="582"/>
    <x v="2"/>
    <x v="15"/>
    <x v="194"/>
    <x v="159"/>
    <x v="197"/>
    <x v="0"/>
  </r>
  <r>
    <x v="12"/>
    <x v="214"/>
    <x v="580"/>
    <x v="2"/>
    <x v="124"/>
    <x v="268"/>
    <x v="229"/>
    <x v="272"/>
    <x v="0"/>
  </r>
  <r>
    <x v="12"/>
    <x v="214"/>
    <x v="581"/>
    <x v="2"/>
    <x v="39"/>
    <x v="202"/>
    <x v="167"/>
    <x v="205"/>
    <x v="0"/>
  </r>
  <r>
    <x v="12"/>
    <x v="215"/>
    <x v="584"/>
    <x v="2"/>
    <x v="4"/>
    <x v="151"/>
    <x v="118"/>
    <x v="153"/>
    <x v="0"/>
  </r>
  <r>
    <x v="12"/>
    <x v="215"/>
    <x v="583"/>
    <x v="2"/>
    <x v="183"/>
    <x v="55"/>
    <x v="40"/>
    <x v="57"/>
    <x v="0"/>
  </r>
  <r>
    <x v="12"/>
    <x v="215"/>
    <x v="585"/>
    <x v="2"/>
    <x v="322"/>
    <x v="269"/>
    <x v="230"/>
    <x v="273"/>
    <x v="0"/>
  </r>
  <r>
    <x v="12"/>
    <x v="215"/>
    <x v="586"/>
    <x v="2"/>
    <x v="342"/>
    <x v="140"/>
    <x v="108"/>
    <x v="142"/>
    <x v="0"/>
  </r>
  <r>
    <x v="12"/>
    <x v="215"/>
    <x v="587"/>
    <x v="2"/>
    <x v="258"/>
    <x v="57"/>
    <x v="41"/>
    <x v="59"/>
    <x v="0"/>
  </r>
  <r>
    <x v="12"/>
    <x v="216"/>
    <x v="588"/>
    <x v="2"/>
    <x v="297"/>
    <x v="96"/>
    <x v="70"/>
    <x v="100"/>
    <x v="0"/>
  </r>
  <r>
    <x v="12"/>
    <x v="216"/>
    <x v="589"/>
    <x v="2"/>
    <x v="35"/>
    <x v="152"/>
    <x v="119"/>
    <x v="154"/>
    <x v="0"/>
  </r>
  <r>
    <x v="12"/>
    <x v="217"/>
    <x v="590"/>
    <x v="2"/>
    <x v="244"/>
    <x v="93"/>
    <x v="67"/>
    <x v="98"/>
    <x v="0"/>
  </r>
  <r>
    <x v="12"/>
    <x v="217"/>
    <x v="591"/>
    <x v="2"/>
    <x v="225"/>
    <x v="264"/>
    <x v="226"/>
    <x v="269"/>
    <x v="0"/>
  </r>
  <r>
    <x v="12"/>
    <x v="218"/>
    <x v="593"/>
    <x v="2"/>
    <x v="188"/>
    <x v="103"/>
    <x v="73"/>
    <x v="104"/>
    <x v="0"/>
  </r>
  <r>
    <x v="12"/>
    <x v="218"/>
    <x v="592"/>
    <x v="2"/>
    <x v="89"/>
    <x v="63"/>
    <x v="44"/>
    <x v="65"/>
    <x v="0"/>
  </r>
  <r>
    <x v="12"/>
    <x v="219"/>
    <x v="596"/>
    <x v="2"/>
    <x v="340"/>
    <x v="132"/>
    <x v="99"/>
    <x v="133"/>
    <x v="0"/>
  </r>
  <r>
    <x v="12"/>
    <x v="219"/>
    <x v="595"/>
    <x v="2"/>
    <x v="243"/>
    <x v="124"/>
    <x v="92"/>
    <x v="126"/>
    <x v="0"/>
  </r>
  <r>
    <x v="12"/>
    <x v="219"/>
    <x v="594"/>
    <x v="2"/>
    <x v="320"/>
    <x v="265"/>
    <x v="227"/>
    <x v="270"/>
    <x v="0"/>
  </r>
  <r>
    <x v="12"/>
    <x v="220"/>
    <x v="597"/>
    <x v="2"/>
    <x v="81"/>
    <x v="158"/>
    <x v="125"/>
    <x v="160"/>
    <x v="0"/>
  </r>
  <r>
    <x v="12"/>
    <x v="221"/>
    <x v="604"/>
    <x v="2"/>
    <x v="231"/>
    <x v="70"/>
    <x v="50"/>
    <x v="72"/>
    <x v="0"/>
  </r>
  <r>
    <x v="12"/>
    <x v="221"/>
    <x v="601"/>
    <x v="2"/>
    <x v="180"/>
    <x v="132"/>
    <x v="99"/>
    <x v="133"/>
    <x v="0"/>
  </r>
  <r>
    <x v="12"/>
    <x v="221"/>
    <x v="600"/>
    <x v="2"/>
    <x v="161"/>
    <x v="232"/>
    <x v="196"/>
    <x v="237"/>
    <x v="0"/>
  </r>
  <r>
    <x v="12"/>
    <x v="221"/>
    <x v="599"/>
    <x v="2"/>
    <x v="107"/>
    <x v="85"/>
    <x v="60"/>
    <x v="87"/>
    <x v="0"/>
  </r>
  <r>
    <x v="12"/>
    <x v="221"/>
    <x v="598"/>
    <x v="2"/>
    <x v="335"/>
    <x v="149"/>
    <x v="116"/>
    <x v="150"/>
    <x v="0"/>
  </r>
  <r>
    <x v="12"/>
    <x v="221"/>
    <x v="605"/>
    <x v="2"/>
    <x v="63"/>
    <x v="114"/>
    <x v="84"/>
    <x v="115"/>
    <x v="0"/>
  </r>
  <r>
    <x v="12"/>
    <x v="221"/>
    <x v="606"/>
    <x v="2"/>
    <x v="212"/>
    <x v="220"/>
    <x v="184"/>
    <x v="224"/>
    <x v="0"/>
  </r>
  <r>
    <x v="12"/>
    <x v="221"/>
    <x v="603"/>
    <x v="2"/>
    <x v="7"/>
    <x v="176"/>
    <x v="143"/>
    <x v="179"/>
    <x v="0"/>
  </r>
  <r>
    <x v="12"/>
    <x v="221"/>
    <x v="602"/>
    <x v="2"/>
    <x v="174"/>
    <x v="139"/>
    <x v="106"/>
    <x v="140"/>
    <x v="0"/>
  </r>
  <r>
    <x v="12"/>
    <x v="222"/>
    <x v="11"/>
    <x v="2"/>
    <x v="224"/>
    <x v="6"/>
    <x v="6"/>
    <x v="6"/>
    <x v="0"/>
  </r>
  <r>
    <x v="12"/>
    <x v="222"/>
    <x v="607"/>
    <x v="2"/>
    <x v="136"/>
    <x v="153"/>
    <x v="120"/>
    <x v="155"/>
    <x v="0"/>
  </r>
  <r>
    <x v="12"/>
    <x v="222"/>
    <x v="608"/>
    <x v="2"/>
    <x v="272"/>
    <x v="167"/>
    <x v="133"/>
    <x v="169"/>
    <x v="0"/>
  </r>
  <r>
    <x v="12"/>
    <x v="222"/>
    <x v="609"/>
    <x v="2"/>
    <x v="100"/>
    <x v="145"/>
    <x v="112"/>
    <x v="146"/>
    <x v="0"/>
  </r>
  <r>
    <x v="12"/>
    <x v="222"/>
    <x v="610"/>
    <x v="2"/>
    <x v="172"/>
    <x v="70"/>
    <x v="50"/>
    <x v="72"/>
    <x v="0"/>
  </r>
  <r>
    <x v="12"/>
    <x v="222"/>
    <x v="612"/>
    <x v="2"/>
    <x v="117"/>
    <x v="44"/>
    <x v="30"/>
    <x v="45"/>
    <x v="0"/>
  </r>
  <r>
    <x v="12"/>
    <x v="222"/>
    <x v="613"/>
    <x v="2"/>
    <x v="34"/>
    <x v="158"/>
    <x v="125"/>
    <x v="160"/>
    <x v="0"/>
  </r>
  <r>
    <x v="12"/>
    <x v="222"/>
    <x v="614"/>
    <x v="2"/>
    <x v="193"/>
    <x v="201"/>
    <x v="166"/>
    <x v="204"/>
    <x v="0"/>
  </r>
  <r>
    <x v="12"/>
    <x v="222"/>
    <x v="611"/>
    <x v="2"/>
    <x v="53"/>
    <x v="36"/>
    <x v="25"/>
    <x v="39"/>
    <x v="1"/>
  </r>
  <r>
    <x v="12"/>
    <x v="223"/>
    <x v="615"/>
    <x v="2"/>
    <x v="346"/>
    <x v="227"/>
    <x v="191"/>
    <x v="232"/>
    <x v="0"/>
  </r>
  <r>
    <x v="12"/>
    <x v="223"/>
    <x v="616"/>
    <x v="2"/>
    <x v="328"/>
    <x v="128"/>
    <x v="96"/>
    <x v="130"/>
    <x v="0"/>
  </r>
  <r>
    <x v="12"/>
    <x v="223"/>
    <x v="618"/>
    <x v="2"/>
    <x v="25"/>
    <x v="69"/>
    <x v="48"/>
    <x v="70"/>
    <x v="0"/>
  </r>
  <r>
    <x v="12"/>
    <x v="223"/>
    <x v="617"/>
    <x v="2"/>
    <x v="53"/>
    <x v="101"/>
    <x v="72"/>
    <x v="102"/>
    <x v="1"/>
  </r>
  <r>
    <x v="12"/>
    <x v="224"/>
    <x v="619"/>
    <x v="2"/>
    <x v="169"/>
    <x v="70"/>
    <x v="50"/>
    <x v="72"/>
    <x v="0"/>
  </r>
  <r>
    <x v="12"/>
    <x v="225"/>
    <x v="620"/>
    <x v="2"/>
    <x v="306"/>
    <x v="103"/>
    <x v="73"/>
    <x v="104"/>
    <x v="0"/>
  </r>
  <r>
    <x v="12"/>
    <x v="225"/>
    <x v="621"/>
    <x v="2"/>
    <x v="279"/>
    <x v="146"/>
    <x v="113"/>
    <x v="147"/>
    <x v="0"/>
  </r>
  <r>
    <x v="12"/>
    <x v="226"/>
    <x v="12"/>
    <x v="2"/>
    <x v="279"/>
    <x v="10"/>
    <x v="10"/>
    <x v="10"/>
    <x v="0"/>
  </r>
  <r>
    <x v="12"/>
    <x v="226"/>
    <x v="13"/>
    <x v="2"/>
    <x v="279"/>
    <x v="10"/>
    <x v="10"/>
    <x v="10"/>
    <x v="0"/>
  </r>
  <r>
    <x v="12"/>
    <x v="226"/>
    <x v="622"/>
    <x v="2"/>
    <x v="311"/>
    <x v="117"/>
    <x v="87"/>
    <x v="119"/>
    <x v="0"/>
  </r>
  <r>
    <x v="12"/>
    <x v="227"/>
    <x v="623"/>
    <x v="2"/>
    <x v="19"/>
    <x v="201"/>
    <x v="166"/>
    <x v="204"/>
    <x v="0"/>
  </r>
  <r>
    <x v="12"/>
    <x v="227"/>
    <x v="624"/>
    <x v="2"/>
    <x v="246"/>
    <x v="93"/>
    <x v="67"/>
    <x v="98"/>
    <x v="0"/>
  </r>
  <r>
    <x v="12"/>
    <x v="228"/>
    <x v="625"/>
    <x v="2"/>
    <x v="115"/>
    <x v="103"/>
    <x v="73"/>
    <x v="104"/>
    <x v="0"/>
  </r>
  <r>
    <x v="12"/>
    <x v="228"/>
    <x v="626"/>
    <x v="2"/>
    <x v="52"/>
    <x v="128"/>
    <x v="96"/>
    <x v="130"/>
    <x v="0"/>
  </r>
  <r>
    <x v="12"/>
    <x v="228"/>
    <x v="627"/>
    <x v="2"/>
    <x v="235"/>
    <x v="167"/>
    <x v="133"/>
    <x v="169"/>
    <x v="0"/>
  </r>
  <r>
    <x v="12"/>
    <x v="228"/>
    <x v="628"/>
    <x v="2"/>
    <x v="262"/>
    <x v="83"/>
    <x v="59"/>
    <x v="85"/>
    <x v="0"/>
  </r>
  <r>
    <x v="12"/>
    <x v="228"/>
    <x v="629"/>
    <x v="2"/>
    <x v="283"/>
    <x v="103"/>
    <x v="73"/>
    <x v="104"/>
    <x v="0"/>
  </r>
  <r>
    <x v="12"/>
    <x v="228"/>
    <x v="630"/>
    <x v="2"/>
    <x v="6"/>
    <x v="107"/>
    <x v="77"/>
    <x v="108"/>
    <x v="0"/>
  </r>
  <r>
    <x v="12"/>
    <x v="229"/>
    <x v="634"/>
    <x v="2"/>
    <x v="79"/>
    <x v="186"/>
    <x v="150"/>
    <x v="188"/>
    <x v="0"/>
  </r>
  <r>
    <x v="12"/>
    <x v="229"/>
    <x v="14"/>
    <x v="2"/>
    <x v="68"/>
    <x v="9"/>
    <x v="9"/>
    <x v="9"/>
    <x v="0"/>
  </r>
  <r>
    <x v="12"/>
    <x v="229"/>
    <x v="631"/>
    <x v="2"/>
    <x v="232"/>
    <x v="110"/>
    <x v="80"/>
    <x v="111"/>
    <x v="0"/>
  </r>
  <r>
    <x v="12"/>
    <x v="229"/>
    <x v="632"/>
    <x v="2"/>
    <x v="279"/>
    <x v="61"/>
    <x v="42"/>
    <x v="61"/>
    <x v="0"/>
  </r>
  <r>
    <x v="12"/>
    <x v="229"/>
    <x v="636"/>
    <x v="2"/>
    <x v="32"/>
    <x v="196"/>
    <x v="162"/>
    <x v="199"/>
    <x v="0"/>
  </r>
  <r>
    <x v="12"/>
    <x v="229"/>
    <x v="633"/>
    <x v="2"/>
    <x v="8"/>
    <x v="167"/>
    <x v="133"/>
    <x v="169"/>
    <x v="0"/>
  </r>
  <r>
    <x v="12"/>
    <x v="229"/>
    <x v="635"/>
    <x v="2"/>
    <x v="251"/>
    <x v="119"/>
    <x v="89"/>
    <x v="121"/>
    <x v="0"/>
  </r>
  <r>
    <x v="12"/>
    <x v="230"/>
    <x v="15"/>
    <x v="2"/>
    <x v="306"/>
    <x v="9"/>
    <x v="9"/>
    <x v="9"/>
    <x v="0"/>
  </r>
  <r>
    <x v="12"/>
    <x v="230"/>
    <x v="16"/>
    <x v="2"/>
    <x v="306"/>
    <x v="9"/>
    <x v="9"/>
    <x v="9"/>
    <x v="0"/>
  </r>
  <r>
    <x v="12"/>
    <x v="230"/>
    <x v="17"/>
    <x v="2"/>
    <x v="306"/>
    <x v="9"/>
    <x v="9"/>
    <x v="9"/>
    <x v="0"/>
  </r>
  <r>
    <x v="12"/>
    <x v="230"/>
    <x v="18"/>
    <x v="2"/>
    <x v="306"/>
    <x v="9"/>
    <x v="9"/>
    <x v="9"/>
    <x v="0"/>
  </r>
  <r>
    <x v="12"/>
    <x v="231"/>
    <x v="637"/>
    <x v="2"/>
    <x v="304"/>
    <x v="83"/>
    <x v="59"/>
    <x v="85"/>
    <x v="0"/>
  </r>
  <r>
    <x v="12"/>
    <x v="231"/>
    <x v="638"/>
    <x v="2"/>
    <x v="135"/>
    <x v="246"/>
    <x v="209"/>
    <x v="251"/>
    <x v="0"/>
  </r>
  <r>
    <x v="12"/>
    <x v="231"/>
    <x v="639"/>
    <x v="2"/>
    <x v="257"/>
    <x v="208"/>
    <x v="173"/>
    <x v="212"/>
    <x v="0"/>
  </r>
  <r>
    <x v="12"/>
    <x v="231"/>
    <x v="640"/>
    <x v="2"/>
    <x v="302"/>
    <x v="170"/>
    <x v="137"/>
    <x v="173"/>
    <x v="0"/>
  </r>
  <r>
    <x v="12"/>
    <x v="231"/>
    <x v="641"/>
    <x v="2"/>
    <x v="5"/>
    <x v="191"/>
    <x v="156"/>
    <x v="194"/>
    <x v="0"/>
  </r>
  <r>
    <x v="12"/>
    <x v="232"/>
    <x v="19"/>
    <x v="2"/>
    <x v="320"/>
    <x v="0"/>
    <x v="0"/>
    <x v="0"/>
    <x v="0"/>
  </r>
  <r>
    <x v="12"/>
    <x v="232"/>
    <x v="20"/>
    <x v="2"/>
    <x v="134"/>
    <x v="7"/>
    <x v="7"/>
    <x v="7"/>
    <x v="0"/>
  </r>
  <r>
    <x v="12"/>
    <x v="232"/>
    <x v="643"/>
    <x v="2"/>
    <x v="280"/>
    <x v="222"/>
    <x v="185"/>
    <x v="226"/>
    <x v="0"/>
  </r>
  <r>
    <x v="12"/>
    <x v="232"/>
    <x v="642"/>
    <x v="2"/>
    <x v="256"/>
    <x v="158"/>
    <x v="125"/>
    <x v="160"/>
    <x v="0"/>
  </r>
  <r>
    <x v="13"/>
    <x v="233"/>
    <x v="644"/>
    <x v="2"/>
    <x v="299"/>
    <x v="224"/>
    <x v="188"/>
    <x v="228"/>
    <x v="0"/>
  </r>
  <r>
    <x v="13"/>
    <x v="233"/>
    <x v="645"/>
    <x v="2"/>
    <x v="191"/>
    <x v="149"/>
    <x v="116"/>
    <x v="150"/>
    <x v="0"/>
  </r>
  <r>
    <x v="13"/>
    <x v="233"/>
    <x v="646"/>
    <x v="2"/>
    <x v="11"/>
    <x v="196"/>
    <x v="162"/>
    <x v="199"/>
    <x v="0"/>
  </r>
  <r>
    <x v="13"/>
    <x v="233"/>
    <x v="647"/>
    <x v="2"/>
    <x v="53"/>
    <x v="16"/>
    <x v="17"/>
    <x v="15"/>
    <x v="1"/>
  </r>
  <r>
    <x v="13"/>
    <x v="233"/>
    <x v="648"/>
    <x v="2"/>
    <x v="1"/>
    <x v="108"/>
    <x v="78"/>
    <x v="109"/>
    <x v="0"/>
  </r>
  <r>
    <x v="13"/>
    <x v="233"/>
    <x v="649"/>
    <x v="2"/>
    <x v="258"/>
    <x v="57"/>
    <x v="41"/>
    <x v="59"/>
    <x v="0"/>
  </r>
  <r>
    <x v="13"/>
    <x v="234"/>
    <x v="650"/>
    <x v="2"/>
    <x v="134"/>
    <x v="132"/>
    <x v="99"/>
    <x v="133"/>
    <x v="0"/>
  </r>
  <r>
    <x v="13"/>
    <x v="235"/>
    <x v="651"/>
    <x v="2"/>
    <x v="174"/>
    <x v="217"/>
    <x v="181"/>
    <x v="220"/>
    <x v="0"/>
  </r>
  <r>
    <x v="13"/>
    <x v="234"/>
    <x v="652"/>
    <x v="2"/>
    <x v="265"/>
    <x v="201"/>
    <x v="166"/>
    <x v="204"/>
    <x v="0"/>
  </r>
  <r>
    <x v="13"/>
    <x v="235"/>
    <x v="653"/>
    <x v="2"/>
    <x v="174"/>
    <x v="158"/>
    <x v="125"/>
    <x v="160"/>
    <x v="0"/>
  </r>
  <r>
    <x v="13"/>
    <x v="235"/>
    <x v="654"/>
    <x v="2"/>
    <x v="330"/>
    <x v="170"/>
    <x v="137"/>
    <x v="173"/>
    <x v="0"/>
  </r>
  <r>
    <x v="13"/>
    <x v="235"/>
    <x v="655"/>
    <x v="2"/>
    <x v="221"/>
    <x v="219"/>
    <x v="183"/>
    <x v="223"/>
    <x v="0"/>
  </r>
  <r>
    <x v="13"/>
    <x v="235"/>
    <x v="656"/>
    <x v="2"/>
    <x v="176"/>
    <x v="69"/>
    <x v="48"/>
    <x v="70"/>
    <x v="0"/>
  </r>
  <r>
    <x v="13"/>
    <x v="236"/>
    <x v="657"/>
    <x v="2"/>
    <x v="53"/>
    <x v="37"/>
    <x v="27"/>
    <x v="42"/>
    <x v="1"/>
  </r>
  <r>
    <x v="13"/>
    <x v="236"/>
    <x v="658"/>
    <x v="2"/>
    <x v="53"/>
    <x v="16"/>
    <x v="17"/>
    <x v="15"/>
    <x v="1"/>
  </r>
  <r>
    <x v="13"/>
    <x v="237"/>
    <x v="659"/>
    <x v="2"/>
    <x v="68"/>
    <x v="103"/>
    <x v="73"/>
    <x v="104"/>
    <x v="0"/>
  </r>
  <r>
    <x v="13"/>
    <x v="237"/>
    <x v="660"/>
    <x v="2"/>
    <x v="240"/>
    <x v="149"/>
    <x v="116"/>
    <x v="150"/>
    <x v="0"/>
  </r>
  <r>
    <x v="13"/>
    <x v="237"/>
    <x v="661"/>
    <x v="2"/>
    <x v="2"/>
    <x v="90"/>
    <x v="63"/>
    <x v="91"/>
    <x v="0"/>
  </r>
  <r>
    <x v="13"/>
    <x v="237"/>
    <x v="662"/>
    <x v="2"/>
    <x v="121"/>
    <x v="242"/>
    <x v="205"/>
    <x v="246"/>
    <x v="0"/>
  </r>
  <r>
    <x v="13"/>
    <x v="238"/>
    <x v="663"/>
    <x v="2"/>
    <x v="76"/>
    <x v="123"/>
    <x v="91"/>
    <x v="124"/>
    <x v="0"/>
  </r>
  <r>
    <x v="13"/>
    <x v="238"/>
    <x v="664"/>
    <x v="2"/>
    <x v="293"/>
    <x v="112"/>
    <x v="82"/>
    <x v="113"/>
    <x v="0"/>
  </r>
  <r>
    <x v="13"/>
    <x v="239"/>
    <x v="665"/>
    <x v="2"/>
    <x v="295"/>
    <x v="209"/>
    <x v="174"/>
    <x v="213"/>
    <x v="0"/>
  </r>
  <r>
    <x v="13"/>
    <x v="239"/>
    <x v="666"/>
    <x v="2"/>
    <x v="53"/>
    <x v="16"/>
    <x v="17"/>
    <x v="15"/>
    <x v="1"/>
  </r>
  <r>
    <x v="13"/>
    <x v="239"/>
    <x v="667"/>
    <x v="2"/>
    <x v="171"/>
    <x v="76"/>
    <x v="52"/>
    <x v="76"/>
    <x v="0"/>
  </r>
  <r>
    <x v="13"/>
    <x v="240"/>
    <x v="668"/>
    <x v="2"/>
    <x v="183"/>
    <x v="55"/>
    <x v="40"/>
    <x v="57"/>
    <x v="0"/>
  </r>
  <r>
    <x v="13"/>
    <x v="240"/>
    <x v="669"/>
    <x v="2"/>
    <x v="53"/>
    <x v="16"/>
    <x v="17"/>
    <x v="15"/>
    <x v="1"/>
  </r>
  <r>
    <x v="13"/>
    <x v="240"/>
    <x v="670"/>
    <x v="2"/>
    <x v="321"/>
    <x v="142"/>
    <x v="109"/>
    <x v="143"/>
    <x v="0"/>
  </r>
  <r>
    <x v="13"/>
    <x v="240"/>
    <x v="671"/>
    <x v="2"/>
    <x v="334"/>
    <x v="283"/>
    <x v="243"/>
    <x v="287"/>
    <x v="0"/>
  </r>
  <r>
    <x v="13"/>
    <x v="240"/>
    <x v="672"/>
    <x v="2"/>
    <x v="53"/>
    <x v="16"/>
    <x v="17"/>
    <x v="15"/>
    <x v="1"/>
  </r>
  <r>
    <x v="13"/>
    <x v="241"/>
    <x v="673"/>
    <x v="2"/>
    <x v="297"/>
    <x v="96"/>
    <x v="70"/>
    <x v="100"/>
    <x v="0"/>
  </r>
  <r>
    <x v="13"/>
    <x v="241"/>
    <x v="674"/>
    <x v="2"/>
    <x v="346"/>
    <x v="120"/>
    <x v="90"/>
    <x v="122"/>
    <x v="0"/>
  </r>
  <r>
    <x v="13"/>
    <x v="242"/>
    <x v="675"/>
    <x v="2"/>
    <x v="244"/>
    <x v="93"/>
    <x v="67"/>
    <x v="98"/>
    <x v="0"/>
  </r>
  <r>
    <x v="13"/>
    <x v="243"/>
    <x v="676"/>
    <x v="2"/>
    <x v="89"/>
    <x v="63"/>
    <x v="44"/>
    <x v="65"/>
    <x v="0"/>
  </r>
  <r>
    <x v="13"/>
    <x v="243"/>
    <x v="677"/>
    <x v="2"/>
    <x v="188"/>
    <x v="103"/>
    <x v="73"/>
    <x v="104"/>
    <x v="0"/>
  </r>
  <r>
    <x v="13"/>
    <x v="244"/>
    <x v="678"/>
    <x v="2"/>
    <x v="207"/>
    <x v="139"/>
    <x v="106"/>
    <x v="140"/>
    <x v="0"/>
  </r>
  <r>
    <x v="13"/>
    <x v="244"/>
    <x v="679"/>
    <x v="2"/>
    <x v="91"/>
    <x v="201"/>
    <x v="166"/>
    <x v="204"/>
    <x v="0"/>
  </r>
  <r>
    <x v="13"/>
    <x v="245"/>
    <x v="680"/>
    <x v="2"/>
    <x v="45"/>
    <x v="65"/>
    <x v="46"/>
    <x v="66"/>
    <x v="0"/>
  </r>
  <r>
    <x v="13"/>
    <x v="245"/>
    <x v="681"/>
    <x v="2"/>
    <x v="13"/>
    <x v="112"/>
    <x v="82"/>
    <x v="113"/>
    <x v="0"/>
  </r>
  <r>
    <x v="13"/>
    <x v="245"/>
    <x v="682"/>
    <x v="2"/>
    <x v="48"/>
    <x v="112"/>
    <x v="82"/>
    <x v="113"/>
    <x v="0"/>
  </r>
  <r>
    <x v="13"/>
    <x v="245"/>
    <x v="683"/>
    <x v="2"/>
    <x v="70"/>
    <x v="65"/>
    <x v="46"/>
    <x v="66"/>
    <x v="0"/>
  </r>
  <r>
    <x v="13"/>
    <x v="245"/>
    <x v="684"/>
    <x v="2"/>
    <x v="177"/>
    <x v="112"/>
    <x v="82"/>
    <x v="113"/>
    <x v="0"/>
  </r>
  <r>
    <x v="13"/>
    <x v="245"/>
    <x v="685"/>
    <x v="2"/>
    <x v="226"/>
    <x v="112"/>
    <x v="82"/>
    <x v="113"/>
    <x v="0"/>
  </r>
  <r>
    <x v="13"/>
    <x v="245"/>
    <x v="686"/>
    <x v="2"/>
    <x v="181"/>
    <x v="65"/>
    <x v="46"/>
    <x v="66"/>
    <x v="0"/>
  </r>
  <r>
    <x v="13"/>
    <x v="245"/>
    <x v="687"/>
    <x v="2"/>
    <x v="230"/>
    <x v="201"/>
    <x v="166"/>
    <x v="204"/>
    <x v="0"/>
  </r>
  <r>
    <x v="13"/>
    <x v="245"/>
    <x v="688"/>
    <x v="2"/>
    <x v="216"/>
    <x v="69"/>
    <x v="48"/>
    <x v="70"/>
    <x v="0"/>
  </r>
  <r>
    <x v="13"/>
    <x v="245"/>
    <x v="689"/>
    <x v="2"/>
    <x v="20"/>
    <x v="92"/>
    <x v="65"/>
    <x v="96"/>
    <x v="0"/>
  </r>
  <r>
    <x v="13"/>
    <x v="246"/>
    <x v="690"/>
    <x v="2"/>
    <x v="243"/>
    <x v="124"/>
    <x v="92"/>
    <x v="126"/>
    <x v="0"/>
  </r>
  <r>
    <x v="13"/>
    <x v="246"/>
    <x v="691"/>
    <x v="2"/>
    <x v="42"/>
    <x v="65"/>
    <x v="46"/>
    <x v="66"/>
    <x v="0"/>
  </r>
  <r>
    <x v="13"/>
    <x v="246"/>
    <x v="692"/>
    <x v="2"/>
    <x v="211"/>
    <x v="65"/>
    <x v="46"/>
    <x v="66"/>
    <x v="0"/>
  </r>
  <r>
    <x v="13"/>
    <x v="246"/>
    <x v="693"/>
    <x v="2"/>
    <x v="269"/>
    <x v="65"/>
    <x v="46"/>
    <x v="66"/>
    <x v="0"/>
  </r>
  <r>
    <x v="13"/>
    <x v="246"/>
    <x v="694"/>
    <x v="2"/>
    <x v="194"/>
    <x v="112"/>
    <x v="82"/>
    <x v="113"/>
    <x v="0"/>
  </r>
  <r>
    <x v="13"/>
    <x v="246"/>
    <x v="695"/>
    <x v="2"/>
    <x v="320"/>
    <x v="237"/>
    <x v="200"/>
    <x v="241"/>
    <x v="0"/>
  </r>
  <r>
    <x v="13"/>
    <x v="246"/>
    <x v="695"/>
    <x v="2"/>
    <x v="320"/>
    <x v="48"/>
    <x v="33"/>
    <x v="48"/>
    <x v="0"/>
  </r>
  <r>
    <x v="13"/>
    <x v="246"/>
    <x v="696"/>
    <x v="2"/>
    <x v="338"/>
    <x v="279"/>
    <x v="239"/>
    <x v="283"/>
    <x v="0"/>
  </r>
  <r>
    <x v="13"/>
    <x v="246"/>
    <x v="697"/>
    <x v="2"/>
    <x v="24"/>
    <x v="92"/>
    <x v="65"/>
    <x v="96"/>
    <x v="0"/>
  </r>
  <r>
    <x v="13"/>
    <x v="246"/>
    <x v="698"/>
    <x v="2"/>
    <x v="51"/>
    <x v="281"/>
    <x v="241"/>
    <x v="285"/>
    <x v="0"/>
  </r>
  <r>
    <x v="13"/>
    <x v="247"/>
    <x v="699"/>
    <x v="2"/>
    <x v="46"/>
    <x v="65"/>
    <x v="46"/>
    <x v="66"/>
    <x v="0"/>
  </r>
  <r>
    <x v="13"/>
    <x v="248"/>
    <x v="700"/>
    <x v="2"/>
    <x v="335"/>
    <x v="149"/>
    <x v="116"/>
    <x v="150"/>
    <x v="0"/>
  </r>
  <r>
    <x v="13"/>
    <x v="248"/>
    <x v="701"/>
    <x v="2"/>
    <x v="107"/>
    <x v="85"/>
    <x v="60"/>
    <x v="87"/>
    <x v="0"/>
  </r>
  <r>
    <x v="13"/>
    <x v="248"/>
    <x v="702"/>
    <x v="2"/>
    <x v="231"/>
    <x v="70"/>
    <x v="50"/>
    <x v="72"/>
    <x v="0"/>
  </r>
  <r>
    <x v="13"/>
    <x v="248"/>
    <x v="703"/>
    <x v="2"/>
    <x v="147"/>
    <x v="262"/>
    <x v="224"/>
    <x v="266"/>
    <x v="0"/>
  </r>
  <r>
    <x v="13"/>
    <x v="249"/>
    <x v="704"/>
    <x v="2"/>
    <x v="100"/>
    <x v="145"/>
    <x v="112"/>
    <x v="146"/>
    <x v="0"/>
  </r>
  <r>
    <x v="13"/>
    <x v="249"/>
    <x v="705"/>
    <x v="2"/>
    <x v="172"/>
    <x v="70"/>
    <x v="50"/>
    <x v="72"/>
    <x v="0"/>
  </r>
  <r>
    <x v="13"/>
    <x v="249"/>
    <x v="706"/>
    <x v="2"/>
    <x v="117"/>
    <x v="44"/>
    <x v="30"/>
    <x v="45"/>
    <x v="0"/>
  </r>
  <r>
    <x v="13"/>
    <x v="249"/>
    <x v="707"/>
    <x v="2"/>
    <x v="349"/>
    <x v="70"/>
    <x v="50"/>
    <x v="72"/>
    <x v="0"/>
  </r>
  <r>
    <x v="13"/>
    <x v="250"/>
    <x v="708"/>
    <x v="2"/>
    <x v="106"/>
    <x v="76"/>
    <x v="52"/>
    <x v="76"/>
    <x v="0"/>
  </r>
  <r>
    <x v="13"/>
    <x v="250"/>
    <x v="709"/>
    <x v="2"/>
    <x v="25"/>
    <x v="69"/>
    <x v="48"/>
    <x v="70"/>
    <x v="0"/>
  </r>
  <r>
    <x v="13"/>
    <x v="251"/>
    <x v="710"/>
    <x v="2"/>
    <x v="169"/>
    <x v="70"/>
    <x v="50"/>
    <x v="72"/>
    <x v="0"/>
  </r>
  <r>
    <x v="13"/>
    <x v="252"/>
    <x v="711"/>
    <x v="2"/>
    <x v="53"/>
    <x v="37"/>
    <x v="27"/>
    <x v="42"/>
    <x v="1"/>
  </r>
  <r>
    <x v="13"/>
    <x v="252"/>
    <x v="712"/>
    <x v="2"/>
    <x v="279"/>
    <x v="146"/>
    <x v="113"/>
    <x v="147"/>
    <x v="0"/>
  </r>
  <r>
    <x v="13"/>
    <x v="253"/>
    <x v="713"/>
    <x v="2"/>
    <x v="311"/>
    <x v="117"/>
    <x v="87"/>
    <x v="119"/>
    <x v="0"/>
  </r>
  <r>
    <x v="13"/>
    <x v="254"/>
    <x v="714"/>
    <x v="2"/>
    <x v="234"/>
    <x v="249"/>
    <x v="212"/>
    <x v="254"/>
    <x v="0"/>
  </r>
  <r>
    <x v="13"/>
    <x v="254"/>
    <x v="715"/>
    <x v="2"/>
    <x v="179"/>
    <x v="92"/>
    <x v="65"/>
    <x v="96"/>
    <x v="0"/>
  </r>
  <r>
    <x v="13"/>
    <x v="255"/>
    <x v="716"/>
    <x v="2"/>
    <x v="84"/>
    <x v="224"/>
    <x v="188"/>
    <x v="228"/>
    <x v="0"/>
  </r>
  <r>
    <x v="13"/>
    <x v="255"/>
    <x v="717"/>
    <x v="2"/>
    <x v="6"/>
    <x v="104"/>
    <x v="74"/>
    <x v="105"/>
    <x v="0"/>
  </r>
  <r>
    <x v="13"/>
    <x v="255"/>
    <x v="718"/>
    <x v="2"/>
    <x v="274"/>
    <x v="190"/>
    <x v="155"/>
    <x v="193"/>
    <x v="0"/>
  </r>
  <r>
    <x v="13"/>
    <x v="256"/>
    <x v="719"/>
    <x v="2"/>
    <x v="262"/>
    <x v="83"/>
    <x v="59"/>
    <x v="85"/>
    <x v="0"/>
  </r>
  <r>
    <x v="13"/>
    <x v="257"/>
    <x v="720"/>
    <x v="2"/>
    <x v="232"/>
    <x v="110"/>
    <x v="80"/>
    <x v="111"/>
    <x v="0"/>
  </r>
  <r>
    <x v="13"/>
    <x v="258"/>
    <x v="721"/>
    <x v="2"/>
    <x v="344"/>
    <x v="148"/>
    <x v="114"/>
    <x v="149"/>
    <x v="0"/>
  </r>
  <r>
    <x v="13"/>
    <x v="258"/>
    <x v="722"/>
    <x v="2"/>
    <x v="257"/>
    <x v="103"/>
    <x v="73"/>
    <x v="104"/>
    <x v="0"/>
  </r>
  <r>
    <x v="13"/>
    <x v="258"/>
    <x v="723"/>
    <x v="2"/>
    <x v="159"/>
    <x v="115"/>
    <x v="85"/>
    <x v="116"/>
    <x v="0"/>
  </r>
  <r>
    <x v="13"/>
    <x v="259"/>
    <x v="724"/>
    <x v="2"/>
    <x v="175"/>
    <x v="191"/>
    <x v="156"/>
    <x v="194"/>
    <x v="0"/>
  </r>
  <r>
    <x v="13"/>
    <x v="259"/>
    <x v="725"/>
    <x v="2"/>
    <x v="22"/>
    <x v="160"/>
    <x v="127"/>
    <x v="162"/>
    <x v="0"/>
  </r>
  <r>
    <x v="13"/>
    <x v="260"/>
    <x v="726"/>
    <x v="2"/>
    <x v="305"/>
    <x v="157"/>
    <x v="123"/>
    <x v="159"/>
    <x v="0"/>
  </r>
  <r>
    <x v="13"/>
    <x v="260"/>
    <x v="727"/>
    <x v="2"/>
    <x v="53"/>
    <x v="87"/>
    <x v="61"/>
    <x v="89"/>
    <x v="1"/>
  </r>
  <r>
    <x v="13"/>
    <x v="260"/>
    <x v="728"/>
    <x v="2"/>
    <x v="162"/>
    <x v="76"/>
    <x v="52"/>
    <x v="76"/>
    <x v="0"/>
  </r>
  <r>
    <x v="13"/>
    <x v="261"/>
    <x v="729"/>
    <x v="2"/>
    <x v="90"/>
    <x v="85"/>
    <x v="60"/>
    <x v="87"/>
    <x v="0"/>
  </r>
  <r>
    <x v="13"/>
    <x v="261"/>
    <x v="730"/>
    <x v="2"/>
    <x v="283"/>
    <x v="158"/>
    <x v="125"/>
    <x v="160"/>
    <x v="0"/>
  </r>
  <r>
    <x v="13"/>
    <x v="261"/>
    <x v="731"/>
    <x v="2"/>
    <x v="329"/>
    <x v="15"/>
    <x v="15"/>
    <x v="14"/>
    <x v="0"/>
  </r>
  <r>
    <x v="13"/>
    <x v="261"/>
    <x v="732"/>
    <x v="2"/>
    <x v="145"/>
    <x v="201"/>
    <x v="166"/>
    <x v="204"/>
    <x v="0"/>
  </r>
  <r>
    <x v="13"/>
    <x v="261"/>
    <x v="733"/>
    <x v="2"/>
    <x v="214"/>
    <x v="134"/>
    <x v="101"/>
    <x v="135"/>
    <x v="0"/>
  </r>
  <r>
    <x v="13"/>
    <x v="262"/>
    <x v="734"/>
    <x v="2"/>
    <x v="341"/>
    <x v="218"/>
    <x v="182"/>
    <x v="221"/>
    <x v="0"/>
  </r>
  <r>
    <x v="13"/>
    <x v="262"/>
    <x v="735"/>
    <x v="2"/>
    <x v="300"/>
    <x v="92"/>
    <x v="65"/>
    <x v="96"/>
    <x v="0"/>
  </r>
  <r>
    <x v="13"/>
    <x v="262"/>
    <x v="736"/>
    <x v="2"/>
    <x v="133"/>
    <x v="128"/>
    <x v="96"/>
    <x v="130"/>
    <x v="0"/>
  </r>
  <r>
    <x v="13"/>
    <x v="262"/>
    <x v="737"/>
    <x v="2"/>
    <x v="292"/>
    <x v="63"/>
    <x v="44"/>
    <x v="65"/>
    <x v="0"/>
  </r>
  <r>
    <x v="13"/>
    <x v="262"/>
    <x v="738"/>
    <x v="2"/>
    <x v="49"/>
    <x v="83"/>
    <x v="59"/>
    <x v="85"/>
    <x v="0"/>
  </r>
  <r>
    <x v="13"/>
    <x v="262"/>
    <x v="739"/>
    <x v="2"/>
    <x v="30"/>
    <x v="164"/>
    <x v="130"/>
    <x v="165"/>
    <x v="0"/>
  </r>
  <r>
    <x v="13"/>
    <x v="258"/>
    <x v="21"/>
    <x v="2"/>
    <x v="257"/>
    <x v="3"/>
    <x v="3"/>
    <x v="3"/>
    <x v="0"/>
  </r>
  <r>
    <x v="13"/>
    <x v="262"/>
    <x v="22"/>
    <x v="2"/>
    <x v="339"/>
    <x v="2"/>
    <x v="2"/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2">
  <r>
    <x v="33"/>
    <x v="33"/>
    <x v="0"/>
    <x v="21"/>
    <x v="0"/>
    <x v="0"/>
    <x v="1"/>
    <x v="16"/>
    <x v="0"/>
    <x v="0"/>
    <x v="0"/>
    <x v="15"/>
    <x v="17"/>
    <x v="1"/>
    <x v="0"/>
    <x v="0"/>
    <x v="0"/>
    <x v="0"/>
    <x v="0"/>
    <x v="0"/>
    <x v="0"/>
    <x v="0"/>
    <x v="0"/>
    <x v="0"/>
    <x v="1"/>
    <x v="0"/>
    <x v="0"/>
    <x v="0"/>
    <x v="8"/>
    <x v="0"/>
    <x v="12"/>
    <x v="0"/>
    <x v="0"/>
    <x v="7"/>
    <x v="18"/>
    <x v="0"/>
    <x v="0"/>
    <x v="5"/>
    <x v="0"/>
    <x v="0"/>
    <x v="9"/>
    <x v="1"/>
    <x v="1"/>
    <x v="5"/>
    <x v="0"/>
    <x v="3"/>
    <x v="3"/>
    <x v="0"/>
    <x v="0"/>
    <x v="0"/>
    <x v="0"/>
    <x v="19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7"/>
    <x v="0"/>
    <x v="0"/>
    <x v="0"/>
    <x v="7"/>
    <x v="0"/>
  </r>
  <r>
    <x v="33"/>
    <x v="33"/>
    <x v="0"/>
    <x v="11"/>
    <x v="0"/>
    <x v="0"/>
    <x v="1"/>
    <x v="41"/>
    <x v="0"/>
    <x v="0"/>
    <x v="0"/>
    <x v="44"/>
    <x v="46"/>
    <x v="0"/>
    <x v="0"/>
    <x v="0"/>
    <x v="0"/>
    <x v="0"/>
    <x v="0"/>
    <x v="0"/>
    <x v="0"/>
    <x v="0"/>
    <x v="0"/>
    <x v="0"/>
    <x v="2"/>
    <x v="0"/>
    <x v="0"/>
    <x v="0"/>
    <x v="4"/>
    <x v="0"/>
    <x v="4"/>
    <x v="0"/>
    <x v="0"/>
    <x v="12"/>
    <x v="48"/>
    <x v="0"/>
    <x v="0"/>
    <x v="0"/>
    <x v="0"/>
    <x v="0"/>
    <x v="0"/>
    <x v="0"/>
    <x v="0"/>
    <x v="3"/>
    <x v="3"/>
    <x v="2"/>
    <x v="2"/>
    <x v="15"/>
    <x v="0"/>
    <x v="0"/>
    <x v="0"/>
    <x v="47"/>
    <x v="0"/>
    <x v="0"/>
    <x v="0"/>
    <x v="0"/>
    <x v="0"/>
    <x v="0"/>
    <x v="0"/>
    <x v="1"/>
    <x v="1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12"/>
    <x v="0"/>
    <x v="0"/>
    <x v="0"/>
    <x v="12"/>
    <x v="0"/>
  </r>
  <r>
    <x v="33"/>
    <x v="33"/>
    <x v="0"/>
    <x v="11"/>
    <x v="0"/>
    <x v="0"/>
    <x v="1"/>
    <x v="41"/>
    <x v="0"/>
    <x v="0"/>
    <x v="0"/>
    <x v="44"/>
    <x v="46"/>
    <x v="0"/>
    <x v="0"/>
    <x v="0"/>
    <x v="0"/>
    <x v="0"/>
    <x v="0"/>
    <x v="0"/>
    <x v="0"/>
    <x v="0"/>
    <x v="0"/>
    <x v="0"/>
    <x v="2"/>
    <x v="0"/>
    <x v="0"/>
    <x v="0"/>
    <x v="6"/>
    <x v="0"/>
    <x v="5"/>
    <x v="0"/>
    <x v="0"/>
    <x v="0"/>
    <x v="22"/>
    <x v="0"/>
    <x v="0"/>
    <x v="0"/>
    <x v="0"/>
    <x v="0"/>
    <x v="0"/>
    <x v="0"/>
    <x v="0"/>
    <x v="3"/>
    <x v="3"/>
    <x v="2"/>
    <x v="2"/>
    <x v="15"/>
    <x v="0"/>
    <x v="0"/>
    <x v="0"/>
    <x v="23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0"/>
    <x v="40"/>
    <x v="1"/>
    <x v="10"/>
    <x v="0"/>
    <x v="0"/>
    <x v="1"/>
    <x v="18"/>
    <x v="0"/>
    <x v="0"/>
    <x v="0"/>
    <x v="51"/>
    <x v="53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52"/>
    <x v="0"/>
    <x v="0"/>
    <x v="6"/>
    <x v="0"/>
    <x v="1"/>
    <x v="10"/>
    <x v="0"/>
    <x v="0"/>
    <x v="2"/>
    <x v="1"/>
    <x v="0"/>
    <x v="0"/>
    <x v="4"/>
    <x v="0"/>
    <x v="0"/>
    <x v="0"/>
    <x v="51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40"/>
    <x v="40"/>
    <x v="1"/>
    <x v="10"/>
    <x v="0"/>
    <x v="0"/>
    <x v="1"/>
    <x v="18"/>
    <x v="0"/>
    <x v="0"/>
    <x v="0"/>
    <x v="51"/>
    <x v="53"/>
    <x v="0"/>
    <x v="0"/>
    <x v="0"/>
    <x v="0"/>
    <x v="0"/>
    <x v="0"/>
    <x v="0"/>
    <x v="0"/>
    <x v="0"/>
    <x v="0"/>
    <x v="0"/>
    <x v="2"/>
    <x v="0"/>
    <x v="0"/>
    <x v="0"/>
    <x v="2"/>
    <x v="0"/>
    <x v="12"/>
    <x v="0"/>
    <x v="0"/>
    <x v="0"/>
    <x v="30"/>
    <x v="0"/>
    <x v="0"/>
    <x v="6"/>
    <x v="0"/>
    <x v="1"/>
    <x v="10"/>
    <x v="0"/>
    <x v="0"/>
    <x v="2"/>
    <x v="1"/>
    <x v="0"/>
    <x v="0"/>
    <x v="4"/>
    <x v="0"/>
    <x v="0"/>
    <x v="0"/>
    <x v="31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7"/>
    <x v="17"/>
    <x v="1"/>
    <x v="10"/>
    <x v="0"/>
    <x v="0"/>
    <x v="1"/>
    <x v="4"/>
    <x v="0"/>
    <x v="0"/>
    <x v="0"/>
    <x v="36"/>
    <x v="37"/>
    <x v="8"/>
    <x v="0"/>
    <x v="0"/>
    <x v="0"/>
    <x v="0"/>
    <x v="0"/>
    <x v="0"/>
    <x v="0"/>
    <x v="0"/>
    <x v="0"/>
    <x v="0"/>
    <x v="1"/>
    <x v="0"/>
    <x v="0"/>
    <x v="0"/>
    <x v="1"/>
    <x v="0"/>
    <x v="3"/>
    <x v="0"/>
    <x v="0"/>
    <x v="0"/>
    <x v="42"/>
    <x v="0"/>
    <x v="0"/>
    <x v="6"/>
    <x v="0"/>
    <x v="1"/>
    <x v="10"/>
    <x v="1"/>
    <x v="1"/>
    <x v="5"/>
    <x v="0"/>
    <x v="3"/>
    <x v="3"/>
    <x v="0"/>
    <x v="0"/>
    <x v="0"/>
    <x v="0"/>
    <x v="41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1"/>
    <x v="11"/>
    <x v="1"/>
    <x v="10"/>
    <x v="0"/>
    <x v="0"/>
    <x v="1"/>
    <x v="3"/>
    <x v="0"/>
    <x v="0"/>
    <x v="0"/>
    <x v="34"/>
    <x v="33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40"/>
    <x v="0"/>
    <x v="0"/>
    <x v="6"/>
    <x v="0"/>
    <x v="1"/>
    <x v="10"/>
    <x v="1"/>
    <x v="1"/>
    <x v="5"/>
    <x v="0"/>
    <x v="3"/>
    <x v="3"/>
    <x v="0"/>
    <x v="0"/>
    <x v="0"/>
    <x v="0"/>
    <x v="39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5"/>
    <x v="5"/>
    <x v="1"/>
    <x v="10"/>
    <x v="0"/>
    <x v="0"/>
    <x v="1"/>
    <x v="2"/>
    <x v="0"/>
    <x v="0"/>
    <x v="0"/>
    <x v="27"/>
    <x v="28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33"/>
    <x v="0"/>
    <x v="0"/>
    <x v="6"/>
    <x v="0"/>
    <x v="1"/>
    <x v="10"/>
    <x v="1"/>
    <x v="1"/>
    <x v="5"/>
    <x v="0"/>
    <x v="3"/>
    <x v="3"/>
    <x v="0"/>
    <x v="0"/>
    <x v="0"/>
    <x v="0"/>
    <x v="33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"/>
    <x v="2"/>
    <x v="1"/>
    <x v="10"/>
    <x v="0"/>
    <x v="0"/>
    <x v="1"/>
    <x v="1"/>
    <x v="0"/>
    <x v="0"/>
    <x v="0"/>
    <x v="27"/>
    <x v="28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33"/>
    <x v="0"/>
    <x v="0"/>
    <x v="6"/>
    <x v="0"/>
    <x v="1"/>
    <x v="10"/>
    <x v="1"/>
    <x v="1"/>
    <x v="5"/>
    <x v="0"/>
    <x v="3"/>
    <x v="3"/>
    <x v="0"/>
    <x v="0"/>
    <x v="0"/>
    <x v="0"/>
    <x v="33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0"/>
    <x v="0"/>
    <x v="1"/>
    <x v="10"/>
    <x v="0"/>
    <x v="0"/>
    <x v="1"/>
    <x v="0"/>
    <x v="0"/>
    <x v="0"/>
    <x v="0"/>
    <x v="23"/>
    <x v="23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28"/>
    <x v="0"/>
    <x v="0"/>
    <x v="6"/>
    <x v="0"/>
    <x v="1"/>
    <x v="10"/>
    <x v="1"/>
    <x v="1"/>
    <x v="5"/>
    <x v="0"/>
    <x v="3"/>
    <x v="3"/>
    <x v="0"/>
    <x v="0"/>
    <x v="0"/>
    <x v="0"/>
    <x v="29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4"/>
    <x v="24"/>
    <x v="1"/>
    <x v="20"/>
    <x v="0"/>
    <x v="0"/>
    <x v="1"/>
    <x v="8"/>
    <x v="0"/>
    <x v="0"/>
    <x v="0"/>
    <x v="32"/>
    <x v="32"/>
    <x v="0"/>
    <x v="0"/>
    <x v="0"/>
    <x v="0"/>
    <x v="0"/>
    <x v="0"/>
    <x v="0"/>
    <x v="0"/>
    <x v="0"/>
    <x v="0"/>
    <x v="0"/>
    <x v="2"/>
    <x v="0"/>
    <x v="0"/>
    <x v="0"/>
    <x v="4"/>
    <x v="0"/>
    <x v="12"/>
    <x v="2"/>
    <x v="0"/>
    <x v="0"/>
    <x v="38"/>
    <x v="0"/>
    <x v="0"/>
    <x v="3"/>
    <x v="0"/>
    <x v="0"/>
    <x v="1"/>
    <x v="0"/>
    <x v="0"/>
    <x v="3"/>
    <x v="3"/>
    <x v="2"/>
    <x v="2"/>
    <x v="11"/>
    <x v="0"/>
    <x v="0"/>
    <x v="0"/>
    <x v="18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0"/>
    <x v="30"/>
    <x v="1"/>
    <x v="20"/>
    <x v="0"/>
    <x v="0"/>
    <x v="1"/>
    <x v="9"/>
    <x v="0"/>
    <x v="0"/>
    <x v="0"/>
    <x v="25"/>
    <x v="25"/>
    <x v="6"/>
    <x v="0"/>
    <x v="0"/>
    <x v="0"/>
    <x v="0"/>
    <x v="0"/>
    <x v="0"/>
    <x v="0"/>
    <x v="0"/>
    <x v="0"/>
    <x v="0"/>
    <x v="1"/>
    <x v="0"/>
    <x v="0"/>
    <x v="0"/>
    <x v="4"/>
    <x v="0"/>
    <x v="12"/>
    <x v="1"/>
    <x v="0"/>
    <x v="0"/>
    <x v="31"/>
    <x v="0"/>
    <x v="0"/>
    <x v="3"/>
    <x v="0"/>
    <x v="0"/>
    <x v="1"/>
    <x v="1"/>
    <x v="1"/>
    <x v="5"/>
    <x v="0"/>
    <x v="3"/>
    <x v="3"/>
    <x v="0"/>
    <x v="0"/>
    <x v="0"/>
    <x v="0"/>
    <x v="18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9"/>
    <x v="39"/>
    <x v="1"/>
    <x v="16"/>
    <x v="0"/>
    <x v="0"/>
    <x v="1"/>
    <x v="42"/>
    <x v="0"/>
    <x v="0"/>
    <x v="0"/>
    <x v="54"/>
    <x v="56"/>
    <x v="0"/>
    <x v="0"/>
    <x v="0"/>
    <x v="0"/>
    <x v="0"/>
    <x v="0"/>
    <x v="0"/>
    <x v="0"/>
    <x v="0"/>
    <x v="0"/>
    <x v="0"/>
    <x v="2"/>
    <x v="0"/>
    <x v="0"/>
    <x v="0"/>
    <x v="7"/>
    <x v="0"/>
    <x v="6"/>
    <x v="0"/>
    <x v="0"/>
    <x v="14"/>
    <x v="57"/>
    <x v="0"/>
    <x v="0"/>
    <x v="2"/>
    <x v="0"/>
    <x v="0"/>
    <x v="6"/>
    <x v="0"/>
    <x v="0"/>
    <x v="4"/>
    <x v="2"/>
    <x v="2"/>
    <x v="2"/>
    <x v="8"/>
    <x v="0"/>
    <x v="0"/>
    <x v="0"/>
    <x v="56"/>
    <x v="0"/>
    <x v="0"/>
    <x v="0"/>
    <x v="0"/>
    <x v="0"/>
    <x v="0"/>
    <x v="0"/>
    <x v="1"/>
    <x v="1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14"/>
    <x v="0"/>
    <x v="0"/>
    <x v="0"/>
    <x v="14"/>
    <x v="0"/>
  </r>
  <r>
    <x v="39"/>
    <x v="39"/>
    <x v="1"/>
    <x v="16"/>
    <x v="0"/>
    <x v="0"/>
    <x v="1"/>
    <x v="43"/>
    <x v="0"/>
    <x v="0"/>
    <x v="0"/>
    <x v="56"/>
    <x v="58"/>
    <x v="13"/>
    <x v="0"/>
    <x v="0"/>
    <x v="0"/>
    <x v="0"/>
    <x v="0"/>
    <x v="0"/>
    <x v="0"/>
    <x v="0"/>
    <x v="0"/>
    <x v="0"/>
    <x v="1"/>
    <x v="0"/>
    <x v="0"/>
    <x v="0"/>
    <x v="7"/>
    <x v="0"/>
    <x v="6"/>
    <x v="0"/>
    <x v="0"/>
    <x v="16"/>
    <x v="59"/>
    <x v="0"/>
    <x v="0"/>
    <x v="2"/>
    <x v="0"/>
    <x v="0"/>
    <x v="6"/>
    <x v="0"/>
    <x v="0"/>
    <x v="4"/>
    <x v="2"/>
    <x v="2"/>
    <x v="2"/>
    <x v="10"/>
    <x v="0"/>
    <x v="0"/>
    <x v="0"/>
    <x v="58"/>
    <x v="0"/>
    <x v="0"/>
    <x v="0"/>
    <x v="0"/>
    <x v="0"/>
    <x v="0"/>
    <x v="0"/>
    <x v="1"/>
    <x v="1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16"/>
    <x v="0"/>
    <x v="0"/>
    <x v="0"/>
    <x v="16"/>
    <x v="0"/>
  </r>
  <r>
    <x v="32"/>
    <x v="32"/>
    <x v="1"/>
    <x v="15"/>
    <x v="0"/>
    <x v="0"/>
    <x v="1"/>
    <x v="19"/>
    <x v="0"/>
    <x v="0"/>
    <x v="0"/>
    <x v="23"/>
    <x v="22"/>
    <x v="0"/>
    <x v="0"/>
    <x v="0"/>
    <x v="0"/>
    <x v="0"/>
    <x v="0"/>
    <x v="0"/>
    <x v="0"/>
    <x v="0"/>
    <x v="0"/>
    <x v="0"/>
    <x v="2"/>
    <x v="0"/>
    <x v="0"/>
    <x v="0"/>
    <x v="4"/>
    <x v="0"/>
    <x v="12"/>
    <x v="0"/>
    <x v="0"/>
    <x v="0"/>
    <x v="28"/>
    <x v="0"/>
    <x v="0"/>
    <x v="4"/>
    <x v="0"/>
    <x v="1"/>
    <x v="10"/>
    <x v="0"/>
    <x v="0"/>
    <x v="3"/>
    <x v="3"/>
    <x v="2"/>
    <x v="2"/>
    <x v="6"/>
    <x v="0"/>
    <x v="0"/>
    <x v="0"/>
    <x v="29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2"/>
    <x v="32"/>
    <x v="1"/>
    <x v="15"/>
    <x v="0"/>
    <x v="0"/>
    <x v="1"/>
    <x v="20"/>
    <x v="0"/>
    <x v="0"/>
    <x v="0"/>
    <x v="23"/>
    <x v="22"/>
    <x v="0"/>
    <x v="0"/>
    <x v="0"/>
    <x v="0"/>
    <x v="0"/>
    <x v="0"/>
    <x v="0"/>
    <x v="0"/>
    <x v="0"/>
    <x v="0"/>
    <x v="0"/>
    <x v="2"/>
    <x v="0"/>
    <x v="0"/>
    <x v="0"/>
    <x v="4"/>
    <x v="0"/>
    <x v="12"/>
    <x v="0"/>
    <x v="0"/>
    <x v="0"/>
    <x v="28"/>
    <x v="0"/>
    <x v="0"/>
    <x v="4"/>
    <x v="0"/>
    <x v="1"/>
    <x v="10"/>
    <x v="0"/>
    <x v="0"/>
    <x v="3"/>
    <x v="3"/>
    <x v="2"/>
    <x v="2"/>
    <x v="6"/>
    <x v="0"/>
    <x v="0"/>
    <x v="0"/>
    <x v="29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42"/>
    <x v="42"/>
    <x v="2"/>
    <x v="0"/>
    <x v="0"/>
    <x v="0"/>
    <x v="1"/>
    <x v="14"/>
    <x v="0"/>
    <x v="0"/>
    <x v="0"/>
    <x v="42"/>
    <x v="42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47"/>
    <x v="0"/>
    <x v="0"/>
    <x v="7"/>
    <x v="0"/>
    <x v="2"/>
    <x v="10"/>
    <x v="1"/>
    <x v="1"/>
    <x v="5"/>
    <x v="0"/>
    <x v="3"/>
    <x v="3"/>
    <x v="0"/>
    <x v="0"/>
    <x v="0"/>
    <x v="0"/>
    <x v="46"/>
    <x v="0"/>
    <x v="0"/>
    <x v="0"/>
    <x v="0"/>
    <x v="0"/>
    <x v="0"/>
    <x v="1"/>
    <x v="2"/>
    <x v="2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50"/>
    <x v="50"/>
    <x v="3"/>
    <x v="11"/>
    <x v="0"/>
    <x v="0"/>
    <x v="1"/>
    <x v="40"/>
    <x v="0"/>
    <x v="0"/>
    <x v="0"/>
    <x v="41"/>
    <x v="43"/>
    <x v="9"/>
    <x v="0"/>
    <x v="0"/>
    <x v="0"/>
    <x v="0"/>
    <x v="0"/>
    <x v="0"/>
    <x v="0"/>
    <x v="0"/>
    <x v="0"/>
    <x v="0"/>
    <x v="1"/>
    <x v="0"/>
    <x v="0"/>
    <x v="0"/>
    <x v="4"/>
    <x v="0"/>
    <x v="12"/>
    <x v="0"/>
    <x v="0"/>
    <x v="11"/>
    <x v="46"/>
    <x v="0"/>
    <x v="0"/>
    <x v="0"/>
    <x v="0"/>
    <x v="0"/>
    <x v="0"/>
    <x v="0"/>
    <x v="0"/>
    <x v="3"/>
    <x v="3"/>
    <x v="2"/>
    <x v="2"/>
    <x v="14"/>
    <x v="0"/>
    <x v="0"/>
    <x v="0"/>
    <x v="45"/>
    <x v="0"/>
    <x v="0"/>
    <x v="0"/>
    <x v="0"/>
    <x v="0"/>
    <x v="0"/>
    <x v="0"/>
    <x v="1"/>
    <x v="1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11"/>
    <x v="0"/>
    <x v="0"/>
    <x v="0"/>
    <x v="11"/>
    <x v="0"/>
  </r>
  <r>
    <x v="45"/>
    <x v="45"/>
    <x v="4"/>
    <x v="13"/>
    <x v="0"/>
    <x v="0"/>
    <x v="0"/>
    <x v="10"/>
    <x v="0"/>
    <x v="0"/>
    <x v="0"/>
    <x v="1"/>
    <x v="1"/>
    <x v="0"/>
    <x v="0"/>
    <x v="0"/>
    <x v="0"/>
    <x v="0"/>
    <x v="0"/>
    <x v="0"/>
    <x v="0"/>
    <x v="0"/>
    <x v="0"/>
    <x v="0"/>
    <x v="2"/>
    <x v="0"/>
    <x v="0"/>
    <x v="0"/>
    <x v="5"/>
    <x v="0"/>
    <x v="12"/>
    <x v="0"/>
    <x v="0"/>
    <x v="2"/>
    <x v="3"/>
    <x v="0"/>
    <x v="0"/>
    <x v="2"/>
    <x v="0"/>
    <x v="0"/>
    <x v="7"/>
    <x v="1"/>
    <x v="1"/>
    <x v="5"/>
    <x v="0"/>
    <x v="3"/>
    <x v="3"/>
    <x v="0"/>
    <x v="0"/>
    <x v="0"/>
    <x v="0"/>
    <x v="3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2"/>
    <x v="0"/>
    <x v="0"/>
    <x v="0"/>
    <x v="2"/>
    <x v="0"/>
  </r>
  <r>
    <x v="30"/>
    <x v="30"/>
    <x v="4"/>
    <x v="14"/>
    <x v="0"/>
    <x v="0"/>
    <x v="1"/>
    <x v="46"/>
    <x v="0"/>
    <x v="0"/>
    <x v="0"/>
    <x v="14"/>
    <x v="14"/>
    <x v="0"/>
    <x v="0"/>
    <x v="0"/>
    <x v="0"/>
    <x v="0"/>
    <x v="0"/>
    <x v="0"/>
    <x v="0"/>
    <x v="0"/>
    <x v="0"/>
    <x v="0"/>
    <x v="2"/>
    <x v="0"/>
    <x v="0"/>
    <x v="0"/>
    <x v="5"/>
    <x v="0"/>
    <x v="12"/>
    <x v="0"/>
    <x v="0"/>
    <x v="6"/>
    <x v="17"/>
    <x v="0"/>
    <x v="0"/>
    <x v="2"/>
    <x v="0"/>
    <x v="0"/>
    <x v="4"/>
    <x v="1"/>
    <x v="1"/>
    <x v="5"/>
    <x v="0"/>
    <x v="3"/>
    <x v="3"/>
    <x v="0"/>
    <x v="0"/>
    <x v="0"/>
    <x v="0"/>
    <x v="17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6"/>
    <x v="0"/>
    <x v="0"/>
    <x v="0"/>
    <x v="6"/>
    <x v="0"/>
  </r>
  <r>
    <x v="30"/>
    <x v="30"/>
    <x v="4"/>
    <x v="14"/>
    <x v="0"/>
    <x v="0"/>
    <x v="1"/>
    <x v="46"/>
    <x v="0"/>
    <x v="0"/>
    <x v="0"/>
    <x v="14"/>
    <x v="14"/>
    <x v="0"/>
    <x v="0"/>
    <x v="0"/>
    <x v="0"/>
    <x v="0"/>
    <x v="0"/>
    <x v="0"/>
    <x v="0"/>
    <x v="0"/>
    <x v="0"/>
    <x v="0"/>
    <x v="2"/>
    <x v="0"/>
    <x v="0"/>
    <x v="0"/>
    <x v="5"/>
    <x v="0"/>
    <x v="12"/>
    <x v="0"/>
    <x v="0"/>
    <x v="0"/>
    <x v="0"/>
    <x v="0"/>
    <x v="0"/>
    <x v="2"/>
    <x v="0"/>
    <x v="0"/>
    <x v="4"/>
    <x v="1"/>
    <x v="1"/>
    <x v="5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7"/>
    <x v="37"/>
    <x v="4"/>
    <x v="8"/>
    <x v="0"/>
    <x v="0"/>
    <x v="1"/>
    <x v="27"/>
    <x v="0"/>
    <x v="0"/>
    <x v="0"/>
    <x v="17"/>
    <x v="18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8"/>
    <x v="20"/>
    <x v="0"/>
    <x v="0"/>
    <x v="2"/>
    <x v="0"/>
    <x v="0"/>
    <x v="2"/>
    <x v="1"/>
    <x v="1"/>
    <x v="5"/>
    <x v="0"/>
    <x v="3"/>
    <x v="3"/>
    <x v="0"/>
    <x v="0"/>
    <x v="0"/>
    <x v="0"/>
    <x v="21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8"/>
    <x v="0"/>
    <x v="0"/>
    <x v="0"/>
    <x v="8"/>
    <x v="0"/>
  </r>
  <r>
    <x v="34"/>
    <x v="34"/>
    <x v="4"/>
    <x v="4"/>
    <x v="0"/>
    <x v="0"/>
    <x v="1"/>
    <x v="28"/>
    <x v="0"/>
    <x v="0"/>
    <x v="0"/>
    <x v="3"/>
    <x v="3"/>
    <x v="4"/>
    <x v="0"/>
    <x v="0"/>
    <x v="0"/>
    <x v="0"/>
    <x v="0"/>
    <x v="0"/>
    <x v="0"/>
    <x v="0"/>
    <x v="0"/>
    <x v="0"/>
    <x v="1"/>
    <x v="0"/>
    <x v="0"/>
    <x v="0"/>
    <x v="3"/>
    <x v="0"/>
    <x v="12"/>
    <x v="0"/>
    <x v="0"/>
    <x v="4"/>
    <x v="5"/>
    <x v="0"/>
    <x v="0"/>
    <x v="2"/>
    <x v="0"/>
    <x v="0"/>
    <x v="3"/>
    <x v="1"/>
    <x v="1"/>
    <x v="5"/>
    <x v="0"/>
    <x v="3"/>
    <x v="3"/>
    <x v="0"/>
    <x v="0"/>
    <x v="0"/>
    <x v="0"/>
    <x v="5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4"/>
    <x v="0"/>
    <x v="0"/>
    <x v="0"/>
    <x v="4"/>
    <x v="0"/>
  </r>
  <r>
    <x v="35"/>
    <x v="35"/>
    <x v="4"/>
    <x v="4"/>
    <x v="0"/>
    <x v="0"/>
    <x v="1"/>
    <x v="29"/>
    <x v="0"/>
    <x v="0"/>
    <x v="0"/>
    <x v="2"/>
    <x v="2"/>
    <x v="3"/>
    <x v="0"/>
    <x v="0"/>
    <x v="0"/>
    <x v="0"/>
    <x v="0"/>
    <x v="0"/>
    <x v="0"/>
    <x v="0"/>
    <x v="0"/>
    <x v="0"/>
    <x v="1"/>
    <x v="0"/>
    <x v="0"/>
    <x v="0"/>
    <x v="3"/>
    <x v="0"/>
    <x v="12"/>
    <x v="0"/>
    <x v="0"/>
    <x v="3"/>
    <x v="4"/>
    <x v="0"/>
    <x v="0"/>
    <x v="2"/>
    <x v="0"/>
    <x v="0"/>
    <x v="3"/>
    <x v="1"/>
    <x v="1"/>
    <x v="5"/>
    <x v="0"/>
    <x v="3"/>
    <x v="3"/>
    <x v="0"/>
    <x v="0"/>
    <x v="0"/>
    <x v="0"/>
    <x v="4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3"/>
    <x v="0"/>
    <x v="0"/>
    <x v="0"/>
    <x v="3"/>
    <x v="0"/>
  </r>
  <r>
    <x v="37"/>
    <x v="37"/>
    <x v="4"/>
    <x v="4"/>
    <x v="0"/>
    <x v="0"/>
    <x v="1"/>
    <x v="30"/>
    <x v="0"/>
    <x v="0"/>
    <x v="0"/>
    <x v="3"/>
    <x v="3"/>
    <x v="4"/>
    <x v="0"/>
    <x v="0"/>
    <x v="0"/>
    <x v="0"/>
    <x v="0"/>
    <x v="0"/>
    <x v="0"/>
    <x v="0"/>
    <x v="0"/>
    <x v="0"/>
    <x v="0"/>
    <x v="0"/>
    <x v="0"/>
    <x v="0"/>
    <x v="3"/>
    <x v="0"/>
    <x v="12"/>
    <x v="0"/>
    <x v="0"/>
    <x v="4"/>
    <x v="5"/>
    <x v="0"/>
    <x v="0"/>
    <x v="2"/>
    <x v="0"/>
    <x v="0"/>
    <x v="3"/>
    <x v="1"/>
    <x v="1"/>
    <x v="5"/>
    <x v="0"/>
    <x v="3"/>
    <x v="3"/>
    <x v="0"/>
    <x v="0"/>
    <x v="0"/>
    <x v="0"/>
    <x v="5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4"/>
    <x v="0"/>
    <x v="0"/>
    <x v="0"/>
    <x v="4"/>
    <x v="0"/>
  </r>
  <r>
    <x v="38"/>
    <x v="38"/>
    <x v="4"/>
    <x v="4"/>
    <x v="0"/>
    <x v="0"/>
    <x v="1"/>
    <x v="31"/>
    <x v="0"/>
    <x v="0"/>
    <x v="0"/>
    <x v="3"/>
    <x v="3"/>
    <x v="4"/>
    <x v="0"/>
    <x v="0"/>
    <x v="0"/>
    <x v="0"/>
    <x v="0"/>
    <x v="0"/>
    <x v="0"/>
    <x v="0"/>
    <x v="0"/>
    <x v="0"/>
    <x v="1"/>
    <x v="0"/>
    <x v="0"/>
    <x v="0"/>
    <x v="10"/>
    <x v="0"/>
    <x v="12"/>
    <x v="0"/>
    <x v="0"/>
    <x v="4"/>
    <x v="5"/>
    <x v="0"/>
    <x v="0"/>
    <x v="2"/>
    <x v="0"/>
    <x v="0"/>
    <x v="3"/>
    <x v="1"/>
    <x v="1"/>
    <x v="5"/>
    <x v="0"/>
    <x v="3"/>
    <x v="3"/>
    <x v="0"/>
    <x v="0"/>
    <x v="0"/>
    <x v="0"/>
    <x v="5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4"/>
    <x v="0"/>
    <x v="0"/>
    <x v="0"/>
    <x v="4"/>
    <x v="0"/>
  </r>
  <r>
    <x v="38"/>
    <x v="38"/>
    <x v="4"/>
    <x v="4"/>
    <x v="0"/>
    <x v="0"/>
    <x v="1"/>
    <x v="32"/>
    <x v="0"/>
    <x v="0"/>
    <x v="0"/>
    <x v="3"/>
    <x v="3"/>
    <x v="4"/>
    <x v="0"/>
    <x v="0"/>
    <x v="0"/>
    <x v="0"/>
    <x v="0"/>
    <x v="0"/>
    <x v="0"/>
    <x v="0"/>
    <x v="0"/>
    <x v="0"/>
    <x v="1"/>
    <x v="0"/>
    <x v="0"/>
    <x v="0"/>
    <x v="3"/>
    <x v="0"/>
    <x v="12"/>
    <x v="0"/>
    <x v="0"/>
    <x v="4"/>
    <x v="5"/>
    <x v="0"/>
    <x v="0"/>
    <x v="2"/>
    <x v="0"/>
    <x v="0"/>
    <x v="3"/>
    <x v="1"/>
    <x v="1"/>
    <x v="5"/>
    <x v="0"/>
    <x v="3"/>
    <x v="3"/>
    <x v="0"/>
    <x v="0"/>
    <x v="0"/>
    <x v="0"/>
    <x v="5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4"/>
    <x v="0"/>
    <x v="0"/>
    <x v="0"/>
    <x v="4"/>
    <x v="0"/>
  </r>
  <r>
    <x v="40"/>
    <x v="40"/>
    <x v="4"/>
    <x v="4"/>
    <x v="0"/>
    <x v="0"/>
    <x v="1"/>
    <x v="33"/>
    <x v="0"/>
    <x v="0"/>
    <x v="0"/>
    <x v="3"/>
    <x v="3"/>
    <x v="4"/>
    <x v="0"/>
    <x v="0"/>
    <x v="0"/>
    <x v="0"/>
    <x v="0"/>
    <x v="0"/>
    <x v="0"/>
    <x v="0"/>
    <x v="0"/>
    <x v="0"/>
    <x v="1"/>
    <x v="0"/>
    <x v="0"/>
    <x v="0"/>
    <x v="10"/>
    <x v="0"/>
    <x v="12"/>
    <x v="0"/>
    <x v="0"/>
    <x v="4"/>
    <x v="5"/>
    <x v="0"/>
    <x v="0"/>
    <x v="2"/>
    <x v="0"/>
    <x v="0"/>
    <x v="3"/>
    <x v="1"/>
    <x v="1"/>
    <x v="5"/>
    <x v="0"/>
    <x v="3"/>
    <x v="3"/>
    <x v="0"/>
    <x v="0"/>
    <x v="0"/>
    <x v="0"/>
    <x v="5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4"/>
    <x v="0"/>
    <x v="0"/>
    <x v="0"/>
    <x v="4"/>
    <x v="0"/>
  </r>
  <r>
    <x v="40"/>
    <x v="40"/>
    <x v="4"/>
    <x v="14"/>
    <x v="0"/>
    <x v="0"/>
    <x v="1"/>
    <x v="47"/>
    <x v="0"/>
    <x v="0"/>
    <x v="0"/>
    <x v="12"/>
    <x v="13"/>
    <x v="0"/>
    <x v="0"/>
    <x v="0"/>
    <x v="0"/>
    <x v="0"/>
    <x v="0"/>
    <x v="0"/>
    <x v="0"/>
    <x v="0"/>
    <x v="0"/>
    <x v="0"/>
    <x v="2"/>
    <x v="0"/>
    <x v="0"/>
    <x v="0"/>
    <x v="5"/>
    <x v="0"/>
    <x v="12"/>
    <x v="0"/>
    <x v="0"/>
    <x v="5"/>
    <x v="15"/>
    <x v="0"/>
    <x v="0"/>
    <x v="2"/>
    <x v="0"/>
    <x v="0"/>
    <x v="4"/>
    <x v="1"/>
    <x v="1"/>
    <x v="5"/>
    <x v="0"/>
    <x v="3"/>
    <x v="3"/>
    <x v="0"/>
    <x v="0"/>
    <x v="0"/>
    <x v="0"/>
    <x v="15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5"/>
    <x v="0"/>
    <x v="0"/>
    <x v="0"/>
    <x v="5"/>
    <x v="0"/>
  </r>
  <r>
    <x v="43"/>
    <x v="43"/>
    <x v="4"/>
    <x v="16"/>
    <x v="0"/>
    <x v="0"/>
    <x v="1"/>
    <x v="44"/>
    <x v="0"/>
    <x v="0"/>
    <x v="0"/>
    <x v="57"/>
    <x v="59"/>
    <x v="0"/>
    <x v="0"/>
    <x v="0"/>
    <x v="0"/>
    <x v="0"/>
    <x v="0"/>
    <x v="0"/>
    <x v="0"/>
    <x v="0"/>
    <x v="0"/>
    <x v="0"/>
    <x v="2"/>
    <x v="0"/>
    <x v="0"/>
    <x v="0"/>
    <x v="7"/>
    <x v="0"/>
    <x v="6"/>
    <x v="0"/>
    <x v="0"/>
    <x v="17"/>
    <x v="60"/>
    <x v="0"/>
    <x v="0"/>
    <x v="2"/>
    <x v="0"/>
    <x v="0"/>
    <x v="6"/>
    <x v="0"/>
    <x v="0"/>
    <x v="4"/>
    <x v="2"/>
    <x v="2"/>
    <x v="2"/>
    <x v="13"/>
    <x v="0"/>
    <x v="0"/>
    <x v="0"/>
    <x v="59"/>
    <x v="0"/>
    <x v="0"/>
    <x v="0"/>
    <x v="0"/>
    <x v="0"/>
    <x v="0"/>
    <x v="0"/>
    <x v="1"/>
    <x v="1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17"/>
    <x v="0"/>
    <x v="0"/>
    <x v="0"/>
    <x v="17"/>
    <x v="0"/>
  </r>
  <r>
    <x v="48"/>
    <x v="48"/>
    <x v="4"/>
    <x v="16"/>
    <x v="0"/>
    <x v="0"/>
    <x v="1"/>
    <x v="45"/>
    <x v="0"/>
    <x v="0"/>
    <x v="0"/>
    <x v="55"/>
    <x v="57"/>
    <x v="12"/>
    <x v="0"/>
    <x v="0"/>
    <x v="0"/>
    <x v="0"/>
    <x v="0"/>
    <x v="0"/>
    <x v="0"/>
    <x v="0"/>
    <x v="0"/>
    <x v="0"/>
    <x v="1"/>
    <x v="0"/>
    <x v="0"/>
    <x v="0"/>
    <x v="7"/>
    <x v="0"/>
    <x v="6"/>
    <x v="0"/>
    <x v="0"/>
    <x v="15"/>
    <x v="58"/>
    <x v="0"/>
    <x v="0"/>
    <x v="2"/>
    <x v="0"/>
    <x v="0"/>
    <x v="6"/>
    <x v="0"/>
    <x v="0"/>
    <x v="4"/>
    <x v="2"/>
    <x v="2"/>
    <x v="2"/>
    <x v="9"/>
    <x v="0"/>
    <x v="0"/>
    <x v="0"/>
    <x v="57"/>
    <x v="0"/>
    <x v="0"/>
    <x v="0"/>
    <x v="0"/>
    <x v="0"/>
    <x v="0"/>
    <x v="0"/>
    <x v="1"/>
    <x v="1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15"/>
    <x v="0"/>
    <x v="0"/>
    <x v="0"/>
    <x v="15"/>
    <x v="0"/>
  </r>
  <r>
    <x v="44"/>
    <x v="44"/>
    <x v="4"/>
    <x v="4"/>
    <x v="0"/>
    <x v="0"/>
    <x v="1"/>
    <x v="34"/>
    <x v="0"/>
    <x v="0"/>
    <x v="0"/>
    <x v="2"/>
    <x v="2"/>
    <x v="3"/>
    <x v="0"/>
    <x v="0"/>
    <x v="0"/>
    <x v="0"/>
    <x v="0"/>
    <x v="0"/>
    <x v="0"/>
    <x v="0"/>
    <x v="0"/>
    <x v="0"/>
    <x v="1"/>
    <x v="0"/>
    <x v="0"/>
    <x v="0"/>
    <x v="10"/>
    <x v="0"/>
    <x v="12"/>
    <x v="0"/>
    <x v="0"/>
    <x v="3"/>
    <x v="4"/>
    <x v="0"/>
    <x v="0"/>
    <x v="2"/>
    <x v="0"/>
    <x v="0"/>
    <x v="3"/>
    <x v="1"/>
    <x v="1"/>
    <x v="5"/>
    <x v="0"/>
    <x v="3"/>
    <x v="3"/>
    <x v="0"/>
    <x v="0"/>
    <x v="0"/>
    <x v="0"/>
    <x v="4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3"/>
    <x v="0"/>
    <x v="0"/>
    <x v="0"/>
    <x v="3"/>
    <x v="0"/>
  </r>
  <r>
    <x v="46"/>
    <x v="46"/>
    <x v="4"/>
    <x v="4"/>
    <x v="0"/>
    <x v="0"/>
    <x v="1"/>
    <x v="35"/>
    <x v="0"/>
    <x v="0"/>
    <x v="0"/>
    <x v="3"/>
    <x v="3"/>
    <x v="4"/>
    <x v="0"/>
    <x v="0"/>
    <x v="0"/>
    <x v="0"/>
    <x v="0"/>
    <x v="0"/>
    <x v="0"/>
    <x v="0"/>
    <x v="0"/>
    <x v="0"/>
    <x v="1"/>
    <x v="0"/>
    <x v="0"/>
    <x v="0"/>
    <x v="10"/>
    <x v="0"/>
    <x v="12"/>
    <x v="0"/>
    <x v="0"/>
    <x v="4"/>
    <x v="5"/>
    <x v="0"/>
    <x v="0"/>
    <x v="2"/>
    <x v="0"/>
    <x v="0"/>
    <x v="3"/>
    <x v="1"/>
    <x v="1"/>
    <x v="5"/>
    <x v="0"/>
    <x v="3"/>
    <x v="3"/>
    <x v="0"/>
    <x v="0"/>
    <x v="0"/>
    <x v="0"/>
    <x v="5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4"/>
    <x v="0"/>
    <x v="0"/>
    <x v="0"/>
    <x v="4"/>
    <x v="0"/>
  </r>
  <r>
    <x v="47"/>
    <x v="47"/>
    <x v="4"/>
    <x v="4"/>
    <x v="0"/>
    <x v="0"/>
    <x v="1"/>
    <x v="36"/>
    <x v="0"/>
    <x v="0"/>
    <x v="0"/>
    <x v="33"/>
    <x v="34"/>
    <x v="7"/>
    <x v="0"/>
    <x v="0"/>
    <x v="0"/>
    <x v="0"/>
    <x v="0"/>
    <x v="0"/>
    <x v="0"/>
    <x v="0"/>
    <x v="0"/>
    <x v="0"/>
    <x v="1"/>
    <x v="0"/>
    <x v="0"/>
    <x v="0"/>
    <x v="10"/>
    <x v="0"/>
    <x v="12"/>
    <x v="0"/>
    <x v="0"/>
    <x v="10"/>
    <x v="39"/>
    <x v="0"/>
    <x v="0"/>
    <x v="2"/>
    <x v="0"/>
    <x v="0"/>
    <x v="3"/>
    <x v="1"/>
    <x v="1"/>
    <x v="5"/>
    <x v="0"/>
    <x v="3"/>
    <x v="3"/>
    <x v="0"/>
    <x v="0"/>
    <x v="0"/>
    <x v="0"/>
    <x v="38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10"/>
    <x v="0"/>
    <x v="0"/>
    <x v="0"/>
    <x v="10"/>
    <x v="0"/>
  </r>
  <r>
    <x v="51"/>
    <x v="51"/>
    <x v="4"/>
    <x v="14"/>
    <x v="0"/>
    <x v="0"/>
    <x v="1"/>
    <x v="48"/>
    <x v="0"/>
    <x v="0"/>
    <x v="0"/>
    <x v="19"/>
    <x v="20"/>
    <x v="5"/>
    <x v="0"/>
    <x v="0"/>
    <x v="0"/>
    <x v="0"/>
    <x v="0"/>
    <x v="0"/>
    <x v="0"/>
    <x v="0"/>
    <x v="0"/>
    <x v="0"/>
    <x v="1"/>
    <x v="0"/>
    <x v="0"/>
    <x v="0"/>
    <x v="5"/>
    <x v="0"/>
    <x v="12"/>
    <x v="0"/>
    <x v="0"/>
    <x v="9"/>
    <x v="23"/>
    <x v="0"/>
    <x v="0"/>
    <x v="2"/>
    <x v="0"/>
    <x v="0"/>
    <x v="4"/>
    <x v="0"/>
    <x v="0"/>
    <x v="0"/>
    <x v="2"/>
    <x v="1"/>
    <x v="1"/>
    <x v="1"/>
    <x v="0"/>
    <x v="0"/>
    <x v="0"/>
    <x v="24"/>
    <x v="0"/>
    <x v="0"/>
    <x v="0"/>
    <x v="0"/>
    <x v="0"/>
    <x v="0"/>
    <x v="0"/>
    <x v="1"/>
    <x v="1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9"/>
    <x v="0"/>
    <x v="0"/>
    <x v="0"/>
    <x v="9"/>
    <x v="0"/>
  </r>
  <r>
    <x v="51"/>
    <x v="51"/>
    <x v="4"/>
    <x v="14"/>
    <x v="0"/>
    <x v="0"/>
    <x v="1"/>
    <x v="48"/>
    <x v="0"/>
    <x v="0"/>
    <x v="0"/>
    <x v="19"/>
    <x v="20"/>
    <x v="5"/>
    <x v="0"/>
    <x v="0"/>
    <x v="0"/>
    <x v="0"/>
    <x v="0"/>
    <x v="0"/>
    <x v="0"/>
    <x v="0"/>
    <x v="0"/>
    <x v="0"/>
    <x v="1"/>
    <x v="0"/>
    <x v="0"/>
    <x v="0"/>
    <x v="5"/>
    <x v="0"/>
    <x v="12"/>
    <x v="0"/>
    <x v="0"/>
    <x v="0"/>
    <x v="1"/>
    <x v="0"/>
    <x v="0"/>
    <x v="2"/>
    <x v="0"/>
    <x v="0"/>
    <x v="4"/>
    <x v="0"/>
    <x v="0"/>
    <x v="0"/>
    <x v="2"/>
    <x v="1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49"/>
    <x v="49"/>
    <x v="4"/>
    <x v="6"/>
    <x v="0"/>
    <x v="0"/>
    <x v="1"/>
    <x v="37"/>
    <x v="0"/>
    <x v="0"/>
    <x v="0"/>
    <x v="47"/>
    <x v="48"/>
    <x v="0"/>
    <x v="0"/>
    <x v="0"/>
    <x v="0"/>
    <x v="0"/>
    <x v="0"/>
    <x v="0"/>
    <x v="0"/>
    <x v="0"/>
    <x v="0"/>
    <x v="0"/>
    <x v="2"/>
    <x v="0"/>
    <x v="0"/>
    <x v="0"/>
    <x v="4"/>
    <x v="0"/>
    <x v="12"/>
    <x v="0"/>
    <x v="0"/>
    <x v="0"/>
    <x v="52"/>
    <x v="0"/>
    <x v="0"/>
    <x v="2"/>
    <x v="0"/>
    <x v="1"/>
    <x v="10"/>
    <x v="0"/>
    <x v="0"/>
    <x v="3"/>
    <x v="3"/>
    <x v="2"/>
    <x v="2"/>
    <x v="16"/>
    <x v="0"/>
    <x v="0"/>
    <x v="0"/>
    <x v="51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"/>
    <x v="1"/>
    <x v="4"/>
    <x v="2"/>
    <x v="0"/>
    <x v="0"/>
    <x v="1"/>
    <x v="0"/>
    <x v="0"/>
    <x v="0"/>
    <x v="0"/>
    <x v="31"/>
    <x v="31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37"/>
    <x v="0"/>
    <x v="0"/>
    <x v="6"/>
    <x v="0"/>
    <x v="1"/>
    <x v="10"/>
    <x v="1"/>
    <x v="1"/>
    <x v="5"/>
    <x v="0"/>
    <x v="3"/>
    <x v="3"/>
    <x v="0"/>
    <x v="0"/>
    <x v="0"/>
    <x v="0"/>
    <x v="37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"/>
    <x v="3"/>
    <x v="4"/>
    <x v="2"/>
    <x v="0"/>
    <x v="0"/>
    <x v="1"/>
    <x v="1"/>
    <x v="0"/>
    <x v="0"/>
    <x v="0"/>
    <x v="45"/>
    <x v="45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50"/>
    <x v="0"/>
    <x v="0"/>
    <x v="6"/>
    <x v="0"/>
    <x v="1"/>
    <x v="10"/>
    <x v="1"/>
    <x v="1"/>
    <x v="5"/>
    <x v="0"/>
    <x v="3"/>
    <x v="3"/>
    <x v="0"/>
    <x v="0"/>
    <x v="0"/>
    <x v="0"/>
    <x v="49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6"/>
    <x v="6"/>
    <x v="4"/>
    <x v="2"/>
    <x v="0"/>
    <x v="0"/>
    <x v="1"/>
    <x v="2"/>
    <x v="0"/>
    <x v="0"/>
    <x v="0"/>
    <x v="43"/>
    <x v="44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49"/>
    <x v="0"/>
    <x v="0"/>
    <x v="6"/>
    <x v="0"/>
    <x v="1"/>
    <x v="10"/>
    <x v="1"/>
    <x v="1"/>
    <x v="5"/>
    <x v="0"/>
    <x v="3"/>
    <x v="3"/>
    <x v="0"/>
    <x v="0"/>
    <x v="0"/>
    <x v="0"/>
    <x v="48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2"/>
    <x v="12"/>
    <x v="4"/>
    <x v="2"/>
    <x v="0"/>
    <x v="0"/>
    <x v="1"/>
    <x v="3"/>
    <x v="0"/>
    <x v="0"/>
    <x v="0"/>
    <x v="49"/>
    <x v="51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54"/>
    <x v="0"/>
    <x v="0"/>
    <x v="6"/>
    <x v="0"/>
    <x v="1"/>
    <x v="10"/>
    <x v="1"/>
    <x v="1"/>
    <x v="5"/>
    <x v="0"/>
    <x v="3"/>
    <x v="3"/>
    <x v="0"/>
    <x v="0"/>
    <x v="0"/>
    <x v="0"/>
    <x v="53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8"/>
    <x v="18"/>
    <x v="4"/>
    <x v="2"/>
    <x v="0"/>
    <x v="0"/>
    <x v="1"/>
    <x v="4"/>
    <x v="0"/>
    <x v="0"/>
    <x v="0"/>
    <x v="35"/>
    <x v="35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41"/>
    <x v="0"/>
    <x v="0"/>
    <x v="6"/>
    <x v="0"/>
    <x v="1"/>
    <x v="10"/>
    <x v="1"/>
    <x v="1"/>
    <x v="5"/>
    <x v="0"/>
    <x v="3"/>
    <x v="3"/>
    <x v="0"/>
    <x v="0"/>
    <x v="0"/>
    <x v="0"/>
    <x v="40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6"/>
    <x v="26"/>
    <x v="4"/>
    <x v="2"/>
    <x v="0"/>
    <x v="0"/>
    <x v="1"/>
    <x v="5"/>
    <x v="0"/>
    <x v="0"/>
    <x v="0"/>
    <x v="40"/>
    <x v="41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45"/>
    <x v="0"/>
    <x v="0"/>
    <x v="6"/>
    <x v="0"/>
    <x v="1"/>
    <x v="10"/>
    <x v="1"/>
    <x v="1"/>
    <x v="5"/>
    <x v="0"/>
    <x v="3"/>
    <x v="3"/>
    <x v="0"/>
    <x v="0"/>
    <x v="0"/>
    <x v="0"/>
    <x v="44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1"/>
    <x v="31"/>
    <x v="4"/>
    <x v="2"/>
    <x v="0"/>
    <x v="0"/>
    <x v="1"/>
    <x v="6"/>
    <x v="0"/>
    <x v="0"/>
    <x v="0"/>
    <x v="48"/>
    <x v="50"/>
    <x v="2"/>
    <x v="0"/>
    <x v="0"/>
    <x v="0"/>
    <x v="0"/>
    <x v="0"/>
    <x v="0"/>
    <x v="0"/>
    <x v="0"/>
    <x v="0"/>
    <x v="0"/>
    <x v="1"/>
    <x v="0"/>
    <x v="0"/>
    <x v="0"/>
    <x v="1"/>
    <x v="0"/>
    <x v="3"/>
    <x v="0"/>
    <x v="0"/>
    <x v="0"/>
    <x v="53"/>
    <x v="0"/>
    <x v="0"/>
    <x v="6"/>
    <x v="0"/>
    <x v="1"/>
    <x v="10"/>
    <x v="0"/>
    <x v="0"/>
    <x v="2"/>
    <x v="1"/>
    <x v="0"/>
    <x v="0"/>
    <x v="5"/>
    <x v="0"/>
    <x v="0"/>
    <x v="0"/>
    <x v="52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40"/>
    <x v="40"/>
    <x v="4"/>
    <x v="2"/>
    <x v="0"/>
    <x v="0"/>
    <x v="1"/>
    <x v="39"/>
    <x v="0"/>
    <x v="0"/>
    <x v="0"/>
    <x v="47"/>
    <x v="49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52"/>
    <x v="0"/>
    <x v="0"/>
    <x v="6"/>
    <x v="0"/>
    <x v="1"/>
    <x v="10"/>
    <x v="0"/>
    <x v="0"/>
    <x v="2"/>
    <x v="1"/>
    <x v="0"/>
    <x v="0"/>
    <x v="4"/>
    <x v="0"/>
    <x v="0"/>
    <x v="0"/>
    <x v="51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51"/>
    <x v="51"/>
    <x v="4"/>
    <x v="9"/>
    <x v="0"/>
    <x v="0"/>
    <x v="1"/>
    <x v="17"/>
    <x v="0"/>
    <x v="0"/>
    <x v="0"/>
    <x v="36"/>
    <x v="36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42"/>
    <x v="0"/>
    <x v="0"/>
    <x v="0"/>
    <x v="0"/>
    <x v="1"/>
    <x v="10"/>
    <x v="0"/>
    <x v="0"/>
    <x v="2"/>
    <x v="1"/>
    <x v="0"/>
    <x v="0"/>
    <x v="2"/>
    <x v="0"/>
    <x v="0"/>
    <x v="0"/>
    <x v="41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51"/>
    <x v="51"/>
    <x v="4"/>
    <x v="10"/>
    <x v="0"/>
    <x v="0"/>
    <x v="1"/>
    <x v="21"/>
    <x v="0"/>
    <x v="0"/>
    <x v="0"/>
    <x v="50"/>
    <x v="52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52"/>
    <x v="0"/>
    <x v="0"/>
    <x v="6"/>
    <x v="0"/>
    <x v="1"/>
    <x v="10"/>
    <x v="0"/>
    <x v="0"/>
    <x v="2"/>
    <x v="1"/>
    <x v="0"/>
    <x v="0"/>
    <x v="4"/>
    <x v="0"/>
    <x v="0"/>
    <x v="0"/>
    <x v="51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51"/>
    <x v="51"/>
    <x v="4"/>
    <x v="10"/>
    <x v="0"/>
    <x v="0"/>
    <x v="1"/>
    <x v="21"/>
    <x v="0"/>
    <x v="0"/>
    <x v="0"/>
    <x v="50"/>
    <x v="52"/>
    <x v="0"/>
    <x v="0"/>
    <x v="0"/>
    <x v="0"/>
    <x v="0"/>
    <x v="0"/>
    <x v="0"/>
    <x v="0"/>
    <x v="0"/>
    <x v="0"/>
    <x v="0"/>
    <x v="2"/>
    <x v="0"/>
    <x v="0"/>
    <x v="0"/>
    <x v="9"/>
    <x v="0"/>
    <x v="11"/>
    <x v="0"/>
    <x v="0"/>
    <x v="0"/>
    <x v="26"/>
    <x v="0"/>
    <x v="0"/>
    <x v="6"/>
    <x v="0"/>
    <x v="1"/>
    <x v="10"/>
    <x v="0"/>
    <x v="0"/>
    <x v="2"/>
    <x v="1"/>
    <x v="0"/>
    <x v="0"/>
    <x v="4"/>
    <x v="0"/>
    <x v="0"/>
    <x v="0"/>
    <x v="27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51"/>
    <x v="51"/>
    <x v="4"/>
    <x v="12"/>
    <x v="0"/>
    <x v="0"/>
    <x v="1"/>
    <x v="17"/>
    <x v="0"/>
    <x v="0"/>
    <x v="0"/>
    <x v="37"/>
    <x v="38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42"/>
    <x v="0"/>
    <x v="0"/>
    <x v="6"/>
    <x v="0"/>
    <x v="1"/>
    <x v="10"/>
    <x v="0"/>
    <x v="0"/>
    <x v="2"/>
    <x v="1"/>
    <x v="0"/>
    <x v="0"/>
    <x v="2"/>
    <x v="0"/>
    <x v="0"/>
    <x v="0"/>
    <x v="41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51"/>
    <x v="51"/>
    <x v="4"/>
    <x v="12"/>
    <x v="0"/>
    <x v="0"/>
    <x v="1"/>
    <x v="17"/>
    <x v="0"/>
    <x v="0"/>
    <x v="0"/>
    <x v="37"/>
    <x v="38"/>
    <x v="0"/>
    <x v="0"/>
    <x v="0"/>
    <x v="0"/>
    <x v="0"/>
    <x v="0"/>
    <x v="0"/>
    <x v="0"/>
    <x v="0"/>
    <x v="0"/>
    <x v="0"/>
    <x v="2"/>
    <x v="0"/>
    <x v="0"/>
    <x v="0"/>
    <x v="9"/>
    <x v="0"/>
    <x v="10"/>
    <x v="0"/>
    <x v="0"/>
    <x v="0"/>
    <x v="11"/>
    <x v="0"/>
    <x v="0"/>
    <x v="6"/>
    <x v="0"/>
    <x v="1"/>
    <x v="10"/>
    <x v="0"/>
    <x v="0"/>
    <x v="2"/>
    <x v="1"/>
    <x v="0"/>
    <x v="0"/>
    <x v="2"/>
    <x v="0"/>
    <x v="0"/>
    <x v="0"/>
    <x v="11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47"/>
    <x v="47"/>
    <x v="4"/>
    <x v="17"/>
    <x v="0"/>
    <x v="0"/>
    <x v="1"/>
    <x v="49"/>
    <x v="0"/>
    <x v="0"/>
    <x v="0"/>
    <x v="52"/>
    <x v="55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13"/>
    <x v="55"/>
    <x v="0"/>
    <x v="0"/>
    <x v="2"/>
    <x v="0"/>
    <x v="0"/>
    <x v="8"/>
    <x v="0"/>
    <x v="0"/>
    <x v="1"/>
    <x v="2"/>
    <x v="0"/>
    <x v="0"/>
    <x v="7"/>
    <x v="0"/>
    <x v="0"/>
    <x v="0"/>
    <x v="54"/>
    <x v="0"/>
    <x v="0"/>
    <x v="0"/>
    <x v="0"/>
    <x v="0"/>
    <x v="0"/>
    <x v="0"/>
    <x v="1"/>
    <x v="1"/>
    <x v="0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13"/>
    <x v="0"/>
    <x v="0"/>
    <x v="0"/>
    <x v="13"/>
    <x v="0"/>
  </r>
  <r>
    <x v="42"/>
    <x v="42"/>
    <x v="4"/>
    <x v="1"/>
    <x v="0"/>
    <x v="0"/>
    <x v="1"/>
    <x v="15"/>
    <x v="0"/>
    <x v="0"/>
    <x v="0"/>
    <x v="16"/>
    <x v="15"/>
    <x v="0"/>
    <x v="0"/>
    <x v="0"/>
    <x v="0"/>
    <x v="0"/>
    <x v="0"/>
    <x v="0"/>
    <x v="0"/>
    <x v="0"/>
    <x v="0"/>
    <x v="0"/>
    <x v="2"/>
    <x v="0"/>
    <x v="0"/>
    <x v="0"/>
    <x v="8"/>
    <x v="0"/>
    <x v="2"/>
    <x v="0"/>
    <x v="0"/>
    <x v="0"/>
    <x v="19"/>
    <x v="0"/>
    <x v="0"/>
    <x v="6"/>
    <x v="0"/>
    <x v="1"/>
    <x v="10"/>
    <x v="0"/>
    <x v="0"/>
    <x v="3"/>
    <x v="3"/>
    <x v="2"/>
    <x v="2"/>
    <x v="3"/>
    <x v="0"/>
    <x v="0"/>
    <x v="0"/>
    <x v="20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41"/>
    <x v="41"/>
    <x v="4"/>
    <x v="7"/>
    <x v="0"/>
    <x v="0"/>
    <x v="1"/>
    <x v="0"/>
    <x v="0"/>
    <x v="0"/>
    <x v="0"/>
    <x v="30"/>
    <x v="27"/>
    <x v="0"/>
    <x v="0"/>
    <x v="0"/>
    <x v="0"/>
    <x v="0"/>
    <x v="0"/>
    <x v="0"/>
    <x v="0"/>
    <x v="0"/>
    <x v="0"/>
    <x v="0"/>
    <x v="2"/>
    <x v="0"/>
    <x v="0"/>
    <x v="0"/>
    <x v="8"/>
    <x v="0"/>
    <x v="8"/>
    <x v="0"/>
    <x v="0"/>
    <x v="0"/>
    <x v="36"/>
    <x v="0"/>
    <x v="0"/>
    <x v="6"/>
    <x v="0"/>
    <x v="1"/>
    <x v="10"/>
    <x v="0"/>
    <x v="0"/>
    <x v="3"/>
    <x v="3"/>
    <x v="2"/>
    <x v="2"/>
    <x v="12"/>
    <x v="0"/>
    <x v="0"/>
    <x v="0"/>
    <x v="36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52"/>
    <x v="52"/>
    <x v="5"/>
    <x v="13"/>
    <x v="0"/>
    <x v="0"/>
    <x v="0"/>
    <x v="11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5"/>
    <x v="0"/>
    <x v="12"/>
    <x v="0"/>
    <x v="0"/>
    <x v="1"/>
    <x v="2"/>
    <x v="0"/>
    <x v="0"/>
    <x v="2"/>
    <x v="0"/>
    <x v="0"/>
    <x v="7"/>
    <x v="1"/>
    <x v="1"/>
    <x v="5"/>
    <x v="0"/>
    <x v="3"/>
    <x v="3"/>
    <x v="0"/>
    <x v="0"/>
    <x v="0"/>
    <x v="0"/>
    <x v="2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0"/>
  </r>
  <r>
    <x v="52"/>
    <x v="52"/>
    <x v="5"/>
    <x v="13"/>
    <x v="0"/>
    <x v="0"/>
    <x v="0"/>
    <x v="12"/>
    <x v="0"/>
    <x v="0"/>
    <x v="0"/>
    <x v="1"/>
    <x v="1"/>
    <x v="0"/>
    <x v="0"/>
    <x v="0"/>
    <x v="0"/>
    <x v="0"/>
    <x v="0"/>
    <x v="0"/>
    <x v="0"/>
    <x v="0"/>
    <x v="0"/>
    <x v="0"/>
    <x v="2"/>
    <x v="0"/>
    <x v="0"/>
    <x v="0"/>
    <x v="5"/>
    <x v="0"/>
    <x v="12"/>
    <x v="0"/>
    <x v="0"/>
    <x v="2"/>
    <x v="3"/>
    <x v="0"/>
    <x v="0"/>
    <x v="2"/>
    <x v="0"/>
    <x v="0"/>
    <x v="7"/>
    <x v="1"/>
    <x v="1"/>
    <x v="5"/>
    <x v="0"/>
    <x v="3"/>
    <x v="3"/>
    <x v="0"/>
    <x v="0"/>
    <x v="0"/>
    <x v="0"/>
    <x v="3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2"/>
    <x v="0"/>
    <x v="0"/>
    <x v="0"/>
    <x v="2"/>
    <x v="0"/>
  </r>
  <r>
    <x v="8"/>
    <x v="8"/>
    <x v="6"/>
    <x v="3"/>
    <x v="0"/>
    <x v="0"/>
    <x v="1"/>
    <x v="22"/>
    <x v="0"/>
    <x v="0"/>
    <x v="0"/>
    <x v="18"/>
    <x v="16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21"/>
    <x v="0"/>
    <x v="0"/>
    <x v="7"/>
    <x v="0"/>
    <x v="2"/>
    <x v="10"/>
    <x v="1"/>
    <x v="1"/>
    <x v="5"/>
    <x v="0"/>
    <x v="3"/>
    <x v="3"/>
    <x v="0"/>
    <x v="0"/>
    <x v="0"/>
    <x v="0"/>
    <x v="22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9"/>
    <x v="9"/>
    <x v="6"/>
    <x v="8"/>
    <x v="0"/>
    <x v="0"/>
    <x v="1"/>
    <x v="1"/>
    <x v="0"/>
    <x v="0"/>
    <x v="0"/>
    <x v="10"/>
    <x v="10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13"/>
    <x v="0"/>
    <x v="0"/>
    <x v="2"/>
    <x v="0"/>
    <x v="0"/>
    <x v="2"/>
    <x v="1"/>
    <x v="1"/>
    <x v="5"/>
    <x v="0"/>
    <x v="3"/>
    <x v="3"/>
    <x v="0"/>
    <x v="0"/>
    <x v="0"/>
    <x v="0"/>
    <x v="13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0"/>
    <x v="10"/>
    <x v="6"/>
    <x v="5"/>
    <x v="0"/>
    <x v="0"/>
    <x v="1"/>
    <x v="0"/>
    <x v="0"/>
    <x v="0"/>
    <x v="0"/>
    <x v="4"/>
    <x v="4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6"/>
    <x v="0"/>
    <x v="0"/>
    <x v="7"/>
    <x v="0"/>
    <x v="2"/>
    <x v="10"/>
    <x v="1"/>
    <x v="1"/>
    <x v="5"/>
    <x v="0"/>
    <x v="3"/>
    <x v="3"/>
    <x v="0"/>
    <x v="0"/>
    <x v="0"/>
    <x v="0"/>
    <x v="6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3"/>
    <x v="13"/>
    <x v="6"/>
    <x v="18"/>
    <x v="0"/>
    <x v="0"/>
    <x v="1"/>
    <x v="13"/>
    <x v="0"/>
    <x v="0"/>
    <x v="0"/>
    <x v="13"/>
    <x v="12"/>
    <x v="0"/>
    <x v="0"/>
    <x v="0"/>
    <x v="0"/>
    <x v="0"/>
    <x v="0"/>
    <x v="0"/>
    <x v="0"/>
    <x v="0"/>
    <x v="0"/>
    <x v="0"/>
    <x v="2"/>
    <x v="0"/>
    <x v="0"/>
    <x v="0"/>
    <x v="8"/>
    <x v="0"/>
    <x v="7"/>
    <x v="0"/>
    <x v="0"/>
    <x v="0"/>
    <x v="16"/>
    <x v="0"/>
    <x v="0"/>
    <x v="2"/>
    <x v="0"/>
    <x v="0"/>
    <x v="5"/>
    <x v="1"/>
    <x v="1"/>
    <x v="5"/>
    <x v="0"/>
    <x v="3"/>
    <x v="3"/>
    <x v="0"/>
    <x v="0"/>
    <x v="0"/>
    <x v="0"/>
    <x v="16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4"/>
    <x v="14"/>
    <x v="6"/>
    <x v="8"/>
    <x v="0"/>
    <x v="0"/>
    <x v="1"/>
    <x v="2"/>
    <x v="0"/>
    <x v="0"/>
    <x v="0"/>
    <x v="10"/>
    <x v="10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13"/>
    <x v="0"/>
    <x v="0"/>
    <x v="2"/>
    <x v="0"/>
    <x v="0"/>
    <x v="2"/>
    <x v="1"/>
    <x v="1"/>
    <x v="5"/>
    <x v="0"/>
    <x v="3"/>
    <x v="3"/>
    <x v="0"/>
    <x v="0"/>
    <x v="0"/>
    <x v="0"/>
    <x v="13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5"/>
    <x v="15"/>
    <x v="6"/>
    <x v="8"/>
    <x v="0"/>
    <x v="0"/>
    <x v="1"/>
    <x v="3"/>
    <x v="0"/>
    <x v="0"/>
    <x v="0"/>
    <x v="10"/>
    <x v="10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13"/>
    <x v="0"/>
    <x v="0"/>
    <x v="2"/>
    <x v="0"/>
    <x v="0"/>
    <x v="2"/>
    <x v="1"/>
    <x v="1"/>
    <x v="5"/>
    <x v="0"/>
    <x v="3"/>
    <x v="3"/>
    <x v="0"/>
    <x v="0"/>
    <x v="0"/>
    <x v="0"/>
    <x v="13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6"/>
    <x v="16"/>
    <x v="6"/>
    <x v="5"/>
    <x v="0"/>
    <x v="0"/>
    <x v="1"/>
    <x v="1"/>
    <x v="0"/>
    <x v="0"/>
    <x v="0"/>
    <x v="6"/>
    <x v="6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8"/>
    <x v="0"/>
    <x v="0"/>
    <x v="7"/>
    <x v="0"/>
    <x v="2"/>
    <x v="10"/>
    <x v="1"/>
    <x v="1"/>
    <x v="5"/>
    <x v="0"/>
    <x v="3"/>
    <x v="3"/>
    <x v="0"/>
    <x v="0"/>
    <x v="0"/>
    <x v="0"/>
    <x v="8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8"/>
    <x v="18"/>
    <x v="6"/>
    <x v="7"/>
    <x v="0"/>
    <x v="0"/>
    <x v="1"/>
    <x v="0"/>
    <x v="0"/>
    <x v="0"/>
    <x v="0"/>
    <x v="21"/>
    <x v="19"/>
    <x v="0"/>
    <x v="0"/>
    <x v="0"/>
    <x v="0"/>
    <x v="0"/>
    <x v="0"/>
    <x v="0"/>
    <x v="0"/>
    <x v="0"/>
    <x v="0"/>
    <x v="0"/>
    <x v="2"/>
    <x v="0"/>
    <x v="0"/>
    <x v="0"/>
    <x v="8"/>
    <x v="0"/>
    <x v="12"/>
    <x v="0"/>
    <x v="0"/>
    <x v="0"/>
    <x v="25"/>
    <x v="0"/>
    <x v="0"/>
    <x v="6"/>
    <x v="0"/>
    <x v="1"/>
    <x v="10"/>
    <x v="1"/>
    <x v="1"/>
    <x v="5"/>
    <x v="0"/>
    <x v="3"/>
    <x v="3"/>
    <x v="0"/>
    <x v="0"/>
    <x v="0"/>
    <x v="0"/>
    <x v="26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19"/>
    <x v="19"/>
    <x v="6"/>
    <x v="8"/>
    <x v="0"/>
    <x v="0"/>
    <x v="1"/>
    <x v="4"/>
    <x v="0"/>
    <x v="0"/>
    <x v="0"/>
    <x v="20"/>
    <x v="18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24"/>
    <x v="0"/>
    <x v="0"/>
    <x v="2"/>
    <x v="0"/>
    <x v="0"/>
    <x v="2"/>
    <x v="1"/>
    <x v="1"/>
    <x v="5"/>
    <x v="0"/>
    <x v="3"/>
    <x v="3"/>
    <x v="0"/>
    <x v="0"/>
    <x v="0"/>
    <x v="0"/>
    <x v="25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1"/>
    <x v="21"/>
    <x v="6"/>
    <x v="3"/>
    <x v="0"/>
    <x v="0"/>
    <x v="1"/>
    <x v="23"/>
    <x v="0"/>
    <x v="0"/>
    <x v="0"/>
    <x v="39"/>
    <x v="40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44"/>
    <x v="0"/>
    <x v="0"/>
    <x v="7"/>
    <x v="0"/>
    <x v="2"/>
    <x v="10"/>
    <x v="1"/>
    <x v="1"/>
    <x v="5"/>
    <x v="0"/>
    <x v="3"/>
    <x v="3"/>
    <x v="0"/>
    <x v="0"/>
    <x v="0"/>
    <x v="0"/>
    <x v="43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3"/>
    <x v="23"/>
    <x v="6"/>
    <x v="3"/>
    <x v="0"/>
    <x v="0"/>
    <x v="1"/>
    <x v="24"/>
    <x v="0"/>
    <x v="0"/>
    <x v="0"/>
    <x v="38"/>
    <x v="39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43"/>
    <x v="0"/>
    <x v="0"/>
    <x v="7"/>
    <x v="0"/>
    <x v="2"/>
    <x v="10"/>
    <x v="1"/>
    <x v="1"/>
    <x v="5"/>
    <x v="0"/>
    <x v="3"/>
    <x v="3"/>
    <x v="0"/>
    <x v="0"/>
    <x v="0"/>
    <x v="0"/>
    <x v="42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4"/>
    <x v="24"/>
    <x v="6"/>
    <x v="3"/>
    <x v="0"/>
    <x v="0"/>
    <x v="1"/>
    <x v="25"/>
    <x v="0"/>
    <x v="0"/>
    <x v="0"/>
    <x v="28"/>
    <x v="29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34"/>
    <x v="0"/>
    <x v="0"/>
    <x v="7"/>
    <x v="0"/>
    <x v="2"/>
    <x v="10"/>
    <x v="1"/>
    <x v="1"/>
    <x v="5"/>
    <x v="0"/>
    <x v="3"/>
    <x v="3"/>
    <x v="0"/>
    <x v="0"/>
    <x v="0"/>
    <x v="0"/>
    <x v="34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5"/>
    <x v="25"/>
    <x v="6"/>
    <x v="5"/>
    <x v="0"/>
    <x v="0"/>
    <x v="1"/>
    <x v="2"/>
    <x v="0"/>
    <x v="0"/>
    <x v="0"/>
    <x v="7"/>
    <x v="7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9"/>
    <x v="0"/>
    <x v="0"/>
    <x v="7"/>
    <x v="0"/>
    <x v="2"/>
    <x v="10"/>
    <x v="1"/>
    <x v="1"/>
    <x v="5"/>
    <x v="0"/>
    <x v="3"/>
    <x v="3"/>
    <x v="0"/>
    <x v="0"/>
    <x v="0"/>
    <x v="0"/>
    <x v="9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7"/>
    <x v="27"/>
    <x v="6"/>
    <x v="3"/>
    <x v="0"/>
    <x v="0"/>
    <x v="1"/>
    <x v="26"/>
    <x v="0"/>
    <x v="0"/>
    <x v="0"/>
    <x v="29"/>
    <x v="30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35"/>
    <x v="0"/>
    <x v="0"/>
    <x v="7"/>
    <x v="0"/>
    <x v="2"/>
    <x v="10"/>
    <x v="1"/>
    <x v="1"/>
    <x v="5"/>
    <x v="0"/>
    <x v="3"/>
    <x v="3"/>
    <x v="0"/>
    <x v="0"/>
    <x v="0"/>
    <x v="0"/>
    <x v="35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9"/>
    <x v="29"/>
    <x v="6"/>
    <x v="8"/>
    <x v="0"/>
    <x v="0"/>
    <x v="1"/>
    <x v="5"/>
    <x v="0"/>
    <x v="0"/>
    <x v="0"/>
    <x v="20"/>
    <x v="18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24"/>
    <x v="0"/>
    <x v="0"/>
    <x v="2"/>
    <x v="0"/>
    <x v="0"/>
    <x v="2"/>
    <x v="1"/>
    <x v="1"/>
    <x v="5"/>
    <x v="0"/>
    <x v="3"/>
    <x v="3"/>
    <x v="0"/>
    <x v="0"/>
    <x v="0"/>
    <x v="0"/>
    <x v="25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1"/>
    <x v="31"/>
    <x v="6"/>
    <x v="5"/>
    <x v="0"/>
    <x v="0"/>
    <x v="1"/>
    <x v="3"/>
    <x v="0"/>
    <x v="0"/>
    <x v="0"/>
    <x v="8"/>
    <x v="8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10"/>
    <x v="0"/>
    <x v="0"/>
    <x v="7"/>
    <x v="0"/>
    <x v="2"/>
    <x v="10"/>
    <x v="1"/>
    <x v="1"/>
    <x v="5"/>
    <x v="0"/>
    <x v="3"/>
    <x v="3"/>
    <x v="0"/>
    <x v="0"/>
    <x v="0"/>
    <x v="0"/>
    <x v="10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2"/>
    <x v="32"/>
    <x v="6"/>
    <x v="18"/>
    <x v="0"/>
    <x v="0"/>
    <x v="1"/>
    <x v="50"/>
    <x v="0"/>
    <x v="0"/>
    <x v="0"/>
    <x v="24"/>
    <x v="24"/>
    <x v="0"/>
    <x v="0"/>
    <x v="0"/>
    <x v="0"/>
    <x v="0"/>
    <x v="0"/>
    <x v="0"/>
    <x v="0"/>
    <x v="0"/>
    <x v="0"/>
    <x v="0"/>
    <x v="2"/>
    <x v="0"/>
    <x v="0"/>
    <x v="0"/>
    <x v="8"/>
    <x v="0"/>
    <x v="7"/>
    <x v="0"/>
    <x v="0"/>
    <x v="0"/>
    <x v="29"/>
    <x v="0"/>
    <x v="0"/>
    <x v="2"/>
    <x v="0"/>
    <x v="0"/>
    <x v="5"/>
    <x v="1"/>
    <x v="1"/>
    <x v="5"/>
    <x v="0"/>
    <x v="3"/>
    <x v="3"/>
    <x v="0"/>
    <x v="0"/>
    <x v="0"/>
    <x v="0"/>
    <x v="30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9"/>
    <x v="39"/>
    <x v="6"/>
    <x v="5"/>
    <x v="0"/>
    <x v="0"/>
    <x v="1"/>
    <x v="4"/>
    <x v="0"/>
    <x v="0"/>
    <x v="0"/>
    <x v="5"/>
    <x v="5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7"/>
    <x v="0"/>
    <x v="0"/>
    <x v="7"/>
    <x v="0"/>
    <x v="2"/>
    <x v="10"/>
    <x v="1"/>
    <x v="1"/>
    <x v="5"/>
    <x v="0"/>
    <x v="3"/>
    <x v="3"/>
    <x v="0"/>
    <x v="0"/>
    <x v="0"/>
    <x v="0"/>
    <x v="7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7"/>
    <x v="7"/>
    <x v="6"/>
    <x v="8"/>
    <x v="0"/>
    <x v="0"/>
    <x v="1"/>
    <x v="6"/>
    <x v="0"/>
    <x v="0"/>
    <x v="0"/>
    <x v="10"/>
    <x v="10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13"/>
    <x v="0"/>
    <x v="0"/>
    <x v="2"/>
    <x v="0"/>
    <x v="0"/>
    <x v="2"/>
    <x v="1"/>
    <x v="1"/>
    <x v="5"/>
    <x v="0"/>
    <x v="3"/>
    <x v="3"/>
    <x v="0"/>
    <x v="0"/>
    <x v="0"/>
    <x v="0"/>
    <x v="13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4"/>
    <x v="4"/>
    <x v="6"/>
    <x v="8"/>
    <x v="0"/>
    <x v="0"/>
    <x v="1"/>
    <x v="7"/>
    <x v="0"/>
    <x v="0"/>
    <x v="0"/>
    <x v="10"/>
    <x v="10"/>
    <x v="0"/>
    <x v="0"/>
    <x v="0"/>
    <x v="0"/>
    <x v="0"/>
    <x v="0"/>
    <x v="0"/>
    <x v="0"/>
    <x v="0"/>
    <x v="0"/>
    <x v="0"/>
    <x v="2"/>
    <x v="0"/>
    <x v="0"/>
    <x v="0"/>
    <x v="8"/>
    <x v="0"/>
    <x v="9"/>
    <x v="0"/>
    <x v="0"/>
    <x v="0"/>
    <x v="13"/>
    <x v="0"/>
    <x v="0"/>
    <x v="2"/>
    <x v="0"/>
    <x v="0"/>
    <x v="2"/>
    <x v="1"/>
    <x v="1"/>
    <x v="5"/>
    <x v="0"/>
    <x v="3"/>
    <x v="3"/>
    <x v="0"/>
    <x v="0"/>
    <x v="0"/>
    <x v="0"/>
    <x v="13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0"/>
    <x v="20"/>
    <x v="6"/>
    <x v="19"/>
    <x v="0"/>
    <x v="0"/>
    <x v="1"/>
    <x v="0"/>
    <x v="0"/>
    <x v="0"/>
    <x v="0"/>
    <x v="9"/>
    <x v="9"/>
    <x v="0"/>
    <x v="0"/>
    <x v="0"/>
    <x v="0"/>
    <x v="0"/>
    <x v="0"/>
    <x v="0"/>
    <x v="0"/>
    <x v="0"/>
    <x v="0"/>
    <x v="0"/>
    <x v="2"/>
    <x v="0"/>
    <x v="0"/>
    <x v="0"/>
    <x v="8"/>
    <x v="0"/>
    <x v="8"/>
    <x v="0"/>
    <x v="0"/>
    <x v="0"/>
    <x v="12"/>
    <x v="0"/>
    <x v="0"/>
    <x v="1"/>
    <x v="0"/>
    <x v="1"/>
    <x v="10"/>
    <x v="1"/>
    <x v="1"/>
    <x v="5"/>
    <x v="0"/>
    <x v="3"/>
    <x v="3"/>
    <x v="0"/>
    <x v="0"/>
    <x v="0"/>
    <x v="0"/>
    <x v="12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2"/>
    <x v="22"/>
    <x v="6"/>
    <x v="19"/>
    <x v="0"/>
    <x v="0"/>
    <x v="1"/>
    <x v="1"/>
    <x v="0"/>
    <x v="0"/>
    <x v="0"/>
    <x v="11"/>
    <x v="11"/>
    <x v="0"/>
    <x v="0"/>
    <x v="0"/>
    <x v="0"/>
    <x v="0"/>
    <x v="0"/>
    <x v="0"/>
    <x v="0"/>
    <x v="0"/>
    <x v="0"/>
    <x v="0"/>
    <x v="2"/>
    <x v="0"/>
    <x v="0"/>
    <x v="0"/>
    <x v="8"/>
    <x v="0"/>
    <x v="8"/>
    <x v="0"/>
    <x v="0"/>
    <x v="0"/>
    <x v="14"/>
    <x v="0"/>
    <x v="0"/>
    <x v="1"/>
    <x v="0"/>
    <x v="1"/>
    <x v="10"/>
    <x v="1"/>
    <x v="1"/>
    <x v="5"/>
    <x v="0"/>
    <x v="3"/>
    <x v="3"/>
    <x v="0"/>
    <x v="0"/>
    <x v="0"/>
    <x v="0"/>
    <x v="14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28"/>
    <x v="28"/>
    <x v="6"/>
    <x v="19"/>
    <x v="0"/>
    <x v="0"/>
    <x v="1"/>
    <x v="2"/>
    <x v="0"/>
    <x v="0"/>
    <x v="0"/>
    <x v="26"/>
    <x v="26"/>
    <x v="0"/>
    <x v="0"/>
    <x v="0"/>
    <x v="0"/>
    <x v="0"/>
    <x v="0"/>
    <x v="0"/>
    <x v="0"/>
    <x v="0"/>
    <x v="0"/>
    <x v="0"/>
    <x v="2"/>
    <x v="0"/>
    <x v="0"/>
    <x v="0"/>
    <x v="8"/>
    <x v="0"/>
    <x v="8"/>
    <x v="0"/>
    <x v="0"/>
    <x v="0"/>
    <x v="32"/>
    <x v="0"/>
    <x v="0"/>
    <x v="1"/>
    <x v="0"/>
    <x v="1"/>
    <x v="10"/>
    <x v="1"/>
    <x v="1"/>
    <x v="5"/>
    <x v="0"/>
    <x v="3"/>
    <x v="3"/>
    <x v="0"/>
    <x v="0"/>
    <x v="0"/>
    <x v="0"/>
    <x v="32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6"/>
    <x v="36"/>
    <x v="6"/>
    <x v="19"/>
    <x v="0"/>
    <x v="0"/>
    <x v="1"/>
    <x v="3"/>
    <x v="0"/>
    <x v="0"/>
    <x v="0"/>
    <x v="22"/>
    <x v="21"/>
    <x v="0"/>
    <x v="0"/>
    <x v="0"/>
    <x v="0"/>
    <x v="0"/>
    <x v="0"/>
    <x v="0"/>
    <x v="0"/>
    <x v="0"/>
    <x v="0"/>
    <x v="0"/>
    <x v="2"/>
    <x v="0"/>
    <x v="0"/>
    <x v="0"/>
    <x v="8"/>
    <x v="0"/>
    <x v="8"/>
    <x v="0"/>
    <x v="0"/>
    <x v="0"/>
    <x v="27"/>
    <x v="0"/>
    <x v="0"/>
    <x v="1"/>
    <x v="0"/>
    <x v="1"/>
    <x v="10"/>
    <x v="1"/>
    <x v="1"/>
    <x v="5"/>
    <x v="0"/>
    <x v="3"/>
    <x v="3"/>
    <x v="0"/>
    <x v="0"/>
    <x v="0"/>
    <x v="0"/>
    <x v="28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30"/>
    <x v="30"/>
    <x v="7"/>
    <x v="10"/>
    <x v="0"/>
    <x v="0"/>
    <x v="1"/>
    <x v="5"/>
    <x v="0"/>
    <x v="0"/>
    <x v="0"/>
    <x v="53"/>
    <x v="54"/>
    <x v="11"/>
    <x v="0"/>
    <x v="0"/>
    <x v="0"/>
    <x v="0"/>
    <x v="0"/>
    <x v="0"/>
    <x v="0"/>
    <x v="0"/>
    <x v="0"/>
    <x v="0"/>
    <x v="1"/>
    <x v="0"/>
    <x v="0"/>
    <x v="0"/>
    <x v="1"/>
    <x v="0"/>
    <x v="3"/>
    <x v="0"/>
    <x v="0"/>
    <x v="0"/>
    <x v="56"/>
    <x v="0"/>
    <x v="0"/>
    <x v="6"/>
    <x v="0"/>
    <x v="1"/>
    <x v="10"/>
    <x v="1"/>
    <x v="1"/>
    <x v="5"/>
    <x v="0"/>
    <x v="3"/>
    <x v="3"/>
    <x v="0"/>
    <x v="0"/>
    <x v="0"/>
    <x v="0"/>
    <x v="55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40"/>
    <x v="40"/>
    <x v="7"/>
    <x v="10"/>
    <x v="0"/>
    <x v="0"/>
    <x v="1"/>
    <x v="6"/>
    <x v="0"/>
    <x v="0"/>
    <x v="0"/>
    <x v="46"/>
    <x v="47"/>
    <x v="10"/>
    <x v="0"/>
    <x v="0"/>
    <x v="0"/>
    <x v="0"/>
    <x v="0"/>
    <x v="0"/>
    <x v="0"/>
    <x v="0"/>
    <x v="0"/>
    <x v="0"/>
    <x v="1"/>
    <x v="0"/>
    <x v="0"/>
    <x v="0"/>
    <x v="1"/>
    <x v="0"/>
    <x v="3"/>
    <x v="0"/>
    <x v="0"/>
    <x v="0"/>
    <x v="51"/>
    <x v="0"/>
    <x v="0"/>
    <x v="6"/>
    <x v="0"/>
    <x v="1"/>
    <x v="10"/>
    <x v="1"/>
    <x v="1"/>
    <x v="5"/>
    <x v="0"/>
    <x v="3"/>
    <x v="3"/>
    <x v="0"/>
    <x v="0"/>
    <x v="0"/>
    <x v="0"/>
    <x v="50"/>
    <x v="0"/>
    <x v="0"/>
    <x v="0"/>
    <x v="0"/>
    <x v="0"/>
    <x v="0"/>
    <x v="1"/>
    <x v="2"/>
    <x v="2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  <r>
    <x v="51"/>
    <x v="51"/>
    <x v="7"/>
    <x v="2"/>
    <x v="0"/>
    <x v="0"/>
    <x v="1"/>
    <x v="38"/>
    <x v="0"/>
    <x v="0"/>
    <x v="0"/>
    <x v="47"/>
    <x v="49"/>
    <x v="0"/>
    <x v="0"/>
    <x v="0"/>
    <x v="0"/>
    <x v="0"/>
    <x v="0"/>
    <x v="0"/>
    <x v="0"/>
    <x v="0"/>
    <x v="0"/>
    <x v="0"/>
    <x v="2"/>
    <x v="0"/>
    <x v="0"/>
    <x v="0"/>
    <x v="1"/>
    <x v="0"/>
    <x v="3"/>
    <x v="0"/>
    <x v="0"/>
    <x v="0"/>
    <x v="52"/>
    <x v="0"/>
    <x v="0"/>
    <x v="6"/>
    <x v="0"/>
    <x v="1"/>
    <x v="10"/>
    <x v="0"/>
    <x v="0"/>
    <x v="2"/>
    <x v="1"/>
    <x v="0"/>
    <x v="0"/>
    <x v="4"/>
    <x v="0"/>
    <x v="0"/>
    <x v="0"/>
    <x v="51"/>
    <x v="0"/>
    <x v="0"/>
    <x v="0"/>
    <x v="0"/>
    <x v="0"/>
    <x v="0"/>
    <x v="1"/>
    <x v="2"/>
    <x v="2"/>
    <x v="1"/>
    <x v="0"/>
    <x v="0"/>
    <x v="1"/>
    <x v="0"/>
    <x v="0"/>
    <x v="0"/>
    <x v="0"/>
    <x v="1"/>
    <x v="1"/>
    <x v="1"/>
    <x v="1"/>
    <x v="0"/>
    <x v="0"/>
    <x v="0"/>
    <x v="0"/>
    <x v="0"/>
    <x v="0"/>
    <x v="0"/>
    <x v="1"/>
    <x v="1"/>
    <x v="2"/>
    <x v="1"/>
    <x v="1"/>
    <x v="1"/>
    <x v="18"/>
    <x v="1"/>
    <x v="1"/>
    <x v="1"/>
    <x v="18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H40" firstHeaderRow="1" firstDataRow="2" firstDataCol="1"/>
  <pivotFields count="31">
    <pivotField showAll="0"/>
    <pivotField showAll="0"/>
    <pivotField showAll="0"/>
    <pivotField showAll="0"/>
    <pivotField showAll="0"/>
    <pivotField showAll="0"/>
    <pivotField showAll="0"/>
    <pivotField axis="axisRow" showAll="0">
      <items count="36">
        <item x="0"/>
        <item x="13"/>
        <item x="15"/>
        <item x="16"/>
        <item x="29"/>
        <item x="30"/>
        <item x="32"/>
        <item x="33"/>
        <item x="12"/>
        <item x="21"/>
        <item x="19"/>
        <item x="22"/>
        <item x="31"/>
        <item x="34"/>
        <item x="2"/>
        <item x="14"/>
        <item x="18"/>
        <item x="5"/>
        <item x="4"/>
        <item x="20"/>
        <item x="10"/>
        <item x="1"/>
        <item x="9"/>
        <item x="27"/>
        <item x="8"/>
        <item x="7"/>
        <item x="25"/>
        <item x="24"/>
        <item x="23"/>
        <item x="6"/>
        <item x="3"/>
        <item x="17"/>
        <item x="28"/>
        <item x="11"/>
        <item x="26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7"/>
  </rowFields>
  <colFields count="1">
    <field x="-2"/>
  </colFields>
  <dataFields count="7">
    <dataField name="Sum of Invoiced amount for April" fld="9" subtotal="sum" numFmtId="168"/>
    <dataField name="Sum of Invoiced amount for MAY" fld="10" subtotal="sum" numFmtId="168"/>
    <dataField name="Sum of June in months" fld="16" subtotal="sum" numFmtId="168"/>
    <dataField name="Sum of July in months" fld="19" subtotal="sum" numFmtId="168"/>
    <dataField name="Sum of Aug Sales in months" fld="23" subtotal="sum" numFmtId="165"/>
    <dataField name="Sum of Sept Sales in months" fld="26" subtotal="sum" numFmtId="165"/>
    <dataField name="Sum of Oct Sales in months" fld="29" subtotal="sum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46:H83" firstHeaderRow="1" firstDataRow="2" firstDataCol="1"/>
  <pivotFields count="31">
    <pivotField showAll="0"/>
    <pivotField showAll="0"/>
    <pivotField showAll="0"/>
    <pivotField showAll="0"/>
    <pivotField showAll="0"/>
    <pivotField showAll="0"/>
    <pivotField showAll="0"/>
    <pivotField axis="axisRow" showAll="0">
      <items count="36">
        <item x="0"/>
        <item x="13"/>
        <item x="15"/>
        <item x="16"/>
        <item x="29"/>
        <item x="30"/>
        <item x="32"/>
        <item x="33"/>
        <item x="12"/>
        <item x="21"/>
        <item x="19"/>
        <item x="22"/>
        <item x="31"/>
        <item x="34"/>
        <item x="2"/>
        <item x="14"/>
        <item x="18"/>
        <item x="5"/>
        <item x="4"/>
        <item x="20"/>
        <item x="10"/>
        <item x="1"/>
        <item x="9"/>
        <item x="27"/>
        <item x="8"/>
        <item x="7"/>
        <item x="25"/>
        <item x="24"/>
        <item x="23"/>
        <item x="6"/>
        <item x="3"/>
        <item x="17"/>
        <item x="28"/>
        <item x="11"/>
        <item x="2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colFields count="1">
    <field x="-2"/>
  </colFields>
  <dataFields count="7">
    <dataField name="Sum of April Sales (Days Wise)" fld="13" subtotal="sum" numFmtId="168"/>
    <dataField name="Sum of May Sales (Days Wise)" fld="15" subtotal="sum" numFmtId="168"/>
    <dataField name="Sum of June in days" fld="18" subtotal="sum" numFmtId="168"/>
    <dataField name="Sum of July in days" fld="21" subtotal="sum" numFmtId="165"/>
    <dataField name="Sum of Aug Sales in days" fld="24" subtotal="sum" numFmtId="168"/>
    <dataField name="Sum of Sept Sales in days" fld="27" subtotal="sum" numFmtId="165"/>
    <dataField name="Sum of Oct Sales in days" fld="30" subtotal="sum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K4:O21" firstHeaderRow="1" firstDataRow="2" firstDataCol="1"/>
  <pivotFields count="9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0"/>
  </rowFields>
  <colFields count="1">
    <field x="8"/>
  </colFields>
  <dataFields count="1">
    <dataField name="Sum of Taxable Value" fld="5" subtotal="sum" numFmtId="165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2" cacheId="3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28" firstHeaderRow="1" firstDataRow="1" firstDataCol="1" rowPageCount="1" colPageCount="1"/>
  <pivotFields count="92">
    <pivotField axis="axisPage" showAll="0">
      <items count="5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x="41"/>
        <item x="42"/>
        <item x="43"/>
        <item x="44"/>
        <item x="45"/>
        <item x="46"/>
        <item x="47"/>
        <item x="48"/>
        <item x="49"/>
        <item x="50"/>
        <item x="51"/>
        <item h="1" x="52"/>
        <item t="default"/>
      </items>
    </pivotField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8"/>
    <field x="3"/>
  </rowFields>
  <pageFields count="1">
    <pageField fld="0" hier="-1"/>
  </pageFields>
  <dataFields count="1">
    <dataField name="Sum of Item Total" fld="3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books.zoho.in/app/60027787976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books.zoho.in/app/60027787976" TargetMode="External"/><Relationship Id="rId3" Type="http://schemas.openxmlformats.org/officeDocument/2006/relationships/hyperlink" Target="https://books.zoho.in/app/60027787976" TargetMode="External"/><Relationship Id="rId4" Type="http://schemas.openxmlformats.org/officeDocument/2006/relationships/hyperlink" Target="https://books.zoho.in/app/60027787976" TargetMode="External"/><Relationship Id="rId5" Type="http://schemas.openxmlformats.org/officeDocument/2006/relationships/hyperlink" Target="https://books.zoho.in/app/60027787976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https://books.zoho.in/app/60027787976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3.vml"/><Relationship Id="rId5" Type="http://schemas.openxmlformats.org/officeDocument/2006/relationships/pivotTable" Target="../pivotTables/pivot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47"/>
  <sheetViews>
    <sheetView showFormulas="false" showGridLines="false" showRowColHeaders="true" showZeros="true" rightToLeft="false" tabSelected="false" showOutlineSymbols="true" defaultGridColor="true" view="normal" topLeftCell="A1" colorId="64" zoomScale="94" zoomScaleNormal="94" zoomScalePageLayoutView="100" workbookViewId="0">
      <pane xSplit="2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B20" activeCellId="1" sqref="AC4:AE412 B20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.54"/>
    <col collapsed="false" customWidth="true" hidden="false" outlineLevel="0" max="2" min="2" style="1" width="60.73"/>
    <col collapsed="false" customWidth="true" hidden="false" outlineLevel="0" max="4" min="3" style="2" width="17.27"/>
    <col collapsed="false" customWidth="true" hidden="false" outlineLevel="0" max="9" min="5" style="1" width="18.18"/>
    <col collapsed="false" customWidth="false" hidden="false" outlineLevel="0" max="16384" min="10" style="1" width="14.45"/>
  </cols>
  <sheetData>
    <row r="1" customFormat="false" ht="24.75" hidden="false" customHeight="true" outlineLevel="0" collapsed="false">
      <c r="B1" s="3" t="s">
        <v>0</v>
      </c>
    </row>
    <row r="2" customFormat="false" ht="15" hidden="false" customHeight="true" outlineLevel="0" collapsed="false">
      <c r="B2" s="4" t="s">
        <v>1</v>
      </c>
    </row>
    <row r="3" customFormat="false" ht="15" hidden="false" customHeight="true" outlineLevel="0" collapsed="false">
      <c r="B3" s="4" t="s">
        <v>2</v>
      </c>
    </row>
    <row r="4" customFormat="false" ht="12.75" hidden="false" customHeight="true" outlineLevel="0" collapsed="false">
      <c r="A4" s="5"/>
      <c r="B4" s="5"/>
      <c r="C4" s="6"/>
      <c r="D4" s="6"/>
    </row>
    <row r="5" customFormat="false" ht="12.75" hidden="false" customHeight="true" outlineLevel="0" collapsed="false">
      <c r="A5" s="7"/>
      <c r="B5" s="8" t="s">
        <v>3</v>
      </c>
      <c r="C5" s="9" t="s">
        <v>4</v>
      </c>
      <c r="D5" s="9" t="s">
        <v>4</v>
      </c>
      <c r="E5" s="9" t="s">
        <v>4</v>
      </c>
      <c r="F5" s="9" t="s">
        <v>4</v>
      </c>
      <c r="G5" s="9" t="s">
        <v>4</v>
      </c>
      <c r="H5" s="9" t="s">
        <v>4</v>
      </c>
      <c r="I5" s="9" t="s">
        <v>4</v>
      </c>
      <c r="J5" s="10"/>
      <c r="K5" s="10"/>
      <c r="L5" s="10"/>
      <c r="M5" s="10"/>
      <c r="N5" s="10"/>
      <c r="O5" s="10"/>
      <c r="P5" s="10"/>
      <c r="Q5" s="10"/>
    </row>
    <row r="6" customFormat="false" ht="12.75" hidden="false" customHeight="true" outlineLevel="0" collapsed="false">
      <c r="A6" s="5"/>
      <c r="B6" s="11"/>
      <c r="C6" s="12" t="n">
        <v>45748</v>
      </c>
      <c r="D6" s="12" t="n">
        <v>45778</v>
      </c>
      <c r="E6" s="12" t="n">
        <v>45809</v>
      </c>
      <c r="F6" s="12" t="n">
        <v>45839</v>
      </c>
      <c r="G6" s="12" t="n">
        <v>45870</v>
      </c>
      <c r="H6" s="12" t="n">
        <v>45901</v>
      </c>
      <c r="I6" s="12" t="n">
        <v>45931</v>
      </c>
    </row>
    <row r="7" customFormat="false" ht="12.75" hidden="false" customHeight="true" outlineLevel="0" collapsed="false">
      <c r="A7" s="5"/>
      <c r="B7" s="13" t="s">
        <v>5</v>
      </c>
      <c r="C7" s="14" t="n">
        <f aca="false">SUM(C9:C47)</f>
        <v>1741620.90112994</v>
      </c>
      <c r="D7" s="14" t="n">
        <f aca="false">SUM(D9:D47)</f>
        <v>2163257.62988701</v>
      </c>
      <c r="E7" s="14" t="n">
        <f aca="false">SUM(E9:E47)</f>
        <v>2564306.80657151</v>
      </c>
      <c r="F7" s="14" t="n">
        <f aca="false">SUM(F9:F47)</f>
        <v>3134923.84006878</v>
      </c>
      <c r="G7" s="14" t="n">
        <f aca="false">SUM(G9:G47)</f>
        <v>3859051.33474576</v>
      </c>
      <c r="H7" s="14" t="n">
        <f aca="false">SUM(H9:H47)</f>
        <v>4595146.09249095</v>
      </c>
      <c r="I7" s="14" t="n">
        <f aca="false">SUM(I9:I47)</f>
        <v>5204678.92225674</v>
      </c>
    </row>
    <row r="8" customFormat="false" ht="12.75" hidden="false" customHeight="true" outlineLevel="0" collapsed="false">
      <c r="A8" s="5"/>
      <c r="B8" s="13"/>
      <c r="C8" s="14"/>
      <c r="D8" s="14"/>
      <c r="E8" s="14"/>
      <c r="F8" s="14"/>
      <c r="G8" s="14"/>
      <c r="H8" s="14"/>
      <c r="I8" s="14"/>
    </row>
    <row r="9" customFormat="false" ht="12.75" hidden="false" customHeight="true" outlineLevel="0" collapsed="false">
      <c r="A9" s="5"/>
      <c r="B9" s="13" t="s">
        <v>6</v>
      </c>
      <c r="C9" s="15"/>
      <c r="D9" s="15"/>
      <c r="E9" s="15"/>
      <c r="F9" s="15"/>
      <c r="G9" s="15"/>
      <c r="H9" s="15"/>
      <c r="I9" s="15"/>
    </row>
    <row r="10" customFormat="false" ht="12.75" hidden="false" customHeight="true" outlineLevel="0" collapsed="false">
      <c r="A10" s="5"/>
      <c r="B10" s="16" t="s">
        <v>7</v>
      </c>
      <c r="C10" s="15" t="n">
        <f aca="false">SUMIF(Pivot!$A$2:$A$42,'MR-AR'!B10,Pivot!$B$2:$B$42)/118%</f>
        <v>51835.3107344633</v>
      </c>
      <c r="D10" s="15" t="n">
        <f aca="false">SUMIF(Pivot!$A$2:$A$42,'MR-AR'!B10,Pivot!$C$2:$C$42)/118%</f>
        <v>294835.310734463</v>
      </c>
      <c r="E10" s="15" t="n">
        <f aca="false">SUMIF(Pivot!$A$2:$A$42,'MR-AR'!B10,Pivot!$D$2:$D$42)/118%</f>
        <v>294835.310734463</v>
      </c>
      <c r="F10" s="15" t="n">
        <f aca="false">SUMIF(Pivot!$A$2:$A$42,'MR-AR'!B10,Pivot!$E$2:$E$42)/118%</f>
        <v>316751.97740113</v>
      </c>
      <c r="G10" s="15" t="n">
        <f aca="false">SUMIF(Pivot!$A$2:$A$42,'MR-AR'!B10,Pivot!$F$2:$F$42)/118%</f>
        <v>981618.644067797</v>
      </c>
      <c r="H10" s="15" t="n">
        <f aca="false">SUMIF(Pivot!$A$2:$A$42,'MR-AR'!B10,Pivot!$G$2:$G$42)/118%</f>
        <v>1024701.97740113</v>
      </c>
      <c r="I10" s="15" t="n">
        <f aca="false">SUMIF(Pivot!$A$2:$A$42,'MR-AR'!B10,Pivot!$H$2:$H$42)/118%</f>
        <v>1214135.31073446</v>
      </c>
    </row>
    <row r="11" customFormat="false" ht="12.75" hidden="false" customHeight="true" outlineLevel="0" collapsed="false">
      <c r="A11" s="5"/>
      <c r="B11" s="16" t="s">
        <v>8</v>
      </c>
      <c r="C11" s="15" t="n">
        <f aca="false">SUMIF(Pivot!$A$2:$A$42,'MR-AR'!B11,Pivot!$B$2:$B$42)/118%</f>
        <v>48276.8361581921</v>
      </c>
      <c r="D11" s="15" t="n">
        <f aca="false">SUMIF(Pivot!$A$2:$A$42,'MR-AR'!B11,Pivot!$C$2:$C$42)/118%</f>
        <v>48276.8361581921</v>
      </c>
      <c r="E11" s="15" t="n">
        <f aca="false">SUMIF(Pivot!$A$2:$A$42,'MR-AR'!B11,Pivot!$D$2:$D$42)/118%</f>
        <v>96276.8361581921</v>
      </c>
      <c r="F11" s="15" t="n">
        <f aca="false">SUMIF(Pivot!$A$2:$A$42,'MR-AR'!B11,Pivot!$E$2:$E$42)/118%</f>
        <v>180776.836158192</v>
      </c>
      <c r="G11" s="15" t="n">
        <f aca="false">SUMIF(Pivot!$A$2:$A$42,'MR-AR'!B11,Pivot!$F$2:$F$42)/118%</f>
        <v>355799.435028249</v>
      </c>
      <c r="H11" s="15" t="n">
        <f aca="false">SUMIF(Pivot!$A$2:$A$42,'MR-AR'!B11,Pivot!$G$2:$G$42)/118%</f>
        <v>446418.079096045</v>
      </c>
      <c r="I11" s="15" t="n">
        <f aca="false">SUMIF(Pivot!$A$2:$A$42,'MR-AR'!B11,Pivot!$H$2:$H$42)/118%</f>
        <v>511638.418079096</v>
      </c>
    </row>
    <row r="12" customFormat="false" ht="12.75" hidden="false" customHeight="true" outlineLevel="0" collapsed="false">
      <c r="A12" s="5"/>
      <c r="B12" s="16" t="s">
        <v>9</v>
      </c>
      <c r="C12" s="15" t="n">
        <f aca="false">SUMIF(Pivot!$A$2:$A$42,'MR-AR'!B12,Pivot!$B$2:$B$42)/118%</f>
        <v>653322.313559322</v>
      </c>
      <c r="D12" s="15" t="n">
        <f aca="false">SUMIF(Pivot!$A$2:$A$42,'MR-AR'!B12,Pivot!$C$2:$C$42)/118%</f>
        <v>768915.25141243</v>
      </c>
      <c r="E12" s="15" t="n">
        <f aca="false">SUMIF(Pivot!$A$2:$A$42,'MR-AR'!B12,Pivot!$D$2:$D$42)/118%</f>
        <v>1006485.02542373</v>
      </c>
      <c r="F12" s="15" t="n">
        <f aca="false">SUMIF(Pivot!$A$2:$A$42,'MR-AR'!B12,Pivot!$E$2:$E$42)/118%</f>
        <v>1447016.79378531</v>
      </c>
      <c r="G12" s="15" t="n">
        <f aca="false">SUMIF(Pivot!$A$2:$A$42,'MR-AR'!B12,Pivot!$F$2:$F$42)/118%</f>
        <v>1673643.10028248</v>
      </c>
      <c r="H12" s="15" t="n">
        <f aca="false">SUMIF(Pivot!$A$2:$A$42,'MR-AR'!B12,Pivot!$G$2:$G$42)/118%</f>
        <v>1970881.13983051</v>
      </c>
      <c r="I12" s="15" t="n">
        <f aca="false">SUMIF(Pivot!$A$2:$A$42,'MR-AR'!B12,Pivot!$H$2:$H$42)/118%</f>
        <v>2048228.59887006</v>
      </c>
    </row>
    <row r="13" customFormat="false" ht="12.75" hidden="false" customHeight="true" outlineLevel="0" collapsed="false">
      <c r="A13" s="5"/>
      <c r="B13" s="16" t="s">
        <v>10</v>
      </c>
      <c r="C13" s="15" t="n">
        <f aca="false">SUMIF(Pivot!$A$2:$A$42,'MR-AR'!B13,Pivot!$B$2:$B$42)/118%</f>
        <v>69033.0508474576</v>
      </c>
      <c r="D13" s="15" t="n">
        <f aca="false">SUMIF(Pivot!$A$2:$A$42,'MR-AR'!B13,Pivot!$C$2:$C$42)/118%</f>
        <v>78199.7175141243</v>
      </c>
      <c r="E13" s="15" t="n">
        <f aca="false">SUMIF(Pivot!$A$2:$A$42,'MR-AR'!B13,Pivot!$D$2:$D$42)/118%</f>
        <v>91674.2937853107</v>
      </c>
      <c r="F13" s="15" t="n">
        <f aca="false">SUMIF(Pivot!$A$2:$A$42,'MR-AR'!B13,Pivot!$E$2:$E$42)/118%</f>
        <v>157840.395480226</v>
      </c>
      <c r="G13" s="15" t="n">
        <f aca="false">SUMIF(Pivot!$A$2:$A$42,'MR-AR'!B13,Pivot!$F$2:$F$42)/118%</f>
        <v>157840.395480226</v>
      </c>
      <c r="H13" s="15" t="n">
        <f aca="false">SUMIF(Pivot!$A$2:$A$42,'MR-AR'!B13,Pivot!$G$2:$G$42)/118%</f>
        <v>222484.463276836</v>
      </c>
      <c r="I13" s="15" t="n">
        <f aca="false">SUMIF(Pivot!$A$2:$A$42,'MR-AR'!B13,Pivot!$H$2:$H$42)/118%</f>
        <v>322755.649717514</v>
      </c>
    </row>
    <row r="14" customFormat="false" ht="12.75" hidden="false" customHeight="true" outlineLevel="0" collapsed="false">
      <c r="A14" s="5"/>
      <c r="B14" s="16" t="s">
        <v>11</v>
      </c>
      <c r="C14" s="15" t="n">
        <f aca="false">SUMIF(Pivot!$A$2:$A$42,'MR-AR'!B14,Pivot!$B$2:$B$42)/118%</f>
        <v>0</v>
      </c>
      <c r="D14" s="15" t="n">
        <f aca="false">SUMIF(Pivot!$A$2:$A$42,'MR-AR'!B14,Pivot!$C$2:$C$42)/118%</f>
        <v>0</v>
      </c>
      <c r="E14" s="15" t="n">
        <f aca="false">SUMIF(Pivot!$A$2:$A$42,'MR-AR'!B14,Pivot!$D$2:$D$42)/118%</f>
        <v>0</v>
      </c>
      <c r="F14" s="15" t="n">
        <f aca="false">SUMIF(Pivot!$A$2:$A$42,'MR-AR'!B14,Pivot!$E$2:$E$42)/118%</f>
        <v>4021.75423728814</v>
      </c>
      <c r="G14" s="15" t="n">
        <f aca="false">SUMIF(Pivot!$A$2:$A$42,'MR-AR'!B14,Pivot!$F$2:$F$42)/118%</f>
        <v>4021.75423728814</v>
      </c>
      <c r="H14" s="15" t="n">
        <f aca="false">SUMIF(Pivot!$A$2:$A$42,'MR-AR'!B14,Pivot!$G$2:$G$42)/118%</f>
        <v>4021.75423728814</v>
      </c>
      <c r="I14" s="15" t="n">
        <f aca="false">SUMIF(Pivot!$A$2:$A$42,'MR-AR'!B14,Pivot!$H$2:$H$42)/118%</f>
        <v>4021.75423728814</v>
      </c>
    </row>
    <row r="15" customFormat="false" ht="5.25" hidden="false" customHeight="true" outlineLevel="0" collapsed="false">
      <c r="A15" s="5"/>
      <c r="B15" s="16"/>
      <c r="C15" s="15"/>
      <c r="D15" s="15" t="n">
        <f aca="false">SUMIF(Pivot!$A$2:$A$42,'MR-AR'!B15,Pivot!$C$2:$C$42)/118%</f>
        <v>0</v>
      </c>
      <c r="E15" s="15" t="n">
        <f aca="false">SUMIF(Pivot!$A$2:$A$42,'MR-AR'!B15,Pivot!$D$2:$D$42)/118%</f>
        <v>0</v>
      </c>
      <c r="F15" s="15" t="n">
        <f aca="false">SUMIF(Pivot!$A$2:$A$42,'MR-AR'!B15,Pivot!$E$2:$E$42)/118%</f>
        <v>0</v>
      </c>
      <c r="G15" s="15" t="n">
        <f aca="false">SUMIF(Pivot!$A$2:$A$42,'MR-AR'!B15,Pivot!$F$2:$F$42)/118%</f>
        <v>0</v>
      </c>
      <c r="H15" s="15" t="n">
        <f aca="false">SUMIF(Pivot!$A$2:$A$42,'MR-AR'!B15,Pivot!$G$2:$G$42)/118%</f>
        <v>0</v>
      </c>
      <c r="I15" s="15" t="n">
        <f aca="false">SUMIF(Pivot!$A$2:$A$42,'MR-AR'!B15,Pivot!$H$2:$H$42)/118%</f>
        <v>0</v>
      </c>
    </row>
    <row r="16" customFormat="false" ht="12.75" hidden="false" customHeight="true" outlineLevel="0" collapsed="false">
      <c r="A16" s="5"/>
      <c r="B16" s="13" t="s">
        <v>12</v>
      </c>
      <c r="C16" s="15"/>
      <c r="D16" s="15" t="n">
        <f aca="false">SUMIF(Pivot!$A$2:$A$42,'MR-AR'!B16,Pivot!$C$2:$C$42)/118%</f>
        <v>0</v>
      </c>
      <c r="E16" s="15" t="n">
        <f aca="false">SUMIF(Pivot!$A$2:$A$42,'MR-AR'!B16,Pivot!$D$2:$D$42)/118%</f>
        <v>0</v>
      </c>
      <c r="F16" s="15" t="n">
        <f aca="false">SUMIF(Pivot!$A$2:$A$42,'MR-AR'!B16,Pivot!$E$2:$E$42)/118%</f>
        <v>0</v>
      </c>
      <c r="G16" s="15" t="n">
        <f aca="false">SUMIF(Pivot!$A$2:$A$42,'MR-AR'!B16,Pivot!$F$2:$F$42)/118%</f>
        <v>0</v>
      </c>
      <c r="H16" s="15" t="n">
        <f aca="false">SUMIF(Pivot!$A$2:$A$42,'MR-AR'!B16,Pivot!$G$2:$G$42)/118%</f>
        <v>0</v>
      </c>
      <c r="I16" s="15" t="n">
        <f aca="false">SUMIF(Pivot!$A$2:$A$42,'MR-AR'!B16,Pivot!$H$2:$H$42)/118%</f>
        <v>0</v>
      </c>
    </row>
    <row r="17" customFormat="false" ht="12.75" hidden="false" customHeight="true" outlineLevel="0" collapsed="false">
      <c r="A17" s="5"/>
      <c r="B17" s="16" t="s">
        <v>13</v>
      </c>
      <c r="C17" s="15" t="n">
        <f aca="false">SUMIF(Pivot!$A$2:$A$42,'MR-AR'!B17,Pivot!$B$2:$B$42)/118%</f>
        <v>0</v>
      </c>
      <c r="D17" s="15" t="n">
        <f aca="false">SUMIF(Pivot!$A$2:$A$42,'MR-AR'!B17,Pivot!$C$2:$C$42)/118%</f>
        <v>0</v>
      </c>
      <c r="E17" s="15" t="n">
        <f aca="false">SUMIF(Pivot!$A$2:$A$42,'MR-AR'!B17,Pivot!$D$2:$D$42)/118%</f>
        <v>0</v>
      </c>
      <c r="F17" s="15" t="n">
        <f aca="false">SUMIF(Pivot!$A$2:$A$42,'MR-AR'!B17,Pivot!$E$2:$E$42)/118%</f>
        <v>8000</v>
      </c>
      <c r="G17" s="15" t="n">
        <f aca="false">SUMIF(Pivot!$A$2:$A$42,'MR-AR'!B17,Pivot!$F$2:$F$42)/118%</f>
        <v>0</v>
      </c>
      <c r="H17" s="15" t="n">
        <f aca="false">SUMIF(Pivot!$A$2:$A$42,'MR-AR'!B17,Pivot!$G$2:$G$42)/118%</f>
        <v>0</v>
      </c>
      <c r="I17" s="15" t="n">
        <f aca="false">SUMIF(Pivot!$A$2:$A$42,'MR-AR'!B17,Pivot!$H$2:$H$42)/118%</f>
        <v>0</v>
      </c>
    </row>
    <row r="18" customFormat="false" ht="12.75" hidden="false" customHeight="true" outlineLevel="0" collapsed="false">
      <c r="A18" s="5"/>
      <c r="B18" s="16" t="s">
        <v>14</v>
      </c>
      <c r="C18" s="15" t="n">
        <f aca="false">SUMIF(Pivot!$A$2:$A$42,'MR-AR'!B18,Pivot!$B$2:$B$42)/118%</f>
        <v>0</v>
      </c>
      <c r="D18" s="15" t="n">
        <f aca="false">SUMIF(Pivot!$A$2:$A$42,'MR-AR'!B18,Pivot!$C$2:$C$42)/118%</f>
        <v>0</v>
      </c>
      <c r="E18" s="15" t="n">
        <f aca="false">SUMIF(Pivot!$A$2:$A$42,'MR-AR'!B18,Pivot!$D$2:$D$42)/118%</f>
        <v>0</v>
      </c>
      <c r="F18" s="15" t="n">
        <f aca="false">SUMIF(Pivot!$A$2:$A$42,'MR-AR'!B18,Pivot!$E$2:$E$42)/118%</f>
        <v>0</v>
      </c>
      <c r="G18" s="15" t="n">
        <f aca="false">SUMIF(Pivot!$A$2:$A$42,'MR-AR'!B18,Pivot!$F$2:$F$42)/118%</f>
        <v>3483.89830508475</v>
      </c>
      <c r="H18" s="15" t="n">
        <f aca="false">SUMIF(Pivot!$A$2:$A$42,'MR-AR'!B18,Pivot!$G$2:$G$42)/118%</f>
        <v>0</v>
      </c>
      <c r="I18" s="15" t="n">
        <f aca="false">SUMIF(Pivot!$A$2:$A$42,'MR-AR'!B18,Pivot!$H$2:$H$42)/118%</f>
        <v>0</v>
      </c>
    </row>
    <row r="19" customFormat="false" ht="12.75" hidden="false" customHeight="true" outlineLevel="0" collapsed="false">
      <c r="A19" s="5"/>
      <c r="B19" s="16" t="s">
        <v>15</v>
      </c>
      <c r="C19" s="15" t="n">
        <f aca="false">SUMIF(Pivot!$A$2:$A$42,'MR-AR'!B19,Pivot!$B$2:$B$42)/118%</f>
        <v>0</v>
      </c>
      <c r="D19" s="15" t="n">
        <f aca="false">SUMIF(Pivot!$A$2:$A$42,'MR-AR'!B19,Pivot!$C$2:$C$42)/118%</f>
        <v>0</v>
      </c>
      <c r="E19" s="15" t="n">
        <f aca="false">SUMIF(Pivot!$A$2:$A$42,'MR-AR'!B19,Pivot!$D$2:$D$42)/118%</f>
        <v>0</v>
      </c>
      <c r="F19" s="15" t="n">
        <f aca="false">SUMIF(Pivot!$A$2:$A$42,'MR-AR'!B19,Pivot!$E$2:$E$42)/118%</f>
        <v>0</v>
      </c>
      <c r="G19" s="15" t="n">
        <f aca="false">SUMIF(Pivot!$A$2:$A$42,'MR-AR'!B19,Pivot!$F$2:$F$42)/118%</f>
        <v>0</v>
      </c>
      <c r="H19" s="15" t="n">
        <f aca="false">SUMIF(Pivot!$A$2:$A$42,'MR-AR'!B19,Pivot!$G$2:$G$42)/118%</f>
        <v>4000</v>
      </c>
      <c r="I19" s="15" t="n">
        <f aca="false">SUMIF(Pivot!$A$2:$A$42,'MR-AR'!B19,Pivot!$H$2:$H$42)/118%</f>
        <v>0</v>
      </c>
    </row>
    <row r="20" customFormat="false" ht="12.75" hidden="false" customHeight="true" outlineLevel="0" collapsed="false">
      <c r="A20" s="5"/>
      <c r="B20" s="16" t="s">
        <v>16</v>
      </c>
      <c r="C20" s="15" t="n">
        <f aca="false">SUMIF(Pivot!$A$2:$A$42,'MR-AR'!B20,Pivot!$B$2:$B$42)/118%</f>
        <v>0</v>
      </c>
      <c r="D20" s="15" t="n">
        <f aca="false">SUMIF(Pivot!$A$2:$A$42,'MR-AR'!B20,Pivot!$C$2:$C$42)/118%</f>
        <v>0</v>
      </c>
      <c r="E20" s="15" t="n">
        <f aca="false">SUMIF(Pivot!$A$2:$A$42,'MR-AR'!B20,Pivot!$D$2:$D$42)/118%</f>
        <v>0</v>
      </c>
      <c r="F20" s="15" t="n">
        <f aca="false">SUMIF(Pivot!$A$2:$A$42,'MR-AR'!B20,Pivot!$E$2:$E$42)/118%</f>
        <v>0</v>
      </c>
      <c r="G20" s="15" t="n">
        <f aca="false">SUMIF(Pivot!$A$2:$A$42,'MR-AR'!B20,Pivot!$F$2:$F$42)/118%</f>
        <v>0</v>
      </c>
      <c r="H20" s="15" t="n">
        <f aca="false">SUMIF(Pivot!$A$2:$A$42,'MR-AR'!B20,Pivot!$G$2:$G$42)/118%</f>
        <v>0</v>
      </c>
      <c r="I20" s="15" t="n">
        <f aca="false">SUMIF(Pivot!$A$2:$A$42,'MR-AR'!B20,Pivot!$H$2:$H$42)/118%</f>
        <v>0</v>
      </c>
    </row>
    <row r="21" customFormat="false" ht="12.75" hidden="false" customHeight="true" outlineLevel="0" collapsed="false">
      <c r="A21" s="5"/>
      <c r="B21" s="16" t="s">
        <v>17</v>
      </c>
      <c r="C21" s="15" t="n">
        <f aca="false">SUMIF(Pivot!$A$2:$A$42,'MR-AR'!B21,Pivot!$B$2:$B$42)/118%</f>
        <v>0</v>
      </c>
      <c r="D21" s="15" t="n">
        <f aca="false">SUMIF(Pivot!$A$2:$A$42,'MR-AR'!B21,Pivot!$C$2:$C$42)/118%</f>
        <v>0</v>
      </c>
      <c r="E21" s="15" t="n">
        <f aca="false">SUMIF(Pivot!$A$2:$A$42,'MR-AR'!B21,Pivot!$D$2:$D$42)/118%</f>
        <v>0</v>
      </c>
      <c r="F21" s="15" t="n">
        <f aca="false">SUMIF(Pivot!$A$2:$A$42,'MR-AR'!B21,Pivot!$E$2:$E$42)/118%</f>
        <v>34592.52</v>
      </c>
      <c r="G21" s="15" t="n">
        <f aca="false">SUMIF(Pivot!$A$2:$A$42,'MR-AR'!B21,Pivot!$F$2:$F$42)/118%</f>
        <v>11032.2033898305</v>
      </c>
      <c r="H21" s="15" t="n">
        <f aca="false">SUMIF(Pivot!$A$2:$A$42,'MR-AR'!B21,Pivot!$G$2:$G$42)/118%</f>
        <v>0</v>
      </c>
      <c r="I21" s="15" t="n">
        <f aca="false">SUMIF(Pivot!$A$2:$A$42,'MR-AR'!B21,Pivot!$H$2:$H$42)/118%</f>
        <v>0</v>
      </c>
    </row>
    <row r="22" customFormat="false" ht="12.75" hidden="false" customHeight="true" outlineLevel="0" collapsed="false">
      <c r="A22" s="5"/>
      <c r="B22" s="16" t="s">
        <v>18</v>
      </c>
      <c r="C22" s="15" t="n">
        <f aca="false">SUMIF(Pivot!$A$2:$A$42,'MR-AR'!B22,Pivot!$B$2:$B$42)/118%</f>
        <v>0</v>
      </c>
      <c r="D22" s="15" t="n">
        <f aca="false">SUMIF(Pivot!$A$2:$A$42,'MR-AR'!B22,Pivot!$C$2:$C$42)/118%</f>
        <v>0</v>
      </c>
      <c r="E22" s="15" t="n">
        <f aca="false">SUMIF(Pivot!$A$2:$A$42,'MR-AR'!B22,Pivot!$D$2:$D$42)/118%</f>
        <v>4934.21052631579</v>
      </c>
      <c r="F22" s="15" t="n">
        <f aca="false">SUMIF(Pivot!$A$2:$A$42,'MR-AR'!B22,Pivot!$E$2:$E$42)/118%</f>
        <v>0</v>
      </c>
      <c r="G22" s="15" t="n">
        <f aca="false">SUMIF(Pivot!$A$2:$A$42,'MR-AR'!B22,Pivot!$F$2:$F$42)/118%</f>
        <v>0</v>
      </c>
      <c r="H22" s="15" t="n">
        <f aca="false">SUMIF(Pivot!$A$2:$A$42,'MR-AR'!B22,Pivot!$G$2:$G$42)/118%</f>
        <v>0</v>
      </c>
      <c r="I22" s="15" t="n">
        <f aca="false">SUMIF(Pivot!$A$2:$A$42,'MR-AR'!B22,Pivot!$H$2:$H$42)/118%</f>
        <v>0</v>
      </c>
    </row>
    <row r="23" customFormat="false" ht="12.75" hidden="false" customHeight="true" outlineLevel="0" collapsed="false">
      <c r="A23" s="5"/>
      <c r="B23" s="16" t="s">
        <v>19</v>
      </c>
      <c r="C23" s="15" t="n">
        <f aca="false">SUMIF(Pivot!$A$2:$A$42,'MR-AR'!B23,Pivot!$B$2:$B$42)/118%</f>
        <v>185711.86440678</v>
      </c>
      <c r="D23" s="15" t="n">
        <f aca="false">SUMIF(Pivot!$A$2:$A$42,'MR-AR'!B23,Pivot!$C$2:$C$42)/118%</f>
        <v>231211.87</v>
      </c>
      <c r="E23" s="15" t="n">
        <f aca="false">SUMIF(Pivot!$A$2:$A$42,'MR-AR'!B23,Pivot!$D$2:$D$42)/118%</f>
        <v>310949.152542373</v>
      </c>
      <c r="F23" s="15" t="n">
        <f aca="false">SUMIF(Pivot!$A$2:$A$42,'MR-AR'!B23,Pivot!$E$2:$E$42)/118%</f>
        <v>445211.86440678</v>
      </c>
      <c r="G23" s="15" t="n">
        <f aca="false">SUMIF(Pivot!$A$2:$A$42,'MR-AR'!B23,Pivot!$F$2:$F$42)/118%</f>
        <v>57474.5762711864</v>
      </c>
      <c r="H23" s="15" t="n">
        <f aca="false">SUMIF(Pivot!$A$2:$A$42,'MR-AR'!B23,Pivot!$G$2:$G$42)/118%</f>
        <v>159146.161016949</v>
      </c>
      <c r="I23" s="15" t="n">
        <f aca="false">SUMIF(Pivot!$A$2:$A$42,'MR-AR'!B23,Pivot!$H$2:$H$42)/118%</f>
        <v>203241.13559322</v>
      </c>
    </row>
    <row r="24" customFormat="false" ht="12.75" hidden="false" customHeight="true" outlineLevel="0" collapsed="false">
      <c r="A24" s="5"/>
      <c r="B24" s="16" t="s">
        <v>20</v>
      </c>
      <c r="C24" s="15" t="n">
        <f aca="false">SUMIF(Pivot!$A$2:$A$42,'MR-AR'!B24,Pivot!$B$2:$B$42)/118%</f>
        <v>40000</v>
      </c>
      <c r="D24" s="15" t="n">
        <f aca="false">SUMIF(Pivot!$A$2:$A$42,'MR-AR'!B24,Pivot!$C$2:$C$42)/118%</f>
        <v>30000</v>
      </c>
      <c r="E24" s="15" t="n">
        <f aca="false">SUMIF(Pivot!$A$2:$A$42,'MR-AR'!B24,Pivot!$D$2:$D$42)/118%</f>
        <v>9000</v>
      </c>
      <c r="F24" s="15" t="n">
        <f aca="false">SUMIF(Pivot!$A$2:$A$42,'MR-AR'!B24,Pivot!$E$2:$E$42)/118%</f>
        <v>9000</v>
      </c>
      <c r="G24" s="15" t="n">
        <f aca="false">SUMIF(Pivot!$A$2:$A$42,'MR-AR'!B24,Pivot!$F$2:$F$42)/118%</f>
        <v>42916</v>
      </c>
      <c r="H24" s="15" t="n">
        <f aca="false">SUMIF(Pivot!$A$2:$A$42,'MR-AR'!B24,Pivot!$G$2:$G$42)/118%</f>
        <v>42916</v>
      </c>
      <c r="I24" s="15" t="n">
        <f aca="false">SUMIF(Pivot!$A$2:$A$42,'MR-AR'!B24,Pivot!$H$2:$H$42)/118%</f>
        <v>0</v>
      </c>
    </row>
    <row r="25" customFormat="false" ht="12.75" hidden="false" customHeight="true" outlineLevel="0" collapsed="false">
      <c r="A25" s="5"/>
      <c r="B25" s="16" t="s">
        <v>21</v>
      </c>
      <c r="C25" s="15" t="n">
        <f aca="false">SUMIF(Pivot!$A$2:$A$42,'MR-AR'!B25,Pivot!$B$2:$B$42)/118%</f>
        <v>89000</v>
      </c>
      <c r="D25" s="15" t="n">
        <f aca="false">SUMIF(Pivot!$A$2:$A$42,'MR-AR'!B25,Pivot!$C$2:$C$42)/118%</f>
        <v>125500</v>
      </c>
      <c r="E25" s="15" t="n">
        <f aca="false">SUMIF(Pivot!$A$2:$A$42,'MR-AR'!B25,Pivot!$D$2:$D$42)/118%</f>
        <v>71500</v>
      </c>
      <c r="F25" s="15" t="n">
        <f aca="false">SUMIF(Pivot!$A$2:$A$42,'MR-AR'!B25,Pivot!$E$2:$E$42)/118%</f>
        <v>10000</v>
      </c>
      <c r="G25" s="15" t="n">
        <f aca="false">SUMIF(Pivot!$A$2:$A$42,'MR-AR'!B25,Pivot!$F$2:$F$42)/118%</f>
        <v>10000</v>
      </c>
      <c r="H25" s="15" t="n">
        <f aca="false">SUMIF(Pivot!$A$2:$A$42,'MR-AR'!B25,Pivot!$G$2:$G$42)/118%</f>
        <v>0</v>
      </c>
      <c r="I25" s="15" t="n">
        <f aca="false">SUMIF(Pivot!$A$2:$A$42,'MR-AR'!B25,Pivot!$H$2:$H$42)/118%</f>
        <v>0</v>
      </c>
    </row>
    <row r="26" customFormat="false" ht="12.75" hidden="false" customHeight="true" outlineLevel="0" collapsed="false">
      <c r="A26" s="5"/>
      <c r="B26" s="16" t="s">
        <v>22</v>
      </c>
      <c r="C26" s="15" t="n">
        <f aca="false">SUMIF(Pivot!$A$2:$A$42,'MR-AR'!B26,Pivot!$B$2:$B$42)/118%</f>
        <v>0</v>
      </c>
      <c r="D26" s="15" t="n">
        <f aca="false">SUMIF(Pivot!$A$2:$A$42,'MR-AR'!B26,Pivot!$C$2:$C$42)/118%</f>
        <v>0</v>
      </c>
      <c r="E26" s="15" t="n">
        <f aca="false">SUMIF(Pivot!$A$2:$A$42,'MR-AR'!B26,Pivot!$D$2:$D$42)/118%</f>
        <v>0</v>
      </c>
      <c r="F26" s="15" t="n">
        <f aca="false">SUMIF(Pivot!$A$2:$A$42,'MR-AR'!B26,Pivot!$E$2:$E$42)/118%</f>
        <v>0</v>
      </c>
      <c r="G26" s="15" t="n">
        <f aca="false">SUMIF(Pivot!$A$2:$A$42,'MR-AR'!B26,Pivot!$F$2:$F$42)/118%</f>
        <v>0</v>
      </c>
      <c r="H26" s="15" t="n">
        <f aca="false">SUMIF(Pivot!$A$2:$A$42,'MR-AR'!B26,Pivot!$G$2:$G$42)/118%</f>
        <v>0</v>
      </c>
      <c r="I26" s="15" t="n">
        <f aca="false">SUMIF(Pivot!$A$2:$A$42,'MR-AR'!B26,Pivot!$H$2:$H$42)/118%</f>
        <v>7632.8956791597</v>
      </c>
    </row>
    <row r="27" customFormat="false" ht="12.75" hidden="false" customHeight="true" outlineLevel="0" collapsed="false">
      <c r="A27" s="5"/>
      <c r="B27" s="16" t="s">
        <v>23</v>
      </c>
      <c r="C27" s="15" t="n">
        <f aca="false">SUMIF(Pivot!$A$2:$A$42,'MR-AR'!B27,Pivot!$B$2:$B$42)/118%</f>
        <v>150000</v>
      </c>
      <c r="D27" s="15" t="n">
        <f aca="false">SUMIF(Pivot!$A$2:$A$42,'MR-AR'!B27,Pivot!$C$2:$C$42)/118%</f>
        <v>150000</v>
      </c>
      <c r="E27" s="15" t="n">
        <f aca="false">SUMIF(Pivot!$A$2:$A$42,'MR-AR'!B27,Pivot!$D$2:$D$42)/118%</f>
        <v>150000</v>
      </c>
      <c r="F27" s="15" t="n">
        <f aca="false">SUMIF(Pivot!$A$2:$A$42,'MR-AR'!B27,Pivot!$E$2:$E$42)/118%</f>
        <v>0</v>
      </c>
      <c r="G27" s="15" t="n">
        <f aca="false">SUMIF(Pivot!$A$2:$A$42,'MR-AR'!B27,Pivot!$F$2:$F$42)/118%</f>
        <v>0</v>
      </c>
      <c r="H27" s="15" t="n">
        <f aca="false">SUMIF(Pivot!$A$2:$A$42,'MR-AR'!B27,Pivot!$G$2:$G$42)/118%</f>
        <v>0</v>
      </c>
      <c r="I27" s="15" t="n">
        <f aca="false">SUMIF(Pivot!$A$2:$A$42,'MR-AR'!B27,Pivot!$H$2:$H$42)/118%</f>
        <v>0</v>
      </c>
    </row>
    <row r="28" customFormat="false" ht="12.75" hidden="false" customHeight="true" outlineLevel="0" collapsed="false">
      <c r="A28" s="5"/>
      <c r="B28" s="16" t="s">
        <v>24</v>
      </c>
      <c r="C28" s="15" t="n">
        <f aca="false">SUMIF(Pivot!$A$2:$A$42,'MR-AR'!B28,Pivot!$B$2:$B$42)/118%</f>
        <v>175445.480225989</v>
      </c>
      <c r="D28" s="15" t="n">
        <f aca="false">SUMIF(Pivot!$A$2:$A$42,'MR-AR'!B28,Pivot!$C$2:$C$42)/118%</f>
        <v>137522.598870057</v>
      </c>
      <c r="E28" s="15" t="n">
        <f aca="false">SUMIF(Pivot!$A$2:$A$42,'MR-AR'!B28,Pivot!$D$2:$D$42)/118%</f>
        <v>118022.598870057</v>
      </c>
      <c r="F28" s="15" t="n">
        <f aca="false">SUMIF(Pivot!$A$2:$A$42,'MR-AR'!B28,Pivot!$E$2:$E$42)/118%</f>
        <v>40022.5988700565</v>
      </c>
      <c r="G28" s="15" t="n">
        <f aca="false">SUMIF(Pivot!$A$2:$A$42,'MR-AR'!B28,Pivot!$F$2:$F$42)/118%</f>
        <v>38666.6666666667</v>
      </c>
      <c r="H28" s="15" t="n">
        <f aca="false">SUMIF(Pivot!$A$2:$A$42,'MR-AR'!B28,Pivot!$G$2:$G$42)/118%</f>
        <v>20666.6666666667</v>
      </c>
      <c r="I28" s="15" t="n">
        <f aca="false">SUMIF(Pivot!$A$2:$A$42,'MR-AR'!B28,Pivot!$H$2:$H$42)/118%</f>
        <v>20666.6666666667</v>
      </c>
    </row>
    <row r="29" customFormat="false" ht="12.75" hidden="false" customHeight="true" outlineLevel="0" collapsed="false">
      <c r="A29" s="5"/>
      <c r="B29" s="16" t="s">
        <v>25</v>
      </c>
      <c r="C29" s="15" t="n">
        <f aca="false">SUMIF(Pivot!$A$2:$A$42,'MR-AR'!B29,Pivot!$B$2:$B$42)/118%</f>
        <v>10000</v>
      </c>
      <c r="D29" s="15" t="n">
        <f aca="false">SUMIF(Pivot!$A$2:$A$42,'MR-AR'!B29,Pivot!$C$2:$C$42)/118%</f>
        <v>10000</v>
      </c>
      <c r="E29" s="15" t="n">
        <f aca="false">SUMIF(Pivot!$A$2:$A$42,'MR-AR'!B29,Pivot!$D$2:$D$42)/118%</f>
        <v>10000</v>
      </c>
      <c r="F29" s="15" t="n">
        <f aca="false">SUMIF(Pivot!$A$2:$A$42,'MR-AR'!B29,Pivot!$E$2:$E$42)/118%</f>
        <v>10000</v>
      </c>
      <c r="G29" s="15" t="n">
        <f aca="false">SUMIF(Pivot!$A$2:$A$42,'MR-AR'!B29,Pivot!$F$2:$F$42)/118%</f>
        <v>0</v>
      </c>
      <c r="H29" s="15" t="n">
        <f aca="false">SUMIF(Pivot!$A$2:$A$42,'MR-AR'!B29,Pivot!$G$2:$G$42)/118%</f>
        <v>0</v>
      </c>
      <c r="I29" s="15" t="n">
        <f aca="false">SUMIF(Pivot!$A$2:$A$42,'MR-AR'!B29,Pivot!$H$2:$H$42)/118%</f>
        <v>0</v>
      </c>
    </row>
    <row r="30" customFormat="false" ht="12.75" hidden="false" customHeight="true" outlineLevel="0" collapsed="false">
      <c r="A30" s="5"/>
      <c r="B30" s="16" t="s">
        <v>26</v>
      </c>
      <c r="C30" s="15" t="n">
        <f aca="false">SUMIF(Pivot!$A$2:$A$42,'MR-AR'!B30,Pivot!$B$2:$B$42)/118%</f>
        <v>0</v>
      </c>
      <c r="D30" s="15" t="n">
        <f aca="false">SUMIF(Pivot!$A$2:$A$42,'MR-AR'!B30,Pivot!$C$2:$C$42)/118%</f>
        <v>0</v>
      </c>
      <c r="E30" s="15" t="n">
        <f aca="false">SUMIF(Pivot!$A$2:$A$42,'MR-AR'!B30,Pivot!$D$2:$D$42)/118%</f>
        <v>0</v>
      </c>
      <c r="F30" s="15" t="n">
        <f aca="false">SUMIF(Pivot!$A$2:$A$42,'MR-AR'!B30,Pivot!$E$2:$E$42)/118%</f>
        <v>0</v>
      </c>
      <c r="G30" s="15" t="n">
        <f aca="false">SUMIF(Pivot!$A$2:$A$42,'MR-AR'!B30,Pivot!$F$2:$F$42)/118%</f>
        <v>0</v>
      </c>
      <c r="H30" s="15" t="n">
        <f aca="false">SUMIF(Pivot!$A$2:$A$42,'MR-AR'!B30,Pivot!$G$2:$G$42)/118%</f>
        <v>0</v>
      </c>
      <c r="I30" s="15" t="n">
        <f aca="false">SUMIF(Pivot!$A$2:$A$42,'MR-AR'!B30,Pivot!$H$2:$H$42)/118%</f>
        <v>0</v>
      </c>
    </row>
    <row r="31" customFormat="false" ht="12.75" hidden="false" customHeight="true" outlineLevel="0" collapsed="false">
      <c r="A31" s="5"/>
      <c r="B31" s="16" t="s">
        <v>27</v>
      </c>
      <c r="C31" s="15" t="n">
        <f aca="false">SUMIF(Pivot!$A$2:$A$42,'MR-AR'!B31,Pivot!$B$2:$B$42)/118%</f>
        <v>0</v>
      </c>
      <c r="D31" s="15" t="n">
        <f aca="false">SUMIF(Pivot!$A$2:$A$42,'MR-AR'!B31,Pivot!$C$2:$C$42)/118%</f>
        <v>0</v>
      </c>
      <c r="E31" s="15" t="n">
        <f aca="false">SUMIF(Pivot!$A$2:$A$42,'MR-AR'!B31,Pivot!$D$2:$D$42)/118%</f>
        <v>0</v>
      </c>
      <c r="F31" s="15" t="n">
        <f aca="false">SUMIF(Pivot!$A$2:$A$42,'MR-AR'!B31,Pivot!$E$2:$E$42)/118%</f>
        <v>0</v>
      </c>
      <c r="G31" s="15" t="n">
        <f aca="false">SUMIF(Pivot!$A$2:$A$42,'MR-AR'!B31,Pivot!$F$2:$F$42)/118%</f>
        <v>0</v>
      </c>
      <c r="H31" s="15" t="n">
        <f aca="false">SUMIF(Pivot!$A$2:$A$42,'MR-AR'!B31,Pivot!$G$2:$G$42)/118%</f>
        <v>3500</v>
      </c>
      <c r="I31" s="15" t="n">
        <f aca="false">SUMIF(Pivot!$A$2:$A$42,'MR-AR'!B31,Pivot!$H$2:$H$42)/118%</f>
        <v>3500</v>
      </c>
    </row>
    <row r="32" customFormat="false" ht="12.75" hidden="false" customHeight="true" outlineLevel="0" collapsed="false">
      <c r="A32" s="5"/>
      <c r="B32" s="16" t="s">
        <v>28</v>
      </c>
      <c r="C32" s="15" t="n">
        <f aca="false">SUMIF(Pivot!$A$2:$A$42,'MR-AR'!B32,Pivot!$B$2:$B$42)/118%</f>
        <v>5000</v>
      </c>
      <c r="D32" s="15" t="n">
        <f aca="false">SUMIF(Pivot!$A$2:$A$42,'MR-AR'!B32,Pivot!$C$2:$C$42)/118%</f>
        <v>5000</v>
      </c>
      <c r="E32" s="15" t="n">
        <f aca="false">SUMIF(Pivot!$A$2:$A$42,'MR-AR'!B32,Pivot!$D$2:$D$42)/118%</f>
        <v>5000</v>
      </c>
      <c r="F32" s="15" t="n">
        <f aca="false">SUMIF(Pivot!$A$2:$A$42,'MR-AR'!B32,Pivot!$E$2:$E$42)/118%</f>
        <v>5000</v>
      </c>
      <c r="G32" s="15" t="n">
        <f aca="false">SUMIF(Pivot!$A$2:$A$42,'MR-AR'!B32,Pivot!$F$2:$F$42)/118%</f>
        <v>5000</v>
      </c>
      <c r="H32" s="15" t="n">
        <f aca="false">SUMIF(Pivot!$A$2:$A$42,'MR-AR'!B32,Pivot!$G$2:$G$42)/118%</f>
        <v>0</v>
      </c>
      <c r="I32" s="15" t="n">
        <f aca="false">SUMIF(Pivot!$A$2:$A$42,'MR-AR'!B32,Pivot!$H$2:$H$42)/118%</f>
        <v>152708</v>
      </c>
    </row>
    <row r="33" customFormat="false" ht="12.75" hidden="false" customHeight="true" outlineLevel="0" collapsed="false">
      <c r="A33" s="5"/>
      <c r="B33" s="16" t="s">
        <v>29</v>
      </c>
      <c r="C33" s="15" t="n">
        <f aca="false">SUMIF(Pivot!$A$2:$A$42,'MR-AR'!B33,Pivot!$B$2:$B$42)/118%</f>
        <v>206087.288135593</v>
      </c>
      <c r="D33" s="15" t="n">
        <f aca="false">SUMIF(Pivot!$A$2:$A$42,'MR-AR'!B33,Pivot!$C$2:$C$42)/118%</f>
        <v>225887.288135593</v>
      </c>
      <c r="E33" s="15" t="n">
        <f aca="false">SUMIF(Pivot!$A$2:$A$42,'MR-AR'!B33,Pivot!$D$2:$D$42)/118%</f>
        <v>337720.621468927</v>
      </c>
      <c r="F33" s="15" t="n">
        <f aca="false">SUMIF(Pivot!$A$2:$A$42,'MR-AR'!B33,Pivot!$E$2:$E$42)/118%</f>
        <v>385905.342667649</v>
      </c>
      <c r="G33" s="15" t="n">
        <f aca="false">SUMIF(Pivot!$A$2:$A$42,'MR-AR'!B33,Pivot!$F$2:$F$42)/118%</f>
        <v>467617.514124294</v>
      </c>
      <c r="H33" s="15" t="n">
        <f aca="false">SUMIF(Pivot!$A$2:$A$42,'MR-AR'!B33,Pivot!$G$2:$G$42)/118%</f>
        <v>492546.892655367</v>
      </c>
      <c r="I33" s="15" t="n">
        <f aca="false">SUMIF(Pivot!$A$2:$A$42,'MR-AR'!B33,Pivot!$H$2:$H$42)/118%</f>
        <v>487609.039548023</v>
      </c>
    </row>
    <row r="34" customFormat="false" ht="12.75" hidden="false" customHeight="true" outlineLevel="0" collapsed="false">
      <c r="A34" s="5"/>
      <c r="B34" s="16" t="s">
        <v>30</v>
      </c>
      <c r="C34" s="15" t="n">
        <f aca="false">SUMIF(Pivot!$A$2:$A$42,'MR-AR'!B34,Pivot!$B$2:$B$42)/118%</f>
        <v>30846.6101694915</v>
      </c>
      <c r="D34" s="15" t="n">
        <f aca="false">SUMIF(Pivot!$A$2:$A$42,'MR-AR'!B34,Pivot!$C$2:$C$42)/118%</f>
        <v>30846.6101694915</v>
      </c>
      <c r="E34" s="15" t="n">
        <f aca="false">SUMIF(Pivot!$A$2:$A$42,'MR-AR'!B34,Pivot!$D$2:$D$42)/118%</f>
        <v>30846.6101694915</v>
      </c>
      <c r="F34" s="15" t="n">
        <f aca="false">SUMIF(Pivot!$A$2:$A$42,'MR-AR'!B34,Pivot!$E$2:$E$42)/118%</f>
        <v>30846.6101694915</v>
      </c>
      <c r="G34" s="15" t="n">
        <f aca="false">SUMIF(Pivot!$A$2:$A$42,'MR-AR'!B34,Pivot!$F$2:$F$42)/118%</f>
        <v>0</v>
      </c>
      <c r="H34" s="15" t="n">
        <f aca="false">SUMIF(Pivot!$A$2:$A$42,'MR-AR'!B34,Pivot!$G$2:$G$42)/118%</f>
        <v>0</v>
      </c>
      <c r="I34" s="15" t="n">
        <f aca="false">SUMIF(Pivot!$A$2:$A$42,'MR-AR'!B34,Pivot!$H$2:$H$42)/118%</f>
        <v>0</v>
      </c>
    </row>
    <row r="35" customFormat="false" ht="12.75" hidden="false" customHeight="true" outlineLevel="0" collapsed="false">
      <c r="A35" s="5"/>
      <c r="B35" s="16" t="s">
        <v>31</v>
      </c>
      <c r="C35" s="15" t="n">
        <f aca="false">SUMIF(Pivot!$A$2:$A$42,'MR-AR'!B35,Pivot!$B$2:$B$42)/118%</f>
        <v>0</v>
      </c>
      <c r="D35" s="15" t="n">
        <f aca="false">SUMIF(Pivot!$A$2:$A$42,'MR-AR'!B35,Pivot!$C$2:$C$42)/118%</f>
        <v>0</v>
      </c>
      <c r="E35" s="15" t="n">
        <f aca="false">SUMIF(Pivot!$A$2:$A$42,'MR-AR'!B35,Pivot!$D$2:$D$42)/118%</f>
        <v>0</v>
      </c>
      <c r="F35" s="15" t="n">
        <f aca="false">SUMIF(Pivot!$A$2:$A$42,'MR-AR'!B35,Pivot!$E$2:$E$42)/118%</f>
        <v>0</v>
      </c>
      <c r="G35" s="15" t="n">
        <f aca="false">SUMIF(Pivot!$A$2:$A$42,'MR-AR'!B35,Pivot!$F$2:$F$42)/118%</f>
        <v>0</v>
      </c>
      <c r="H35" s="15" t="n">
        <f aca="false">SUMIF(Pivot!$A$2:$A$42,'MR-AR'!B35,Pivot!$G$2:$G$42)/118%</f>
        <v>0</v>
      </c>
      <c r="I35" s="15" t="n">
        <f aca="false">SUMIF(Pivot!$A$2:$A$42,'MR-AR'!B35,Pivot!$H$2:$H$42)/118%</f>
        <v>0</v>
      </c>
    </row>
    <row r="36" customFormat="false" ht="12.75" hidden="false" customHeight="true" outlineLevel="0" collapsed="false">
      <c r="A36" s="5"/>
      <c r="B36" s="16" t="s">
        <v>32</v>
      </c>
      <c r="C36" s="15" t="n">
        <f aca="false">SUMIF(Pivot!$A$2:$A$42,'MR-AR'!B36,Pivot!$B$2:$B$42)/118%</f>
        <v>0</v>
      </c>
      <c r="D36" s="15" t="n">
        <f aca="false">SUMIF(Pivot!$A$2:$A$42,'MR-AR'!B36,Pivot!$C$2:$C$42)/118%</f>
        <v>0</v>
      </c>
      <c r="E36" s="15" t="n">
        <f aca="false">SUMIF(Pivot!$A$2:$A$42,'MR-AR'!B36,Pivot!$D$2:$D$42)/118%</f>
        <v>0</v>
      </c>
      <c r="F36" s="15" t="n">
        <f aca="false">SUMIF(Pivot!$A$2:$A$42,'MR-AR'!B36,Pivot!$E$2:$E$42)/118%</f>
        <v>0</v>
      </c>
      <c r="G36" s="15" t="n">
        <f aca="false">SUMIF(Pivot!$A$2:$A$42,'MR-AR'!B36,Pivot!$F$2:$F$42)/118%</f>
        <v>0</v>
      </c>
      <c r="H36" s="15" t="n">
        <f aca="false">SUMIF(Pivot!$A$2:$A$42,'MR-AR'!B36,Pivot!$G$2:$G$42)/118%</f>
        <v>155800.811417509</v>
      </c>
      <c r="I36" s="15" t="n">
        <f aca="false">SUMIF(Pivot!$A$2:$A$42,'MR-AR'!B36,Pivot!$H$2:$H$42)/118%</f>
        <v>155800.811417509</v>
      </c>
    </row>
    <row r="37" customFormat="false" ht="12.75" hidden="false" customHeight="true" outlineLevel="0" collapsed="false">
      <c r="A37" s="5"/>
      <c r="B37" s="16" t="s">
        <v>33</v>
      </c>
      <c r="C37" s="15" t="n">
        <f aca="false">SUMIF(Pivot!$A$2:$A$42,'MR-AR'!B37,Pivot!$B$2:$B$42)/118%</f>
        <v>0</v>
      </c>
      <c r="D37" s="15" t="n">
        <f aca="false">SUMIF(Pivot!$A$2:$A$42,'MR-AR'!B37,Pivot!$C$2:$C$42)/118%</f>
        <v>0</v>
      </c>
      <c r="E37" s="15" t="n">
        <f aca="false">SUMIF(Pivot!$A$2:$A$42,'MR-AR'!B37,Pivot!$D$2:$D$42)/118%</f>
        <v>0</v>
      </c>
      <c r="F37" s="15" t="n">
        <f aca="false">SUMIF(Pivot!$A$2:$A$42,'MR-AR'!B37,Pivot!$E$2:$E$42)/118%</f>
        <v>16875</v>
      </c>
      <c r="G37" s="15" t="n">
        <f aca="false">SUMIF(Pivot!$A$2:$A$42,'MR-AR'!B37,Pivot!$F$2:$F$42)/118%</f>
        <v>16875</v>
      </c>
      <c r="H37" s="15" t="n">
        <f aca="false">SUMIF(Pivot!$A$2:$A$42,'MR-AR'!B37,Pivot!$G$2:$G$42)/118%</f>
        <v>15000</v>
      </c>
      <c r="I37" s="15" t="n">
        <f aca="false">SUMIF(Pivot!$A$2:$A$42,'MR-AR'!B37,Pivot!$H$2:$H$42)/118%</f>
        <v>15000</v>
      </c>
    </row>
    <row r="38" customFormat="false" ht="12.75" hidden="false" customHeight="true" outlineLevel="0" collapsed="false">
      <c r="A38" s="5"/>
      <c r="B38" s="16" t="s">
        <v>34</v>
      </c>
      <c r="C38" s="15" t="n">
        <f aca="false">SUMIF(Pivot!$A$2:$A$42,'MR-AR'!B38,Pivot!$B$2:$B$42)/118%</f>
        <v>0</v>
      </c>
      <c r="D38" s="15" t="n">
        <f aca="false">SUMIF(Pivot!$A$2:$A$42,'MR-AR'!B38,Pivot!$C$2:$C$42)/118%</f>
        <v>0</v>
      </c>
      <c r="E38" s="15" t="n">
        <f aca="false">SUMIF(Pivot!$A$2:$A$42,'MR-AR'!B38,Pivot!$D$2:$D$42)/118%</f>
        <v>0</v>
      </c>
      <c r="F38" s="15" t="n">
        <f aca="false">SUMIF(Pivot!$A$2:$A$42,'MR-AR'!B38,Pivot!$E$2:$E$42)/118%</f>
        <v>0</v>
      </c>
      <c r="G38" s="15" t="n">
        <f aca="false">SUMIF(Pivot!$A$2:$A$42,'MR-AR'!B38,Pivot!$F$2:$F$42)/118%</f>
        <v>0</v>
      </c>
      <c r="H38" s="15" t="n">
        <f aca="false">SUMIF(Pivot!$A$2:$A$42,'MR-AR'!B38,Pivot!$G$2:$G$42)/118%</f>
        <v>0</v>
      </c>
      <c r="I38" s="15" t="n">
        <f aca="false">SUMIF(Pivot!$A$2:$A$42,'MR-AR'!B38,Pivot!$H$2:$H$42)/118%</f>
        <v>17012.9030131827</v>
      </c>
    </row>
    <row r="39" customFormat="false" ht="12.75" hidden="false" customHeight="true" outlineLevel="0" collapsed="false">
      <c r="A39" s="5"/>
      <c r="B39" s="16" t="s">
        <v>35</v>
      </c>
      <c r="C39" s="15" t="n">
        <f aca="false">SUMIF(Pivot!$A$2:$A$42,'MR-AR'!B39,Pivot!$B$2:$B$42)/118%</f>
        <v>0</v>
      </c>
      <c r="D39" s="15" t="n">
        <f aca="false">SUMIF(Pivot!$A$2:$A$42,'MR-AR'!B39,Pivot!$C$2:$C$42)/118%</f>
        <v>0</v>
      </c>
      <c r="E39" s="15" t="n">
        <f aca="false">SUMIF(Pivot!$A$2:$A$42,'MR-AR'!B39,Pivot!$D$2:$D$42)/118%</f>
        <v>0</v>
      </c>
      <c r="F39" s="15" t="n">
        <f aca="false">SUMIF(Pivot!$A$2:$A$42,'MR-AR'!B39,Pivot!$E$2:$E$42)/118%</f>
        <v>0</v>
      </c>
      <c r="G39" s="15" t="n">
        <f aca="false">SUMIF(Pivot!$A$2:$A$42,'MR-AR'!B39,Pivot!$F$2:$F$42)/118%</f>
        <v>0</v>
      </c>
      <c r="H39" s="15" t="n">
        <f aca="false">SUMIF(Pivot!$A$2:$A$42,'MR-AR'!B39,Pivot!$G$2:$G$42)/118%</f>
        <v>0</v>
      </c>
      <c r="I39" s="15" t="n">
        <f aca="false">SUMIF(Pivot!$A$2:$A$42,'MR-AR'!B39,Pivot!$H$2:$H$42)/118%</f>
        <v>4365.5918079096</v>
      </c>
    </row>
    <row r="40" customFormat="false" ht="12.75" hidden="false" customHeight="true" outlineLevel="0" collapsed="false">
      <c r="A40" s="5"/>
      <c r="B40" s="16" t="s">
        <v>36</v>
      </c>
      <c r="C40" s="15" t="n">
        <f aca="false">SUMIF(Pivot!$A$2:$A$42,'MR-AR'!B40,Pivot!$B$2:$B$42)/118%</f>
        <v>0</v>
      </c>
      <c r="D40" s="15" t="n">
        <f aca="false">SUMIF(Pivot!$A$2:$A$42,'MR-AR'!B40,Pivot!$C$2:$C$42)/118%</f>
        <v>0</v>
      </c>
      <c r="E40" s="15" t="n">
        <f aca="false">SUMIF(Pivot!$A$2:$A$42,'MR-AR'!B40,Pivot!$D$2:$D$42)/118%</f>
        <v>0</v>
      </c>
      <c r="F40" s="15" t="n">
        <f aca="false">SUMIF(Pivot!$A$2:$A$42,'MR-AR'!B40,Pivot!$E$2:$E$42)/118%</f>
        <v>0</v>
      </c>
      <c r="G40" s="15" t="n">
        <f aca="false">SUMIF(Pivot!$A$2:$A$42,'MR-AR'!B40,Pivot!$F$2:$F$42)/118%</f>
        <v>0</v>
      </c>
      <c r="H40" s="15" t="n">
        <f aca="false">SUMIF(Pivot!$A$2:$A$42,'MR-AR'!B40,Pivot!$G$2:$G$42)/118%</f>
        <v>0</v>
      </c>
      <c r="I40" s="15" t="n">
        <f aca="false">SUMIF(Pivot!$A$2:$A$42,'MR-AR'!B40,Pivot!$H$2:$H$42)/118%</f>
        <v>3300</v>
      </c>
    </row>
    <row r="41" customFormat="false" ht="12.75" hidden="false" customHeight="true" outlineLevel="0" collapsed="false">
      <c r="A41" s="5"/>
      <c r="B41" s="16" t="s">
        <v>37</v>
      </c>
      <c r="C41" s="15" t="n">
        <f aca="false">SUMIF(Pivot!$A$2:$A$42,'MR-AR'!B41,Pivot!$B$2:$B$42)/118%</f>
        <v>0</v>
      </c>
      <c r="D41" s="15" t="n">
        <f aca="false">SUMIF(Pivot!$A$2:$A$42,'MR-AR'!B41,Pivot!$C$2:$C$42)/118%</f>
        <v>0</v>
      </c>
      <c r="E41" s="15" t="n">
        <f aca="false">SUMIF(Pivot!$A$2:$A$42,'MR-AR'!B41,Pivot!$D$2:$D$42)/118%</f>
        <v>0</v>
      </c>
      <c r="F41" s="15" t="n">
        <f aca="false">SUMIF(Pivot!$A$2:$A$42,'MR-AR'!B41,Pivot!$E$2:$E$42)/118%</f>
        <v>0</v>
      </c>
      <c r="G41" s="15" t="n">
        <f aca="false">SUMIF(Pivot!$A$2:$A$42,'MR-AR'!B41,Pivot!$F$2:$F$42)/118%</f>
        <v>0</v>
      </c>
      <c r="H41" s="15" t="n">
        <f aca="false">SUMIF(Pivot!$A$2:$A$42,'MR-AR'!B41,Pivot!$G$2:$G$42)/118%</f>
        <v>0</v>
      </c>
      <c r="I41" s="15" t="n">
        <f aca="false">SUMIF(Pivot!$A$2:$A$42,'MR-AR'!B41,Pivot!$H$2:$H$42)/118%</f>
        <v>0</v>
      </c>
    </row>
    <row r="42" customFormat="false" ht="12" hidden="false" customHeight="true" outlineLevel="0" collapsed="false">
      <c r="A42" s="5"/>
      <c r="B42" s="16" t="s">
        <v>38</v>
      </c>
      <c r="C42" s="15" t="n">
        <f aca="false">SUMIF(Pivot!$A$2:$A$42,'MR-AR'!B42,Pivot!$B$2:$B$42)/118%</f>
        <v>0</v>
      </c>
      <c r="D42" s="15" t="n">
        <f aca="false">SUMIF(Pivot!$A$2:$A$42,'MR-AR'!B42,Pivot!$C$2:$C$42)/118%</f>
        <v>0</v>
      </c>
      <c r="E42" s="15" t="n">
        <f aca="false">SUMIF(Pivot!$A$2:$A$42,'MR-AR'!B42,Pivot!$D$2:$D$42)/118%</f>
        <v>0</v>
      </c>
      <c r="F42" s="15" t="n">
        <f aca="false">SUMIF(Pivot!$A$2:$A$42,'MR-AR'!B42,Pivot!$E$2:$E$42)/118%</f>
        <v>6000</v>
      </c>
      <c r="G42" s="15" t="n">
        <f aca="false">SUMIF(Pivot!$A$2:$A$42,'MR-AR'!B42,Pivot!$F$2:$F$42)/118%</f>
        <v>6000</v>
      </c>
      <c r="H42" s="15" t="n">
        <f aca="false">SUMIF(Pivot!$A$2:$A$42,'MR-AR'!B42,Pivot!$G$2:$G$42)/118%</f>
        <v>6000</v>
      </c>
      <c r="I42" s="15" t="n">
        <f aca="false">SUMIF(Pivot!$A$2:$A$42,'MR-AR'!B42,Pivot!$H$2:$H$42)/118%</f>
        <v>6000</v>
      </c>
    </row>
    <row r="43" customFormat="false" ht="12.75" hidden="false" customHeight="true" outlineLevel="0" collapsed="false">
      <c r="A43" s="5"/>
      <c r="B43" s="16" t="s">
        <v>39</v>
      </c>
      <c r="C43" s="15" t="n">
        <f aca="false">SUMIF(Pivot!$A$2:$A$42,'MR-AR'!B43,Pivot!$B$2:$B$42)/118%</f>
        <v>5833.33333333333</v>
      </c>
      <c r="D43" s="15" t="n">
        <f aca="false">SUMIF(Pivot!$A$2:$A$42,'MR-AR'!B43,Pivot!$C$2:$C$42)/118%</f>
        <v>5833.33333333333</v>
      </c>
      <c r="E43" s="15" t="n">
        <f aca="false">SUMIF(Pivot!$A$2:$A$42,'MR-AR'!B43,Pivot!$D$2:$D$42)/118%</f>
        <v>5833.33333333333</v>
      </c>
      <c r="F43" s="15" t="n">
        <f aca="false">SUMIF(Pivot!$A$2:$A$42,'MR-AR'!B43,Pivot!$E$2:$E$42)/118%</f>
        <v>5833.33333333333</v>
      </c>
      <c r="G43" s="15" t="n">
        <f aca="false">SUMIF(Pivot!$A$2:$A$42,'MR-AR'!B43,Pivot!$F$2:$F$42)/118%</f>
        <v>5833.33333333333</v>
      </c>
      <c r="H43" s="15" t="n">
        <f aca="false">SUMIF(Pivot!$A$2:$A$42,'MR-AR'!B43,Pivot!$G$2:$G$42)/118%</f>
        <v>5833.33333333333</v>
      </c>
      <c r="I43" s="15" t="n">
        <f aca="false">SUMIF(Pivot!$A$2:$A$42,'MR-AR'!B43,Pivot!$H$2:$H$42)/118%</f>
        <v>5833.33333333333</v>
      </c>
    </row>
    <row r="44" customFormat="false" ht="12.75" hidden="false" customHeight="true" outlineLevel="0" collapsed="false">
      <c r="A44" s="5"/>
      <c r="B44" s="16" t="s">
        <v>40</v>
      </c>
      <c r="C44" s="15" t="n">
        <f aca="false">SUMIF(Pivot!$A$2:$A$42,'MR-AR'!B44,Pivot!$B$2:$B$42)/118%</f>
        <v>11228.813559322</v>
      </c>
      <c r="D44" s="15" t="n">
        <f aca="false">SUMIF(Pivot!$A$2:$A$42,'MR-AR'!B44,Pivot!$C$2:$C$42)/118%</f>
        <v>11228.813559322</v>
      </c>
      <c r="E44" s="15" t="n">
        <f aca="false">SUMIF(Pivot!$A$2:$A$42,'MR-AR'!B44,Pivot!$D$2:$D$42)/118%</f>
        <v>11228.813559322</v>
      </c>
      <c r="F44" s="15" t="n">
        <f aca="false">SUMIF(Pivot!$A$2:$A$42,'MR-AR'!B44,Pivot!$E$2:$E$42)/118%</f>
        <v>11228.813559322</v>
      </c>
      <c r="G44" s="15" t="n">
        <f aca="false">SUMIF(Pivot!$A$2:$A$42,'MR-AR'!B44,Pivot!$F$2:$F$42)/118%</f>
        <v>11228.813559322</v>
      </c>
      <c r="H44" s="15" t="n">
        <f aca="false">SUMIF(Pivot!$A$2:$A$42,'MR-AR'!B44,Pivot!$G$2:$G$42)/118%</f>
        <v>11228.813559322</v>
      </c>
      <c r="I44" s="15" t="n">
        <f aca="false">SUMIF(Pivot!$A$2:$A$42,'MR-AR'!B44,Pivot!$H$2:$H$42)/118%</f>
        <v>11228.813559322</v>
      </c>
    </row>
    <row r="45" customFormat="false" ht="12.75" hidden="false" customHeight="true" outlineLevel="0" collapsed="false">
      <c r="A45" s="5"/>
      <c r="B45" s="16" t="s">
        <v>41</v>
      </c>
      <c r="C45" s="15" t="n">
        <f aca="false">SUMIF(Pivot!$A$2:$A$42,'MR-AR'!B45,Pivot!$B$2:$B$42)/118%</f>
        <v>10000</v>
      </c>
      <c r="D45" s="15" t="n">
        <f aca="false">SUMIF(Pivot!$A$2:$A$42,'MR-AR'!B45,Pivot!$C$2:$C$42)/118%</f>
        <v>10000</v>
      </c>
      <c r="E45" s="15" t="n">
        <f aca="false">SUMIF(Pivot!$A$2:$A$42,'MR-AR'!B45,Pivot!$D$2:$D$42)/118%</f>
        <v>10000</v>
      </c>
      <c r="F45" s="15" t="n">
        <f aca="false">SUMIF(Pivot!$A$2:$A$42,'MR-AR'!B45,Pivot!$E$2:$E$42)/118%</f>
        <v>10000</v>
      </c>
      <c r="G45" s="15" t="n">
        <f aca="false">SUMIF(Pivot!$A$2:$A$42,'MR-AR'!B45,Pivot!$F$2:$F$42)/118%</f>
        <v>10000</v>
      </c>
      <c r="H45" s="15" t="n">
        <f aca="false">SUMIF(Pivot!$A$2:$A$42,'MR-AR'!B45,Pivot!$G$2:$G$42)/118%</f>
        <v>10000</v>
      </c>
      <c r="I45" s="15" t="n">
        <f aca="false">SUMIF(Pivot!$A$2:$A$42,'MR-AR'!B45,Pivot!$H$2:$H$42)/118%</f>
        <v>10000</v>
      </c>
    </row>
    <row r="46" customFormat="false" ht="12.75" hidden="false" customHeight="true" outlineLevel="0" collapsed="false">
      <c r="A46" s="5"/>
      <c r="B46" s="16" t="s">
        <v>42</v>
      </c>
      <c r="C46" s="15" t="n">
        <f aca="false">SUMIF(Pivot!$A$2:$A$42,'MR-AR'!B46,Pivot!$B$2:$B$42)/118%</f>
        <v>0</v>
      </c>
      <c r="D46" s="15" t="n">
        <f aca="false">SUMIF(Pivot!$A$2:$A$42,'MR-AR'!B46,Pivot!$C$2:$C$42)/118%</f>
        <v>0</v>
      </c>
      <c r="E46" s="15" t="n">
        <f aca="false">SUMIF(Pivot!$A$2:$A$42,'MR-AR'!B46,Pivot!$D$2:$D$42)/118%</f>
        <v>0</v>
      </c>
      <c r="F46" s="15" t="n">
        <f aca="false">SUMIF(Pivot!$A$2:$A$42,'MR-AR'!B46,Pivot!$E$2:$E$42)/118%</f>
        <v>0</v>
      </c>
      <c r="G46" s="15" t="n">
        <f aca="false">SUMIF(Pivot!$A$2:$A$42,'MR-AR'!B46,Pivot!$F$2:$F$42)/118%</f>
        <v>0</v>
      </c>
      <c r="H46" s="15" t="n">
        <f aca="false">SUMIF(Pivot!$A$2:$A$42,'MR-AR'!B46,Pivot!$G$2:$G$42)/118%</f>
        <v>0</v>
      </c>
      <c r="I46" s="15" t="n">
        <f aca="false">SUMIF(Pivot!$A$2:$A$42,'MR-AR'!B46,Pivot!$H$2:$H$42)/118%</f>
        <v>0</v>
      </c>
    </row>
    <row r="47" customFormat="false" ht="12.75" hidden="false" customHeight="true" outlineLevel="0" collapsed="false">
      <c r="A47" s="5"/>
      <c r="B47" s="13"/>
      <c r="C47" s="15"/>
      <c r="D47" s="15"/>
      <c r="E47" s="15"/>
      <c r="F47" s="15"/>
      <c r="G47" s="15"/>
      <c r="H47" s="15"/>
      <c r="I47" s="15"/>
    </row>
    <row r="48" customFormat="false" ht="12.75" hidden="false" customHeight="true" outlineLevel="0" collapsed="false">
      <c r="A48" s="5"/>
      <c r="B48" s="13" t="s">
        <v>43</v>
      </c>
      <c r="C48" s="14" t="n">
        <f aca="false">Invoices!M13</f>
        <v>42252</v>
      </c>
      <c r="D48" s="14" t="n">
        <f aca="false">Invoices!M14</f>
        <v>24128</v>
      </c>
      <c r="E48" s="14" t="n">
        <f aca="false">Invoices!M15</f>
        <v>24554.28</v>
      </c>
      <c r="F48" s="14" t="n">
        <f aca="false">Invoices!M16</f>
        <v>19474</v>
      </c>
      <c r="G48" s="14" t="n">
        <f aca="false">Invoices!M17</f>
        <v>18627</v>
      </c>
      <c r="H48" s="14" t="n">
        <f aca="false">Invoices!M18</f>
        <v>14394.92</v>
      </c>
      <c r="I48" s="14" t="n">
        <f aca="false">Invoices!M20</f>
        <v>13549.16</v>
      </c>
    </row>
    <row r="49" customFormat="false" ht="12.75" hidden="false" customHeight="true" outlineLevel="0" collapsed="false">
      <c r="A49" s="5"/>
      <c r="B49" s="13"/>
      <c r="C49" s="15"/>
      <c r="D49" s="15"/>
      <c r="E49" s="15"/>
      <c r="F49" s="15"/>
      <c r="G49" s="15"/>
      <c r="H49" s="15"/>
      <c r="I49" s="15"/>
    </row>
    <row r="50" customFormat="false" ht="12.75" hidden="false" customHeight="true" outlineLevel="0" collapsed="false">
      <c r="A50" s="5"/>
      <c r="B50" s="13" t="s">
        <v>44</v>
      </c>
      <c r="C50" s="14" t="n">
        <f aca="false">C7+C48</f>
        <v>1783872.90112994</v>
      </c>
      <c r="D50" s="14" t="n">
        <f aca="false">D7+D48</f>
        <v>2187385.62988701</v>
      </c>
      <c r="E50" s="14" t="n">
        <f aca="false">E7+E48</f>
        <v>2588861.08657151</v>
      </c>
      <c r="F50" s="14" t="n">
        <f aca="false">F7+F48</f>
        <v>3154397.84006878</v>
      </c>
      <c r="G50" s="14" t="n">
        <f aca="false">G7+G48</f>
        <v>3877678.33474576</v>
      </c>
      <c r="H50" s="14" t="n">
        <f aca="false">H7+H48</f>
        <v>4609541.01249095</v>
      </c>
      <c r="I50" s="14" t="n">
        <f aca="false">I7+I48</f>
        <v>5218228.08225674</v>
      </c>
    </row>
    <row r="51" customFormat="false" ht="12.75" hidden="false" customHeight="true" outlineLevel="0" collapsed="false">
      <c r="A51" s="5"/>
      <c r="B51" s="13"/>
      <c r="C51" s="15"/>
      <c r="D51" s="15"/>
      <c r="E51" s="15"/>
      <c r="F51" s="15"/>
      <c r="G51" s="15"/>
      <c r="H51" s="15"/>
      <c r="I51" s="15"/>
    </row>
    <row r="52" customFormat="false" ht="12.75" hidden="false" customHeight="true" outlineLevel="0" collapsed="false">
      <c r="A52" s="5"/>
      <c r="B52" s="13" t="s">
        <v>45</v>
      </c>
      <c r="C52" s="14" t="n">
        <f aca="false">C50-C48</f>
        <v>1741620.90112994</v>
      </c>
      <c r="D52" s="14" t="n">
        <f aca="false">D50-D48</f>
        <v>2163257.62988701</v>
      </c>
      <c r="E52" s="14" t="n">
        <f aca="false">E50-E48</f>
        <v>2564306.80657151</v>
      </c>
      <c r="F52" s="14" t="n">
        <f aca="false">F50-F48</f>
        <v>3134923.84006878</v>
      </c>
      <c r="G52" s="14" t="n">
        <f aca="false">G50-G48</f>
        <v>3859051.33474576</v>
      </c>
      <c r="H52" s="14" t="n">
        <f aca="false">H50-H48</f>
        <v>4595146.09249095</v>
      </c>
      <c r="I52" s="14" t="n">
        <f aca="false">I50-I48</f>
        <v>5204678.92225674</v>
      </c>
    </row>
    <row r="53" customFormat="false" ht="12.75" hidden="false" customHeight="true" outlineLevel="0" collapsed="false">
      <c r="A53" s="5"/>
      <c r="B53" s="13"/>
      <c r="C53" s="14"/>
      <c r="D53" s="14"/>
      <c r="E53" s="14"/>
      <c r="F53" s="14"/>
      <c r="G53" s="14"/>
      <c r="H53" s="14"/>
      <c r="I53" s="14"/>
    </row>
    <row r="54" customFormat="false" ht="12.75" hidden="false" customHeight="true" outlineLevel="0" collapsed="false">
      <c r="A54" s="5"/>
      <c r="B54" s="13" t="s">
        <v>46</v>
      </c>
      <c r="C54" s="14" t="n">
        <f aca="false">'Customer churnout'!G6</f>
        <v>117</v>
      </c>
      <c r="D54" s="14" t="n">
        <f aca="false">'Customer churnout'!G9</f>
        <v>143</v>
      </c>
      <c r="E54" s="14" t="n">
        <f aca="false">'Customer churnout'!H9</f>
        <v>158</v>
      </c>
      <c r="F54" s="14" t="n">
        <f aca="false">'Customer churnout'!I9</f>
        <v>195</v>
      </c>
      <c r="G54" s="14" t="n">
        <f aca="false">'Customer churnout'!J9</f>
        <v>219</v>
      </c>
      <c r="H54" s="14" t="n">
        <f aca="false">'Customer churnout'!K9</f>
        <v>245</v>
      </c>
      <c r="I54" s="14" t="n">
        <f aca="false">'Customer churnout'!L9</f>
        <v>288</v>
      </c>
    </row>
    <row r="55" customFormat="false" ht="12.75" hidden="false" customHeight="true" outlineLevel="0" collapsed="false">
      <c r="A55" s="5"/>
      <c r="B55" s="13"/>
      <c r="C55" s="14"/>
      <c r="D55" s="14"/>
      <c r="E55" s="14"/>
      <c r="F55" s="14"/>
      <c r="G55" s="14"/>
      <c r="H55" s="14"/>
      <c r="I55" s="14"/>
    </row>
    <row r="56" customFormat="false" ht="12.75" hidden="false" customHeight="true" outlineLevel="0" collapsed="false">
      <c r="A56" s="5"/>
      <c r="B56" s="13" t="s">
        <v>47</v>
      </c>
      <c r="C56" s="14" t="n">
        <f aca="false">C52/C54</f>
        <v>14885.6487276064</v>
      </c>
      <c r="D56" s="14" t="n">
        <f aca="false">D52/D54</f>
        <v>15127.6757334756</v>
      </c>
      <c r="E56" s="14" t="n">
        <f aca="false">E52/E54</f>
        <v>16229.7899150096</v>
      </c>
      <c r="F56" s="14" t="n">
        <f aca="false">F52/F54</f>
        <v>16076.5325131732</v>
      </c>
      <c r="G56" s="14" t="n">
        <f aca="false">G52/G54</f>
        <v>17621.2389714418</v>
      </c>
      <c r="H56" s="14" t="n">
        <f aca="false">H52/H54</f>
        <v>18755.6983366978</v>
      </c>
      <c r="I56" s="14" t="n">
        <f aca="false">I52/I54</f>
        <v>18071.8018133915</v>
      </c>
    </row>
    <row r="57" customFormat="false" ht="12.75" hidden="false" customHeight="true" outlineLevel="0" collapsed="false">
      <c r="A57" s="5"/>
      <c r="B57" s="13"/>
      <c r="C57" s="14"/>
      <c r="D57" s="14"/>
      <c r="E57" s="14"/>
      <c r="F57" s="14"/>
      <c r="G57" s="14"/>
      <c r="H57" s="14"/>
      <c r="I57" s="14"/>
    </row>
    <row r="58" customFormat="false" ht="12.75" hidden="false" customHeight="true" outlineLevel="0" collapsed="false">
      <c r="A58" s="5"/>
      <c r="B58" s="13" t="s">
        <v>48</v>
      </c>
      <c r="C58" s="17" t="n">
        <f aca="false">C52*12</f>
        <v>20899450.8135593</v>
      </c>
      <c r="D58" s="17" t="n">
        <f aca="false">D52*12</f>
        <v>25959091.5586441</v>
      </c>
      <c r="E58" s="17" t="n">
        <f aca="false">E52*12</f>
        <v>30771681.6788582</v>
      </c>
      <c r="F58" s="17" t="n">
        <f aca="false">F52*12</f>
        <v>37619086.0808253</v>
      </c>
      <c r="G58" s="17" t="n">
        <f aca="false">G52*12</f>
        <v>46308616.0169491</v>
      </c>
      <c r="H58" s="17" t="n">
        <f aca="false">H52*12</f>
        <v>55141753.1098915</v>
      </c>
      <c r="I58" s="17" t="n">
        <f aca="false">I52*12</f>
        <v>62456147.0670809</v>
      </c>
    </row>
    <row r="59" customFormat="false" ht="12.75" hidden="false" customHeight="true" outlineLevel="0" collapsed="false">
      <c r="A59" s="5"/>
      <c r="B59" s="18"/>
      <c r="C59" s="19"/>
      <c r="D59" s="20"/>
      <c r="E59" s="20"/>
      <c r="F59" s="20"/>
      <c r="G59" s="20"/>
      <c r="H59" s="20"/>
      <c r="I59" s="20"/>
    </row>
    <row r="60" customFormat="false" ht="14.25" hidden="false" customHeight="true" outlineLevel="0" collapsed="false">
      <c r="A60" s="5"/>
      <c r="B60" s="5"/>
      <c r="C60" s="6"/>
      <c r="D60" s="6"/>
    </row>
    <row r="61" customFormat="false" ht="14.25" hidden="false" customHeight="true" outlineLevel="0" collapsed="false">
      <c r="A61" s="5"/>
      <c r="B61" s="5"/>
      <c r="C61" s="6"/>
      <c r="D61" s="6"/>
    </row>
    <row r="62" customFormat="false" ht="14.25" hidden="false" customHeight="true" outlineLevel="0" collapsed="false">
      <c r="A62" s="5"/>
      <c r="B62" s="21"/>
      <c r="C62" s="22"/>
      <c r="D62" s="22"/>
    </row>
    <row r="63" customFormat="false" ht="12.75" hidden="false" customHeight="true" outlineLevel="0" collapsed="false">
      <c r="A63" s="5"/>
      <c r="B63" s="5"/>
      <c r="C63" s="6"/>
      <c r="D63" s="6"/>
    </row>
    <row r="64" customFormat="false" ht="12.75" hidden="false" customHeight="true" outlineLevel="0" collapsed="false">
      <c r="A64" s="5"/>
      <c r="B64" s="5"/>
      <c r="C64" s="6"/>
      <c r="D64" s="6"/>
    </row>
    <row r="65" customFormat="false" ht="12.75" hidden="false" customHeight="true" outlineLevel="0" collapsed="false">
      <c r="A65" s="5"/>
      <c r="B65" s="5"/>
      <c r="C65" s="6"/>
      <c r="D65" s="6"/>
    </row>
    <row r="66" customFormat="false" ht="12.75" hidden="false" customHeight="true" outlineLevel="0" collapsed="false">
      <c r="A66" s="5"/>
      <c r="B66" s="5"/>
      <c r="C66" s="6"/>
      <c r="D66" s="6"/>
    </row>
    <row r="67" customFormat="false" ht="12.75" hidden="false" customHeight="true" outlineLevel="0" collapsed="false">
      <c r="A67" s="5"/>
      <c r="B67" s="5"/>
      <c r="C67" s="6"/>
      <c r="D67" s="6"/>
    </row>
    <row r="68" customFormat="false" ht="12.75" hidden="false" customHeight="true" outlineLevel="0" collapsed="false">
      <c r="A68" s="5"/>
      <c r="B68" s="5"/>
      <c r="C68" s="6"/>
      <c r="D68" s="6"/>
    </row>
    <row r="69" customFormat="false" ht="12.75" hidden="false" customHeight="true" outlineLevel="0" collapsed="false">
      <c r="A69" s="5"/>
      <c r="B69" s="5"/>
      <c r="C69" s="6"/>
      <c r="D69" s="6"/>
    </row>
    <row r="70" customFormat="false" ht="12.75" hidden="false" customHeight="true" outlineLevel="0" collapsed="false">
      <c r="A70" s="5"/>
      <c r="B70" s="5"/>
      <c r="C70" s="6"/>
      <c r="D70" s="6"/>
    </row>
    <row r="71" customFormat="false" ht="12.75" hidden="false" customHeight="true" outlineLevel="0" collapsed="false">
      <c r="A71" s="5"/>
      <c r="B71" s="5"/>
      <c r="C71" s="6"/>
      <c r="D71" s="6"/>
    </row>
    <row r="72" customFormat="false" ht="12.75" hidden="false" customHeight="true" outlineLevel="0" collapsed="false">
      <c r="A72" s="5"/>
      <c r="B72" s="5"/>
      <c r="C72" s="6"/>
      <c r="D72" s="6"/>
    </row>
    <row r="73" customFormat="false" ht="12.75" hidden="false" customHeight="true" outlineLevel="0" collapsed="false">
      <c r="A73" s="5"/>
      <c r="B73" s="5"/>
      <c r="C73" s="6"/>
      <c r="D73" s="6"/>
    </row>
    <row r="74" customFormat="false" ht="12.75" hidden="false" customHeight="true" outlineLevel="0" collapsed="false">
      <c r="A74" s="5"/>
      <c r="B74" s="5"/>
      <c r="C74" s="6"/>
      <c r="D74" s="6"/>
    </row>
    <row r="75" customFormat="false" ht="12.75" hidden="false" customHeight="true" outlineLevel="0" collapsed="false">
      <c r="A75" s="5"/>
      <c r="B75" s="5"/>
      <c r="C75" s="6"/>
      <c r="D75" s="6"/>
    </row>
    <row r="76" customFormat="false" ht="12.75" hidden="false" customHeight="true" outlineLevel="0" collapsed="false">
      <c r="A76" s="5"/>
      <c r="B76" s="5"/>
      <c r="C76" s="6"/>
      <c r="D76" s="6"/>
    </row>
    <row r="77" customFormat="false" ht="12.75" hidden="false" customHeight="true" outlineLevel="0" collapsed="false">
      <c r="A77" s="5"/>
      <c r="B77" s="5"/>
      <c r="C77" s="6"/>
      <c r="D77" s="6"/>
    </row>
    <row r="78" customFormat="false" ht="12.75" hidden="false" customHeight="true" outlineLevel="0" collapsed="false">
      <c r="A78" s="5"/>
      <c r="B78" s="5"/>
      <c r="C78" s="6"/>
      <c r="D78" s="6"/>
    </row>
    <row r="79" customFormat="false" ht="12.75" hidden="false" customHeight="true" outlineLevel="0" collapsed="false">
      <c r="A79" s="5"/>
      <c r="B79" s="5"/>
      <c r="C79" s="6"/>
      <c r="D79" s="6"/>
    </row>
    <row r="80" customFormat="false" ht="12.75" hidden="false" customHeight="true" outlineLevel="0" collapsed="false">
      <c r="A80" s="5"/>
      <c r="B80" s="5"/>
      <c r="C80" s="6"/>
      <c r="D80" s="6"/>
    </row>
    <row r="81" customFormat="false" ht="12.75" hidden="false" customHeight="true" outlineLevel="0" collapsed="false">
      <c r="A81" s="5"/>
      <c r="B81" s="5"/>
      <c r="C81" s="6"/>
      <c r="D81" s="6"/>
    </row>
    <row r="82" customFormat="false" ht="12.75" hidden="false" customHeight="true" outlineLevel="0" collapsed="false">
      <c r="A82" s="5"/>
      <c r="B82" s="5"/>
      <c r="C82" s="6"/>
      <c r="D82" s="6"/>
    </row>
    <row r="83" customFormat="false" ht="12.75" hidden="false" customHeight="true" outlineLevel="0" collapsed="false">
      <c r="A83" s="5"/>
      <c r="B83" s="5"/>
      <c r="C83" s="6"/>
      <c r="D83" s="6"/>
    </row>
    <row r="84" customFormat="false" ht="12.75" hidden="false" customHeight="true" outlineLevel="0" collapsed="false">
      <c r="A84" s="5"/>
      <c r="B84" s="5"/>
      <c r="C84" s="6"/>
      <c r="D84" s="6"/>
    </row>
    <row r="85" customFormat="false" ht="12.75" hidden="false" customHeight="true" outlineLevel="0" collapsed="false">
      <c r="A85" s="5"/>
      <c r="B85" s="5"/>
      <c r="C85" s="6"/>
      <c r="D85" s="6"/>
    </row>
    <row r="86" customFormat="false" ht="12.75" hidden="false" customHeight="true" outlineLevel="0" collapsed="false">
      <c r="A86" s="5"/>
      <c r="B86" s="5"/>
      <c r="C86" s="6"/>
      <c r="D86" s="6"/>
    </row>
    <row r="87" customFormat="false" ht="12.75" hidden="false" customHeight="true" outlineLevel="0" collapsed="false">
      <c r="A87" s="5"/>
      <c r="B87" s="5"/>
      <c r="C87" s="6"/>
      <c r="D87" s="6"/>
    </row>
    <row r="88" customFormat="false" ht="12.75" hidden="false" customHeight="true" outlineLevel="0" collapsed="false">
      <c r="A88" s="5"/>
      <c r="B88" s="5"/>
      <c r="C88" s="6"/>
      <c r="D88" s="6"/>
    </row>
    <row r="89" customFormat="false" ht="12.75" hidden="false" customHeight="true" outlineLevel="0" collapsed="false">
      <c r="A89" s="5"/>
      <c r="B89" s="5"/>
      <c r="C89" s="6"/>
      <c r="D89" s="6"/>
    </row>
    <row r="90" customFormat="false" ht="12.75" hidden="false" customHeight="true" outlineLevel="0" collapsed="false">
      <c r="A90" s="5"/>
      <c r="B90" s="5"/>
      <c r="C90" s="6"/>
      <c r="D90" s="6"/>
    </row>
    <row r="91" customFormat="false" ht="12.75" hidden="false" customHeight="true" outlineLevel="0" collapsed="false">
      <c r="A91" s="5"/>
      <c r="B91" s="5"/>
      <c r="C91" s="6"/>
      <c r="D91" s="6"/>
    </row>
    <row r="92" customFormat="false" ht="12.75" hidden="false" customHeight="true" outlineLevel="0" collapsed="false">
      <c r="A92" s="5"/>
      <c r="B92" s="5"/>
      <c r="C92" s="6"/>
      <c r="D92" s="6"/>
    </row>
    <row r="93" customFormat="false" ht="12.75" hidden="false" customHeight="true" outlineLevel="0" collapsed="false">
      <c r="A93" s="5"/>
      <c r="B93" s="5"/>
      <c r="C93" s="6"/>
      <c r="D93" s="6"/>
    </row>
    <row r="94" customFormat="false" ht="12.75" hidden="false" customHeight="true" outlineLevel="0" collapsed="false">
      <c r="A94" s="5"/>
      <c r="B94" s="5"/>
      <c r="C94" s="6"/>
      <c r="D94" s="6"/>
    </row>
    <row r="95" customFormat="false" ht="12.75" hidden="false" customHeight="true" outlineLevel="0" collapsed="false">
      <c r="A95" s="5"/>
      <c r="B95" s="5"/>
      <c r="C95" s="6"/>
      <c r="D95" s="6"/>
    </row>
    <row r="96" customFormat="false" ht="12.75" hidden="false" customHeight="true" outlineLevel="0" collapsed="false">
      <c r="A96" s="5"/>
      <c r="B96" s="5"/>
      <c r="C96" s="6"/>
      <c r="D96" s="6"/>
    </row>
    <row r="97" customFormat="false" ht="12.75" hidden="false" customHeight="true" outlineLevel="0" collapsed="false">
      <c r="A97" s="5"/>
      <c r="B97" s="5"/>
      <c r="C97" s="6"/>
      <c r="D97" s="6"/>
    </row>
    <row r="98" customFormat="false" ht="12.75" hidden="false" customHeight="true" outlineLevel="0" collapsed="false">
      <c r="A98" s="5"/>
      <c r="B98" s="5"/>
      <c r="C98" s="6"/>
      <c r="D98" s="6"/>
    </row>
    <row r="99" customFormat="false" ht="12.75" hidden="false" customHeight="true" outlineLevel="0" collapsed="false">
      <c r="A99" s="5"/>
      <c r="B99" s="5"/>
      <c r="C99" s="6"/>
      <c r="D99" s="6"/>
    </row>
    <row r="100" customFormat="false" ht="12.75" hidden="false" customHeight="true" outlineLevel="0" collapsed="false">
      <c r="A100" s="5"/>
      <c r="B100" s="5"/>
      <c r="C100" s="6"/>
      <c r="D100" s="6"/>
    </row>
    <row r="101" customFormat="false" ht="12.75" hidden="false" customHeight="true" outlineLevel="0" collapsed="false">
      <c r="A101" s="5"/>
      <c r="B101" s="5"/>
      <c r="C101" s="6"/>
      <c r="D101" s="6"/>
    </row>
    <row r="102" customFormat="false" ht="12.75" hidden="false" customHeight="true" outlineLevel="0" collapsed="false">
      <c r="A102" s="5"/>
      <c r="B102" s="5"/>
      <c r="C102" s="6"/>
      <c r="D102" s="6"/>
    </row>
    <row r="103" customFormat="false" ht="12.75" hidden="false" customHeight="true" outlineLevel="0" collapsed="false">
      <c r="A103" s="5"/>
      <c r="B103" s="5"/>
      <c r="C103" s="6"/>
      <c r="D103" s="6"/>
    </row>
    <row r="104" customFormat="false" ht="12.75" hidden="false" customHeight="true" outlineLevel="0" collapsed="false">
      <c r="A104" s="5"/>
      <c r="B104" s="5"/>
      <c r="C104" s="6"/>
      <c r="D104" s="6"/>
    </row>
    <row r="105" customFormat="false" ht="12.75" hidden="false" customHeight="true" outlineLevel="0" collapsed="false">
      <c r="A105" s="5"/>
      <c r="B105" s="5"/>
      <c r="C105" s="6"/>
      <c r="D105" s="6"/>
    </row>
    <row r="106" customFormat="false" ht="12.75" hidden="false" customHeight="true" outlineLevel="0" collapsed="false">
      <c r="A106" s="5"/>
      <c r="B106" s="5"/>
      <c r="C106" s="6"/>
      <c r="D106" s="6"/>
    </row>
    <row r="107" customFormat="false" ht="12.75" hidden="false" customHeight="true" outlineLevel="0" collapsed="false">
      <c r="A107" s="5"/>
      <c r="B107" s="5"/>
      <c r="C107" s="6"/>
      <c r="D107" s="6"/>
    </row>
    <row r="108" customFormat="false" ht="12.75" hidden="false" customHeight="true" outlineLevel="0" collapsed="false">
      <c r="A108" s="5"/>
      <c r="B108" s="5"/>
      <c r="C108" s="6"/>
      <c r="D108" s="6"/>
    </row>
    <row r="109" customFormat="false" ht="12.75" hidden="false" customHeight="true" outlineLevel="0" collapsed="false">
      <c r="A109" s="5"/>
      <c r="B109" s="5"/>
      <c r="C109" s="6"/>
      <c r="D109" s="6"/>
    </row>
    <row r="110" customFormat="false" ht="12.75" hidden="false" customHeight="true" outlineLevel="0" collapsed="false">
      <c r="A110" s="5"/>
      <c r="B110" s="5"/>
      <c r="C110" s="6"/>
      <c r="D110" s="6"/>
    </row>
    <row r="111" customFormat="false" ht="12.75" hidden="false" customHeight="true" outlineLevel="0" collapsed="false">
      <c r="A111" s="5"/>
      <c r="B111" s="5"/>
      <c r="C111" s="6"/>
      <c r="D111" s="6"/>
    </row>
    <row r="112" customFormat="false" ht="12.75" hidden="false" customHeight="true" outlineLevel="0" collapsed="false">
      <c r="A112" s="5"/>
      <c r="B112" s="5"/>
      <c r="C112" s="6"/>
      <c r="D112" s="6"/>
    </row>
    <row r="113" customFormat="false" ht="12.75" hidden="false" customHeight="true" outlineLevel="0" collapsed="false">
      <c r="A113" s="5"/>
      <c r="B113" s="5"/>
      <c r="C113" s="6"/>
      <c r="D113" s="6"/>
    </row>
    <row r="114" customFormat="false" ht="12.75" hidden="false" customHeight="true" outlineLevel="0" collapsed="false">
      <c r="A114" s="5"/>
      <c r="B114" s="5"/>
      <c r="C114" s="6"/>
      <c r="D114" s="6"/>
    </row>
    <row r="115" customFormat="false" ht="12.75" hidden="false" customHeight="true" outlineLevel="0" collapsed="false">
      <c r="A115" s="5"/>
      <c r="B115" s="5"/>
      <c r="C115" s="6"/>
      <c r="D115" s="6"/>
    </row>
    <row r="116" customFormat="false" ht="12.75" hidden="false" customHeight="true" outlineLevel="0" collapsed="false">
      <c r="A116" s="5"/>
      <c r="B116" s="5"/>
      <c r="C116" s="6"/>
      <c r="D116" s="6"/>
    </row>
    <row r="117" customFormat="false" ht="12.75" hidden="false" customHeight="true" outlineLevel="0" collapsed="false">
      <c r="A117" s="5"/>
      <c r="B117" s="5"/>
      <c r="C117" s="6"/>
      <c r="D117" s="6"/>
    </row>
    <row r="118" customFormat="false" ht="12.75" hidden="false" customHeight="true" outlineLevel="0" collapsed="false">
      <c r="A118" s="5"/>
      <c r="B118" s="5"/>
      <c r="C118" s="6"/>
      <c r="D118" s="6"/>
    </row>
    <row r="119" customFormat="false" ht="12.75" hidden="false" customHeight="true" outlineLevel="0" collapsed="false">
      <c r="A119" s="5"/>
      <c r="B119" s="5"/>
      <c r="C119" s="6"/>
      <c r="D119" s="6"/>
    </row>
    <row r="120" customFormat="false" ht="12.75" hidden="false" customHeight="true" outlineLevel="0" collapsed="false">
      <c r="A120" s="5"/>
      <c r="B120" s="5"/>
      <c r="C120" s="6"/>
      <c r="D120" s="6"/>
    </row>
    <row r="121" customFormat="false" ht="12.75" hidden="false" customHeight="true" outlineLevel="0" collapsed="false">
      <c r="A121" s="5"/>
      <c r="B121" s="5"/>
      <c r="C121" s="6"/>
      <c r="D121" s="6"/>
    </row>
    <row r="122" customFormat="false" ht="12.75" hidden="false" customHeight="true" outlineLevel="0" collapsed="false">
      <c r="A122" s="5"/>
      <c r="B122" s="5"/>
      <c r="C122" s="6"/>
      <c r="D122" s="6"/>
    </row>
    <row r="123" customFormat="false" ht="12.75" hidden="false" customHeight="true" outlineLevel="0" collapsed="false">
      <c r="A123" s="5"/>
      <c r="B123" s="5"/>
      <c r="C123" s="6"/>
      <c r="D123" s="6"/>
    </row>
    <row r="124" customFormat="false" ht="12.75" hidden="false" customHeight="true" outlineLevel="0" collapsed="false">
      <c r="A124" s="5"/>
      <c r="B124" s="5"/>
      <c r="C124" s="6"/>
      <c r="D124" s="6"/>
    </row>
    <row r="125" customFormat="false" ht="12.75" hidden="false" customHeight="true" outlineLevel="0" collapsed="false">
      <c r="A125" s="5"/>
      <c r="B125" s="5"/>
      <c r="C125" s="6"/>
      <c r="D125" s="6"/>
    </row>
    <row r="126" customFormat="false" ht="12.75" hidden="false" customHeight="true" outlineLevel="0" collapsed="false">
      <c r="A126" s="5"/>
      <c r="B126" s="5"/>
      <c r="C126" s="6"/>
      <c r="D126" s="6"/>
    </row>
    <row r="127" customFormat="false" ht="12.75" hidden="false" customHeight="true" outlineLevel="0" collapsed="false">
      <c r="A127" s="5"/>
      <c r="B127" s="5"/>
      <c r="C127" s="6"/>
      <c r="D127" s="6"/>
    </row>
    <row r="128" customFormat="false" ht="12.75" hidden="false" customHeight="true" outlineLevel="0" collapsed="false">
      <c r="A128" s="5"/>
      <c r="B128" s="5"/>
      <c r="C128" s="6"/>
      <c r="D128" s="6"/>
    </row>
    <row r="129" customFormat="false" ht="12.75" hidden="false" customHeight="true" outlineLevel="0" collapsed="false">
      <c r="A129" s="5"/>
      <c r="B129" s="5"/>
      <c r="C129" s="6"/>
      <c r="D129" s="6"/>
    </row>
    <row r="130" customFormat="false" ht="12.75" hidden="false" customHeight="true" outlineLevel="0" collapsed="false">
      <c r="A130" s="5"/>
      <c r="B130" s="5"/>
      <c r="C130" s="6"/>
      <c r="D130" s="6"/>
    </row>
    <row r="131" customFormat="false" ht="12.75" hidden="false" customHeight="true" outlineLevel="0" collapsed="false">
      <c r="A131" s="5"/>
      <c r="B131" s="5"/>
      <c r="C131" s="6"/>
      <c r="D131" s="6"/>
    </row>
    <row r="132" customFormat="false" ht="12.75" hidden="false" customHeight="true" outlineLevel="0" collapsed="false">
      <c r="A132" s="5"/>
      <c r="B132" s="5"/>
      <c r="C132" s="6"/>
      <c r="D132" s="6"/>
    </row>
    <row r="133" customFormat="false" ht="12.75" hidden="false" customHeight="true" outlineLevel="0" collapsed="false">
      <c r="A133" s="5"/>
      <c r="B133" s="5"/>
      <c r="C133" s="6"/>
      <c r="D133" s="6"/>
    </row>
    <row r="134" customFormat="false" ht="12.75" hidden="false" customHeight="true" outlineLevel="0" collapsed="false">
      <c r="A134" s="5"/>
      <c r="B134" s="5"/>
      <c r="C134" s="6"/>
      <c r="D134" s="6"/>
    </row>
    <row r="135" customFormat="false" ht="12.75" hidden="false" customHeight="true" outlineLevel="0" collapsed="false">
      <c r="A135" s="5"/>
      <c r="B135" s="5"/>
      <c r="C135" s="6"/>
      <c r="D135" s="6"/>
    </row>
    <row r="136" customFormat="false" ht="12.75" hidden="false" customHeight="true" outlineLevel="0" collapsed="false">
      <c r="A136" s="5"/>
      <c r="B136" s="5"/>
      <c r="C136" s="6"/>
      <c r="D136" s="6"/>
    </row>
    <row r="137" customFormat="false" ht="12.75" hidden="false" customHeight="true" outlineLevel="0" collapsed="false">
      <c r="A137" s="5"/>
      <c r="B137" s="5"/>
      <c r="C137" s="6"/>
      <c r="D137" s="6"/>
    </row>
    <row r="138" customFormat="false" ht="12.75" hidden="false" customHeight="true" outlineLevel="0" collapsed="false">
      <c r="A138" s="5"/>
      <c r="B138" s="5"/>
      <c r="C138" s="6"/>
      <c r="D138" s="6"/>
    </row>
    <row r="139" customFormat="false" ht="12.75" hidden="false" customHeight="true" outlineLevel="0" collapsed="false">
      <c r="A139" s="5"/>
      <c r="B139" s="5"/>
      <c r="C139" s="6"/>
      <c r="D139" s="6"/>
    </row>
    <row r="140" customFormat="false" ht="12.75" hidden="false" customHeight="true" outlineLevel="0" collapsed="false">
      <c r="A140" s="5"/>
      <c r="B140" s="5"/>
      <c r="C140" s="6"/>
      <c r="D140" s="6"/>
    </row>
    <row r="141" customFormat="false" ht="12.75" hidden="false" customHeight="true" outlineLevel="0" collapsed="false">
      <c r="A141" s="5"/>
      <c r="B141" s="5"/>
      <c r="C141" s="6"/>
      <c r="D141" s="6"/>
    </row>
    <row r="142" customFormat="false" ht="12.75" hidden="false" customHeight="true" outlineLevel="0" collapsed="false">
      <c r="A142" s="5"/>
      <c r="B142" s="5"/>
      <c r="C142" s="6"/>
      <c r="D142" s="6"/>
    </row>
    <row r="143" customFormat="false" ht="12.75" hidden="false" customHeight="true" outlineLevel="0" collapsed="false">
      <c r="A143" s="5"/>
      <c r="B143" s="5"/>
      <c r="C143" s="6"/>
      <c r="D143" s="6"/>
    </row>
    <row r="144" customFormat="false" ht="12.75" hidden="false" customHeight="true" outlineLevel="0" collapsed="false">
      <c r="A144" s="5"/>
      <c r="B144" s="5"/>
      <c r="C144" s="6"/>
      <c r="D144" s="6"/>
    </row>
    <row r="145" customFormat="false" ht="12.75" hidden="false" customHeight="true" outlineLevel="0" collapsed="false">
      <c r="A145" s="5"/>
      <c r="B145" s="5"/>
      <c r="C145" s="6"/>
      <c r="D145" s="6"/>
    </row>
    <row r="146" customFormat="false" ht="12.75" hidden="false" customHeight="true" outlineLevel="0" collapsed="false">
      <c r="A146" s="5"/>
      <c r="B146" s="5"/>
      <c r="C146" s="6"/>
      <c r="D146" s="6"/>
    </row>
    <row r="147" customFormat="false" ht="12.75" hidden="false" customHeight="true" outlineLevel="0" collapsed="false">
      <c r="A147" s="5"/>
      <c r="B147" s="5"/>
      <c r="C147" s="6"/>
      <c r="D147" s="6"/>
    </row>
    <row r="148" customFormat="false" ht="12.75" hidden="false" customHeight="true" outlineLevel="0" collapsed="false">
      <c r="A148" s="5"/>
      <c r="B148" s="5"/>
      <c r="C148" s="6"/>
      <c r="D148" s="6"/>
    </row>
    <row r="149" customFormat="false" ht="12.75" hidden="false" customHeight="true" outlineLevel="0" collapsed="false">
      <c r="A149" s="5"/>
      <c r="B149" s="5"/>
      <c r="C149" s="6"/>
      <c r="D149" s="6"/>
    </row>
    <row r="150" customFormat="false" ht="12.75" hidden="false" customHeight="true" outlineLevel="0" collapsed="false">
      <c r="A150" s="5"/>
      <c r="B150" s="5"/>
      <c r="C150" s="6"/>
      <c r="D150" s="6"/>
    </row>
    <row r="151" customFormat="false" ht="12.75" hidden="false" customHeight="true" outlineLevel="0" collapsed="false">
      <c r="A151" s="5"/>
      <c r="B151" s="5"/>
      <c r="C151" s="6"/>
      <c r="D151" s="6"/>
    </row>
    <row r="152" customFormat="false" ht="12.75" hidden="false" customHeight="true" outlineLevel="0" collapsed="false">
      <c r="A152" s="5"/>
      <c r="B152" s="5"/>
      <c r="C152" s="6"/>
      <c r="D152" s="6"/>
    </row>
    <row r="153" customFormat="false" ht="12.75" hidden="false" customHeight="true" outlineLevel="0" collapsed="false">
      <c r="A153" s="5"/>
      <c r="B153" s="5"/>
      <c r="C153" s="6"/>
      <c r="D153" s="6"/>
    </row>
    <row r="154" customFormat="false" ht="12.75" hidden="false" customHeight="true" outlineLevel="0" collapsed="false">
      <c r="A154" s="5"/>
      <c r="B154" s="5"/>
      <c r="C154" s="6"/>
      <c r="D154" s="6"/>
    </row>
    <row r="155" customFormat="false" ht="12.75" hidden="false" customHeight="true" outlineLevel="0" collapsed="false">
      <c r="A155" s="5"/>
      <c r="B155" s="5"/>
      <c r="C155" s="6"/>
      <c r="D155" s="6"/>
    </row>
    <row r="156" customFormat="false" ht="12.75" hidden="false" customHeight="true" outlineLevel="0" collapsed="false">
      <c r="A156" s="5"/>
      <c r="B156" s="5"/>
      <c r="C156" s="6"/>
      <c r="D156" s="6"/>
    </row>
    <row r="157" customFormat="false" ht="12.75" hidden="false" customHeight="true" outlineLevel="0" collapsed="false">
      <c r="A157" s="5"/>
      <c r="B157" s="5"/>
      <c r="C157" s="6"/>
      <c r="D157" s="6"/>
    </row>
    <row r="158" customFormat="false" ht="12.75" hidden="false" customHeight="true" outlineLevel="0" collapsed="false">
      <c r="A158" s="5"/>
      <c r="B158" s="5"/>
      <c r="C158" s="6"/>
      <c r="D158" s="6"/>
    </row>
    <row r="159" customFormat="false" ht="12.75" hidden="false" customHeight="true" outlineLevel="0" collapsed="false">
      <c r="A159" s="5"/>
      <c r="B159" s="5"/>
      <c r="C159" s="6"/>
      <c r="D159" s="6"/>
    </row>
    <row r="160" customFormat="false" ht="12.75" hidden="false" customHeight="true" outlineLevel="0" collapsed="false">
      <c r="A160" s="5"/>
      <c r="B160" s="5"/>
      <c r="C160" s="6"/>
      <c r="D160" s="6"/>
    </row>
    <row r="161" customFormat="false" ht="12.75" hidden="false" customHeight="true" outlineLevel="0" collapsed="false">
      <c r="A161" s="5"/>
      <c r="B161" s="5"/>
      <c r="C161" s="6"/>
      <c r="D161" s="6"/>
    </row>
    <row r="162" customFormat="false" ht="12.75" hidden="false" customHeight="true" outlineLevel="0" collapsed="false">
      <c r="A162" s="5"/>
      <c r="B162" s="5"/>
      <c r="C162" s="6"/>
      <c r="D162" s="6"/>
    </row>
    <row r="163" customFormat="false" ht="12.75" hidden="false" customHeight="true" outlineLevel="0" collapsed="false">
      <c r="A163" s="5"/>
      <c r="B163" s="5"/>
      <c r="C163" s="6"/>
      <c r="D163" s="6"/>
    </row>
    <row r="164" customFormat="false" ht="12.75" hidden="false" customHeight="true" outlineLevel="0" collapsed="false">
      <c r="A164" s="5"/>
      <c r="B164" s="5"/>
      <c r="C164" s="6"/>
      <c r="D164" s="6"/>
    </row>
    <row r="165" customFormat="false" ht="12.75" hidden="false" customHeight="true" outlineLevel="0" collapsed="false">
      <c r="A165" s="5"/>
      <c r="B165" s="5"/>
      <c r="C165" s="6"/>
      <c r="D165" s="6"/>
    </row>
    <row r="166" customFormat="false" ht="12.75" hidden="false" customHeight="true" outlineLevel="0" collapsed="false">
      <c r="A166" s="5"/>
      <c r="B166" s="5"/>
      <c r="C166" s="6"/>
      <c r="D166" s="6"/>
    </row>
    <row r="167" customFormat="false" ht="12.75" hidden="false" customHeight="true" outlineLevel="0" collapsed="false">
      <c r="A167" s="5"/>
      <c r="B167" s="5"/>
      <c r="C167" s="6"/>
      <c r="D167" s="6"/>
    </row>
    <row r="168" customFormat="false" ht="12.75" hidden="false" customHeight="true" outlineLevel="0" collapsed="false">
      <c r="A168" s="5"/>
      <c r="B168" s="5"/>
      <c r="C168" s="6"/>
      <c r="D168" s="6"/>
    </row>
    <row r="169" customFormat="false" ht="12.75" hidden="false" customHeight="true" outlineLevel="0" collapsed="false">
      <c r="A169" s="5"/>
      <c r="B169" s="5"/>
      <c r="C169" s="6"/>
      <c r="D169" s="6"/>
    </row>
    <row r="170" customFormat="false" ht="12.75" hidden="false" customHeight="true" outlineLevel="0" collapsed="false">
      <c r="A170" s="5"/>
      <c r="B170" s="5"/>
      <c r="C170" s="6"/>
      <c r="D170" s="6"/>
    </row>
    <row r="171" customFormat="false" ht="12.75" hidden="false" customHeight="true" outlineLevel="0" collapsed="false">
      <c r="A171" s="5"/>
      <c r="B171" s="5"/>
      <c r="C171" s="6"/>
      <c r="D171" s="6"/>
    </row>
    <row r="172" customFormat="false" ht="12.75" hidden="false" customHeight="true" outlineLevel="0" collapsed="false">
      <c r="A172" s="5"/>
      <c r="B172" s="5"/>
      <c r="C172" s="6"/>
      <c r="D172" s="6"/>
    </row>
    <row r="173" customFormat="false" ht="12.75" hidden="false" customHeight="true" outlineLevel="0" collapsed="false">
      <c r="A173" s="5"/>
      <c r="B173" s="5"/>
      <c r="C173" s="6"/>
      <c r="D173" s="6"/>
    </row>
    <row r="174" customFormat="false" ht="12.75" hidden="false" customHeight="true" outlineLevel="0" collapsed="false">
      <c r="A174" s="5"/>
      <c r="B174" s="5"/>
      <c r="C174" s="6"/>
      <c r="D174" s="6"/>
    </row>
    <row r="175" customFormat="false" ht="12.75" hidden="false" customHeight="true" outlineLevel="0" collapsed="false">
      <c r="A175" s="5"/>
      <c r="B175" s="5"/>
      <c r="C175" s="6"/>
      <c r="D175" s="6"/>
    </row>
    <row r="176" customFormat="false" ht="12.75" hidden="false" customHeight="true" outlineLevel="0" collapsed="false">
      <c r="A176" s="5"/>
      <c r="B176" s="5"/>
      <c r="C176" s="6"/>
      <c r="D176" s="6"/>
    </row>
    <row r="177" customFormat="false" ht="12.75" hidden="false" customHeight="true" outlineLevel="0" collapsed="false">
      <c r="A177" s="5"/>
      <c r="B177" s="5"/>
      <c r="C177" s="6"/>
      <c r="D177" s="6"/>
    </row>
    <row r="178" customFormat="false" ht="12.75" hidden="false" customHeight="true" outlineLevel="0" collapsed="false">
      <c r="A178" s="5"/>
      <c r="B178" s="5"/>
      <c r="C178" s="6"/>
      <c r="D178" s="6"/>
    </row>
    <row r="179" customFormat="false" ht="12.75" hidden="false" customHeight="true" outlineLevel="0" collapsed="false">
      <c r="A179" s="5"/>
      <c r="B179" s="5"/>
      <c r="C179" s="6"/>
      <c r="D179" s="6"/>
    </row>
    <row r="180" customFormat="false" ht="12.75" hidden="false" customHeight="true" outlineLevel="0" collapsed="false">
      <c r="A180" s="5"/>
      <c r="B180" s="5"/>
      <c r="C180" s="6"/>
      <c r="D180" s="6"/>
    </row>
    <row r="181" customFormat="false" ht="12.75" hidden="false" customHeight="true" outlineLevel="0" collapsed="false">
      <c r="A181" s="5"/>
      <c r="B181" s="5"/>
      <c r="C181" s="6"/>
      <c r="D181" s="6"/>
    </row>
    <row r="182" customFormat="false" ht="12.75" hidden="false" customHeight="true" outlineLevel="0" collapsed="false">
      <c r="A182" s="5"/>
      <c r="B182" s="5"/>
      <c r="C182" s="6"/>
      <c r="D182" s="6"/>
    </row>
    <row r="183" customFormat="false" ht="12.75" hidden="false" customHeight="true" outlineLevel="0" collapsed="false">
      <c r="A183" s="5"/>
      <c r="B183" s="5"/>
      <c r="C183" s="6"/>
      <c r="D183" s="6"/>
    </row>
    <row r="184" customFormat="false" ht="12.75" hidden="false" customHeight="true" outlineLevel="0" collapsed="false">
      <c r="A184" s="5"/>
      <c r="B184" s="5"/>
      <c r="C184" s="6"/>
      <c r="D184" s="6"/>
    </row>
    <row r="185" customFormat="false" ht="12.75" hidden="false" customHeight="true" outlineLevel="0" collapsed="false">
      <c r="A185" s="5"/>
      <c r="B185" s="5"/>
      <c r="C185" s="6"/>
      <c r="D185" s="6"/>
    </row>
    <row r="186" customFormat="false" ht="12.75" hidden="false" customHeight="true" outlineLevel="0" collapsed="false">
      <c r="A186" s="5"/>
      <c r="B186" s="5"/>
      <c r="C186" s="6"/>
      <c r="D186" s="6"/>
    </row>
    <row r="187" customFormat="false" ht="12.75" hidden="false" customHeight="true" outlineLevel="0" collapsed="false">
      <c r="A187" s="5"/>
      <c r="B187" s="5"/>
      <c r="C187" s="6"/>
      <c r="D187" s="6"/>
    </row>
    <row r="188" customFormat="false" ht="12.75" hidden="false" customHeight="true" outlineLevel="0" collapsed="false">
      <c r="A188" s="5"/>
      <c r="B188" s="5"/>
      <c r="C188" s="6"/>
      <c r="D188" s="6"/>
    </row>
    <row r="189" customFormat="false" ht="12.75" hidden="false" customHeight="true" outlineLevel="0" collapsed="false">
      <c r="A189" s="5"/>
      <c r="B189" s="5"/>
      <c r="C189" s="6"/>
      <c r="D189" s="6"/>
    </row>
    <row r="190" customFormat="false" ht="12.75" hidden="false" customHeight="true" outlineLevel="0" collapsed="false">
      <c r="A190" s="5"/>
      <c r="B190" s="5"/>
      <c r="C190" s="6"/>
      <c r="D190" s="6"/>
    </row>
    <row r="191" customFormat="false" ht="12.75" hidden="false" customHeight="true" outlineLevel="0" collapsed="false">
      <c r="A191" s="5"/>
      <c r="B191" s="5"/>
      <c r="C191" s="6"/>
      <c r="D191" s="6"/>
    </row>
    <row r="192" customFormat="false" ht="12.75" hidden="false" customHeight="true" outlineLevel="0" collapsed="false">
      <c r="A192" s="5"/>
      <c r="B192" s="5"/>
      <c r="C192" s="6"/>
      <c r="D192" s="6"/>
    </row>
    <row r="193" customFormat="false" ht="12.75" hidden="false" customHeight="true" outlineLevel="0" collapsed="false">
      <c r="A193" s="5"/>
      <c r="B193" s="5"/>
      <c r="C193" s="6"/>
      <c r="D193" s="6"/>
    </row>
    <row r="194" customFormat="false" ht="12.75" hidden="false" customHeight="true" outlineLevel="0" collapsed="false">
      <c r="A194" s="5"/>
      <c r="B194" s="5"/>
      <c r="C194" s="6"/>
      <c r="D194" s="6"/>
    </row>
    <row r="195" customFormat="false" ht="12.75" hidden="false" customHeight="true" outlineLevel="0" collapsed="false">
      <c r="A195" s="5"/>
      <c r="B195" s="5"/>
      <c r="C195" s="6"/>
      <c r="D195" s="6"/>
    </row>
    <row r="196" customFormat="false" ht="12.75" hidden="false" customHeight="true" outlineLevel="0" collapsed="false">
      <c r="A196" s="5"/>
      <c r="B196" s="5"/>
      <c r="C196" s="6"/>
      <c r="D196" s="6"/>
    </row>
    <row r="197" customFormat="false" ht="12.75" hidden="false" customHeight="true" outlineLevel="0" collapsed="false">
      <c r="A197" s="5"/>
      <c r="B197" s="5"/>
      <c r="C197" s="6"/>
      <c r="D197" s="6"/>
    </row>
    <row r="198" customFormat="false" ht="12.75" hidden="false" customHeight="true" outlineLevel="0" collapsed="false">
      <c r="A198" s="5"/>
      <c r="B198" s="5"/>
      <c r="C198" s="6"/>
      <c r="D198" s="6"/>
    </row>
    <row r="199" customFormat="false" ht="12.75" hidden="false" customHeight="true" outlineLevel="0" collapsed="false">
      <c r="A199" s="5"/>
      <c r="B199" s="5"/>
      <c r="C199" s="6"/>
      <c r="D199" s="6"/>
    </row>
    <row r="200" customFormat="false" ht="12.75" hidden="false" customHeight="true" outlineLevel="0" collapsed="false">
      <c r="A200" s="5"/>
      <c r="B200" s="5"/>
      <c r="C200" s="6"/>
      <c r="D200" s="6"/>
    </row>
    <row r="201" customFormat="false" ht="12.75" hidden="false" customHeight="true" outlineLevel="0" collapsed="false">
      <c r="A201" s="5"/>
      <c r="B201" s="5"/>
      <c r="C201" s="6"/>
      <c r="D201" s="6"/>
    </row>
    <row r="202" customFormat="false" ht="12.75" hidden="false" customHeight="true" outlineLevel="0" collapsed="false">
      <c r="A202" s="5"/>
      <c r="B202" s="5"/>
      <c r="C202" s="6"/>
      <c r="D202" s="6"/>
    </row>
    <row r="203" customFormat="false" ht="12.75" hidden="false" customHeight="true" outlineLevel="0" collapsed="false">
      <c r="A203" s="5"/>
      <c r="B203" s="5"/>
      <c r="C203" s="6"/>
      <c r="D203" s="6"/>
    </row>
    <row r="204" customFormat="false" ht="12.75" hidden="false" customHeight="true" outlineLevel="0" collapsed="false">
      <c r="A204" s="5"/>
      <c r="B204" s="5"/>
      <c r="C204" s="6"/>
      <c r="D204" s="6"/>
    </row>
    <row r="205" customFormat="false" ht="12.75" hidden="false" customHeight="true" outlineLevel="0" collapsed="false">
      <c r="A205" s="5"/>
      <c r="B205" s="5"/>
      <c r="C205" s="6"/>
      <c r="D205" s="6"/>
    </row>
    <row r="206" customFormat="false" ht="12.75" hidden="false" customHeight="true" outlineLevel="0" collapsed="false">
      <c r="A206" s="5"/>
      <c r="B206" s="5"/>
      <c r="C206" s="6"/>
      <c r="D206" s="6"/>
    </row>
    <row r="207" customFormat="false" ht="12.75" hidden="false" customHeight="true" outlineLevel="0" collapsed="false">
      <c r="A207" s="5"/>
      <c r="B207" s="5"/>
      <c r="C207" s="6"/>
      <c r="D207" s="6"/>
    </row>
    <row r="208" customFormat="false" ht="12.75" hidden="false" customHeight="true" outlineLevel="0" collapsed="false">
      <c r="A208" s="5"/>
      <c r="B208" s="5"/>
      <c r="C208" s="6"/>
      <c r="D208" s="6"/>
    </row>
    <row r="209" customFormat="false" ht="12.75" hidden="false" customHeight="true" outlineLevel="0" collapsed="false">
      <c r="A209" s="5"/>
      <c r="B209" s="5"/>
      <c r="C209" s="6"/>
      <c r="D209" s="6"/>
    </row>
    <row r="210" customFormat="false" ht="12.75" hidden="false" customHeight="true" outlineLevel="0" collapsed="false">
      <c r="A210" s="5"/>
      <c r="B210" s="5"/>
      <c r="C210" s="6"/>
      <c r="D210" s="6"/>
    </row>
    <row r="211" customFormat="false" ht="12.75" hidden="false" customHeight="true" outlineLevel="0" collapsed="false">
      <c r="A211" s="5"/>
      <c r="B211" s="5"/>
      <c r="C211" s="6"/>
      <c r="D211" s="6"/>
    </row>
    <row r="212" customFormat="false" ht="12.75" hidden="false" customHeight="true" outlineLevel="0" collapsed="false">
      <c r="A212" s="5"/>
      <c r="B212" s="5"/>
      <c r="C212" s="6"/>
      <c r="D212" s="6"/>
    </row>
    <row r="213" customFormat="false" ht="12.75" hidden="false" customHeight="true" outlineLevel="0" collapsed="false">
      <c r="A213" s="5"/>
      <c r="B213" s="5"/>
      <c r="C213" s="6"/>
      <c r="D213" s="6"/>
    </row>
    <row r="214" customFormat="false" ht="12.75" hidden="false" customHeight="true" outlineLevel="0" collapsed="false">
      <c r="A214" s="5"/>
      <c r="B214" s="5"/>
      <c r="C214" s="6"/>
      <c r="D214" s="6"/>
    </row>
    <row r="215" customFormat="false" ht="12.75" hidden="false" customHeight="true" outlineLevel="0" collapsed="false">
      <c r="A215" s="5"/>
      <c r="B215" s="5"/>
      <c r="C215" s="6"/>
      <c r="D215" s="6"/>
    </row>
    <row r="216" customFormat="false" ht="12.75" hidden="false" customHeight="true" outlineLevel="0" collapsed="false">
      <c r="A216" s="5"/>
      <c r="B216" s="5"/>
      <c r="C216" s="6"/>
      <c r="D216" s="6"/>
    </row>
    <row r="217" customFormat="false" ht="12.75" hidden="false" customHeight="true" outlineLevel="0" collapsed="false">
      <c r="A217" s="5"/>
      <c r="B217" s="5"/>
      <c r="C217" s="6"/>
      <c r="D217" s="6"/>
    </row>
    <row r="218" customFormat="false" ht="12.75" hidden="false" customHeight="true" outlineLevel="0" collapsed="false">
      <c r="A218" s="5"/>
      <c r="B218" s="5"/>
      <c r="C218" s="6"/>
      <c r="D218" s="6"/>
    </row>
    <row r="219" customFormat="false" ht="12.75" hidden="false" customHeight="true" outlineLevel="0" collapsed="false">
      <c r="A219" s="5"/>
      <c r="B219" s="5"/>
      <c r="C219" s="6"/>
      <c r="D219" s="6"/>
    </row>
    <row r="220" customFormat="false" ht="12.75" hidden="false" customHeight="true" outlineLevel="0" collapsed="false">
      <c r="A220" s="5"/>
      <c r="B220" s="5"/>
      <c r="C220" s="6"/>
      <c r="D220" s="6"/>
    </row>
    <row r="221" customFormat="false" ht="12.75" hidden="false" customHeight="true" outlineLevel="0" collapsed="false">
      <c r="A221" s="5"/>
      <c r="B221" s="5"/>
      <c r="C221" s="6"/>
      <c r="D221" s="6"/>
    </row>
    <row r="222" customFormat="false" ht="12.75" hidden="false" customHeight="true" outlineLevel="0" collapsed="false">
      <c r="A222" s="5"/>
      <c r="B222" s="5"/>
      <c r="C222" s="6"/>
      <c r="D222" s="6"/>
    </row>
    <row r="223" customFormat="false" ht="12.75" hidden="false" customHeight="true" outlineLevel="0" collapsed="false">
      <c r="A223" s="5"/>
      <c r="B223" s="5"/>
      <c r="C223" s="6"/>
      <c r="D223" s="6"/>
    </row>
    <row r="224" customFormat="false" ht="12.75" hidden="false" customHeight="true" outlineLevel="0" collapsed="false">
      <c r="A224" s="5"/>
      <c r="B224" s="5"/>
      <c r="C224" s="6"/>
      <c r="D224" s="6"/>
    </row>
    <row r="225" customFormat="false" ht="12.75" hidden="false" customHeight="true" outlineLevel="0" collapsed="false">
      <c r="A225" s="5"/>
      <c r="B225" s="5"/>
      <c r="C225" s="6"/>
      <c r="D225" s="6"/>
    </row>
    <row r="226" customFormat="false" ht="12.75" hidden="false" customHeight="true" outlineLevel="0" collapsed="false">
      <c r="A226" s="5"/>
      <c r="B226" s="5"/>
      <c r="C226" s="6"/>
      <c r="D226" s="6"/>
    </row>
    <row r="227" customFormat="false" ht="12.75" hidden="false" customHeight="true" outlineLevel="0" collapsed="false">
      <c r="A227" s="5"/>
      <c r="B227" s="5"/>
      <c r="C227" s="6"/>
      <c r="D227" s="6"/>
    </row>
    <row r="228" customFormat="false" ht="12.75" hidden="false" customHeight="true" outlineLevel="0" collapsed="false">
      <c r="A228" s="5"/>
      <c r="B228" s="5"/>
      <c r="C228" s="6"/>
      <c r="D228" s="6"/>
    </row>
    <row r="229" customFormat="false" ht="12.75" hidden="false" customHeight="true" outlineLevel="0" collapsed="false">
      <c r="A229" s="5"/>
      <c r="B229" s="5"/>
      <c r="C229" s="6"/>
      <c r="D229" s="6"/>
    </row>
    <row r="230" customFormat="false" ht="12.75" hidden="false" customHeight="true" outlineLevel="0" collapsed="false">
      <c r="A230" s="5"/>
      <c r="B230" s="5"/>
      <c r="C230" s="6"/>
      <c r="D230" s="6"/>
    </row>
    <row r="231" customFormat="false" ht="12.75" hidden="false" customHeight="true" outlineLevel="0" collapsed="false">
      <c r="A231" s="5"/>
      <c r="B231" s="5"/>
      <c r="C231" s="6"/>
      <c r="D231" s="6"/>
    </row>
    <row r="232" customFormat="false" ht="12.75" hidden="false" customHeight="true" outlineLevel="0" collapsed="false">
      <c r="A232" s="5"/>
      <c r="B232" s="5"/>
      <c r="C232" s="6"/>
      <c r="D232" s="6"/>
    </row>
    <row r="233" customFormat="false" ht="12.75" hidden="false" customHeight="true" outlineLevel="0" collapsed="false">
      <c r="A233" s="5"/>
      <c r="B233" s="5"/>
      <c r="C233" s="6"/>
      <c r="D233" s="6"/>
    </row>
    <row r="234" customFormat="false" ht="12.75" hidden="false" customHeight="true" outlineLevel="0" collapsed="false">
      <c r="A234" s="5"/>
      <c r="B234" s="5"/>
      <c r="C234" s="6"/>
      <c r="D234" s="6"/>
    </row>
    <row r="235" customFormat="false" ht="12.75" hidden="false" customHeight="true" outlineLevel="0" collapsed="false">
      <c r="A235" s="5"/>
      <c r="B235" s="5"/>
      <c r="C235" s="6"/>
      <c r="D235" s="6"/>
    </row>
    <row r="236" customFormat="false" ht="12.75" hidden="false" customHeight="true" outlineLevel="0" collapsed="false">
      <c r="A236" s="5"/>
      <c r="B236" s="5"/>
      <c r="C236" s="6"/>
      <c r="D236" s="6"/>
    </row>
    <row r="237" customFormat="false" ht="12.75" hidden="false" customHeight="true" outlineLevel="0" collapsed="false">
      <c r="A237" s="5"/>
      <c r="B237" s="5"/>
      <c r="C237" s="6"/>
      <c r="D237" s="6"/>
    </row>
    <row r="238" customFormat="false" ht="12.75" hidden="false" customHeight="true" outlineLevel="0" collapsed="false">
      <c r="A238" s="5"/>
      <c r="B238" s="5"/>
      <c r="C238" s="6"/>
      <c r="D238" s="6"/>
    </row>
    <row r="239" customFormat="false" ht="12.75" hidden="false" customHeight="true" outlineLevel="0" collapsed="false">
      <c r="A239" s="5"/>
      <c r="B239" s="5"/>
      <c r="C239" s="6"/>
      <c r="D239" s="6"/>
    </row>
    <row r="240" customFormat="false" ht="12.75" hidden="false" customHeight="true" outlineLevel="0" collapsed="false">
      <c r="A240" s="5"/>
      <c r="B240" s="5"/>
      <c r="C240" s="6"/>
      <c r="D240" s="6"/>
    </row>
    <row r="241" customFormat="false" ht="12.75" hidden="false" customHeight="true" outlineLevel="0" collapsed="false">
      <c r="A241" s="5"/>
      <c r="B241" s="5"/>
      <c r="C241" s="6"/>
      <c r="D241" s="6"/>
    </row>
    <row r="242" customFormat="false" ht="12.75" hidden="false" customHeight="true" outlineLevel="0" collapsed="false">
      <c r="A242" s="5"/>
      <c r="B242" s="5"/>
      <c r="C242" s="6"/>
      <c r="D242" s="6"/>
    </row>
    <row r="243" customFormat="false" ht="12.75" hidden="false" customHeight="true" outlineLevel="0" collapsed="false">
      <c r="A243" s="5"/>
      <c r="B243" s="5"/>
      <c r="C243" s="6"/>
      <c r="D243" s="6"/>
    </row>
    <row r="244" customFormat="false" ht="12.75" hidden="false" customHeight="true" outlineLevel="0" collapsed="false">
      <c r="A244" s="5"/>
      <c r="B244" s="5"/>
      <c r="C244" s="6"/>
      <c r="D244" s="6"/>
    </row>
    <row r="245" customFormat="false" ht="12.75" hidden="false" customHeight="true" outlineLevel="0" collapsed="false">
      <c r="A245" s="5"/>
      <c r="B245" s="5"/>
      <c r="C245" s="6"/>
      <c r="D245" s="6"/>
    </row>
    <row r="246" customFormat="false" ht="12.75" hidden="false" customHeight="true" outlineLevel="0" collapsed="false">
      <c r="A246" s="5"/>
      <c r="B246" s="5"/>
      <c r="C246" s="6"/>
      <c r="D246" s="6"/>
    </row>
    <row r="247" customFormat="false" ht="12.75" hidden="false" customHeight="true" outlineLevel="0" collapsed="false">
      <c r="A247" s="5"/>
      <c r="B247" s="5"/>
      <c r="C247" s="6"/>
      <c r="D247" s="6"/>
    </row>
    <row r="248" customFormat="false" ht="12.75" hidden="false" customHeight="true" outlineLevel="0" collapsed="false">
      <c r="A248" s="5"/>
      <c r="B248" s="5"/>
      <c r="C248" s="6"/>
      <c r="D248" s="6"/>
    </row>
    <row r="249" customFormat="false" ht="12.75" hidden="false" customHeight="true" outlineLevel="0" collapsed="false">
      <c r="A249" s="5"/>
      <c r="B249" s="5"/>
      <c r="C249" s="6"/>
      <c r="D249" s="6"/>
    </row>
    <row r="250" customFormat="false" ht="12.75" hidden="false" customHeight="true" outlineLevel="0" collapsed="false">
      <c r="A250" s="5"/>
      <c r="B250" s="5"/>
      <c r="C250" s="6"/>
      <c r="D250" s="6"/>
    </row>
    <row r="251" customFormat="false" ht="12.75" hidden="false" customHeight="true" outlineLevel="0" collapsed="false">
      <c r="A251" s="5"/>
      <c r="B251" s="5"/>
      <c r="C251" s="6"/>
      <c r="D251" s="6"/>
    </row>
    <row r="252" customFormat="false" ht="12.75" hidden="false" customHeight="true" outlineLevel="0" collapsed="false">
      <c r="A252" s="5"/>
      <c r="B252" s="5"/>
      <c r="C252" s="6"/>
      <c r="D252" s="6"/>
    </row>
    <row r="253" customFormat="false" ht="12.75" hidden="false" customHeight="true" outlineLevel="0" collapsed="false">
      <c r="A253" s="5"/>
      <c r="B253" s="5"/>
      <c r="C253" s="6"/>
      <c r="D253" s="6"/>
    </row>
    <row r="254" customFormat="false" ht="12.75" hidden="false" customHeight="true" outlineLevel="0" collapsed="false">
      <c r="A254" s="5"/>
      <c r="B254" s="5"/>
      <c r="C254" s="6"/>
      <c r="D254" s="6"/>
    </row>
    <row r="255" customFormat="false" ht="12.75" hidden="false" customHeight="true" outlineLevel="0" collapsed="false">
      <c r="A255" s="5"/>
      <c r="B255" s="5"/>
      <c r="C255" s="6"/>
      <c r="D255" s="6"/>
    </row>
    <row r="256" customFormat="false" ht="12.75" hidden="false" customHeight="true" outlineLevel="0" collapsed="false">
      <c r="A256" s="5"/>
      <c r="B256" s="5"/>
      <c r="C256" s="6"/>
      <c r="D256" s="6"/>
    </row>
    <row r="257" customFormat="false" ht="12.75" hidden="false" customHeight="true" outlineLevel="0" collapsed="false">
      <c r="A257" s="5"/>
      <c r="B257" s="5"/>
      <c r="C257" s="6"/>
      <c r="D257" s="6"/>
    </row>
    <row r="258" customFormat="false" ht="12.75" hidden="false" customHeight="true" outlineLevel="0" collapsed="false">
      <c r="A258" s="5"/>
      <c r="B258" s="5"/>
      <c r="C258" s="6"/>
      <c r="D258" s="6"/>
    </row>
    <row r="259" customFormat="false" ht="12.75" hidden="false" customHeight="true" outlineLevel="0" collapsed="false">
      <c r="A259" s="5"/>
      <c r="B259" s="5"/>
      <c r="C259" s="6"/>
      <c r="D259" s="6"/>
    </row>
    <row r="260" customFormat="false" ht="12.75" hidden="false" customHeight="true" outlineLevel="0" collapsed="false">
      <c r="A260" s="5"/>
      <c r="B260" s="5"/>
      <c r="C260" s="6"/>
      <c r="D260" s="6"/>
    </row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H22" activePane="bottomRight" state="frozen"/>
      <selection pane="topLeft" activeCell="A1" activeCellId="0" sqref="A1"/>
      <selection pane="topRight" activeCell="H1" activeCellId="0" sqref="H1"/>
      <selection pane="bottomLeft" activeCell="A22" activeCellId="0" sqref="A22"/>
      <selection pane="bottomRight" activeCell="J49" activeCellId="1" sqref="AC4:AE412 J49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.54"/>
    <col collapsed="false" customWidth="true" hidden="false" outlineLevel="0" max="2" min="2" style="1" width="53.45"/>
    <col collapsed="false" customWidth="true" hidden="true" outlineLevel="0" max="3" min="3" style="1" width="20.54"/>
    <col collapsed="false" customWidth="true" hidden="false" outlineLevel="0" max="10" min="4" style="1" width="20.54"/>
    <col collapsed="false" customWidth="true" hidden="false" outlineLevel="0" max="11" min="11" style="1" width="20.9"/>
    <col collapsed="false" customWidth="false" hidden="false" outlineLevel="0" max="16384" min="12" style="1" width="14.45"/>
  </cols>
  <sheetData>
    <row r="1" customFormat="false" ht="19.7" hidden="false" customHeight="false" outlineLevel="0" collapsed="false">
      <c r="B1" s="3" t="s">
        <v>0</v>
      </c>
    </row>
    <row r="2" customFormat="false" ht="15" hidden="false" customHeight="true" outlineLevel="0" collapsed="false">
      <c r="B2" s="23" t="s">
        <v>49</v>
      </c>
      <c r="C2" s="23"/>
      <c r="D2" s="23"/>
      <c r="E2" s="23"/>
      <c r="F2" s="23"/>
      <c r="G2" s="23"/>
      <c r="H2" s="23"/>
      <c r="I2" s="23"/>
      <c r="J2" s="23"/>
    </row>
    <row r="3" customFormat="false" ht="12.75" hidden="false" customHeight="true" outlineLevel="0" collapsed="false">
      <c r="A3" s="5"/>
      <c r="B3" s="5"/>
      <c r="C3" s="5"/>
      <c r="D3" s="5"/>
      <c r="E3" s="5"/>
      <c r="F3" s="24" t="s">
        <v>50</v>
      </c>
      <c r="G3" s="24"/>
      <c r="H3" s="24"/>
      <c r="I3" s="24"/>
      <c r="J3" s="24"/>
    </row>
    <row r="4" customFormat="false" ht="12.75" hidden="false" customHeight="true" outlineLevel="0" collapsed="false">
      <c r="A4" s="7"/>
      <c r="B4" s="8" t="s">
        <v>3</v>
      </c>
      <c r="C4" s="25" t="s">
        <v>4</v>
      </c>
      <c r="D4" s="26" t="s">
        <v>4</v>
      </c>
      <c r="E4" s="26" t="s">
        <v>4</v>
      </c>
      <c r="F4" s="26" t="s">
        <v>4</v>
      </c>
      <c r="G4" s="26" t="s">
        <v>4</v>
      </c>
      <c r="H4" s="26" t="s">
        <v>4</v>
      </c>
      <c r="I4" s="26" t="s">
        <v>4</v>
      </c>
      <c r="J4" s="26" t="s">
        <v>4</v>
      </c>
      <c r="K4" s="27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customFormat="false" ht="12.75" hidden="false" customHeight="true" outlineLevel="0" collapsed="false">
      <c r="A5" s="5"/>
      <c r="B5" s="11"/>
      <c r="C5" s="28" t="n">
        <v>45748</v>
      </c>
      <c r="D5" s="29" t="n">
        <v>45748</v>
      </c>
      <c r="E5" s="29" t="n">
        <v>45778</v>
      </c>
      <c r="F5" s="29" t="n">
        <v>45809</v>
      </c>
      <c r="G5" s="29" t="n">
        <v>45839</v>
      </c>
      <c r="H5" s="29" t="n">
        <v>45870</v>
      </c>
      <c r="I5" s="29" t="n">
        <v>45901</v>
      </c>
      <c r="J5" s="29" t="n">
        <v>45931</v>
      </c>
      <c r="K5" s="11" t="s">
        <v>51</v>
      </c>
    </row>
    <row r="6" customFormat="false" ht="12.75" hidden="false" customHeight="true" outlineLevel="0" collapsed="false">
      <c r="A6" s="5"/>
      <c r="B6" s="13" t="s">
        <v>52</v>
      </c>
      <c r="C6" s="30"/>
      <c r="D6" s="31" t="n">
        <f aca="false">SUM(D9:D45)</f>
        <v>1491256.21277701</v>
      </c>
      <c r="E6" s="31" t="n">
        <f aca="false">SUM(E9:E45)</f>
        <v>2038366.27871442</v>
      </c>
      <c r="F6" s="31" t="n">
        <f aca="false">SUM(F9:F45)</f>
        <v>2336604.33660399</v>
      </c>
      <c r="G6" s="31" t="n">
        <f aca="false">SUM(G9:G45)</f>
        <v>2883930.9405897</v>
      </c>
      <c r="H6" s="31" t="n">
        <f aca="false">SUM(H9:H45)</f>
        <v>3628578.16458486</v>
      </c>
      <c r="I6" s="31" t="n">
        <f aca="false">SUM(I9:I45)</f>
        <v>4447689.287622</v>
      </c>
      <c r="J6" s="31" t="n">
        <f aca="false">SUM(J9:J45)</f>
        <v>5065908.76937398</v>
      </c>
      <c r="K6" s="31" t="n">
        <f aca="false">SUM(K9:K45)</f>
        <v>21892333.9902659</v>
      </c>
    </row>
    <row r="7" customFormat="false" ht="12.75" hidden="false" customHeight="true" outlineLevel="0" collapsed="false">
      <c r="A7" s="5"/>
      <c r="B7" s="13"/>
      <c r="C7" s="30"/>
      <c r="D7" s="31"/>
      <c r="E7" s="31"/>
      <c r="F7" s="31"/>
      <c r="G7" s="31"/>
      <c r="H7" s="31"/>
      <c r="I7" s="31"/>
      <c r="J7" s="31"/>
      <c r="K7" s="32"/>
    </row>
    <row r="8" customFormat="false" ht="12.75" hidden="false" customHeight="true" outlineLevel="0" collapsed="false">
      <c r="A8" s="5"/>
      <c r="B8" s="13" t="s">
        <v>6</v>
      </c>
      <c r="C8" s="30"/>
      <c r="D8" s="31"/>
      <c r="E8" s="31"/>
      <c r="F8" s="31"/>
      <c r="G8" s="31"/>
      <c r="H8" s="31"/>
      <c r="I8" s="31"/>
      <c r="J8" s="31"/>
      <c r="K8" s="33"/>
    </row>
    <row r="9" customFormat="false" ht="12.75" hidden="false" customHeight="true" outlineLevel="0" collapsed="false">
      <c r="A9" s="5"/>
      <c r="B9" s="16" t="s">
        <v>7</v>
      </c>
      <c r="C9" s="34"/>
      <c r="D9" s="33" t="n">
        <f aca="false">SUMIF(Pivot!$A$45:$A$84,B9,Pivot!$B$45:$B$84)/118%</f>
        <v>45591.2661830577</v>
      </c>
      <c r="E9" s="33" t="n">
        <f aca="false">SUMIF(Pivot!$A$45:$A$84,B9,Pivot!$C$45:$C$84)/118%</f>
        <v>68463.2542911796</v>
      </c>
      <c r="F9" s="33" t="n">
        <f aca="false">SUMIF(Pivot!$A$45:$A$84,B9,Pivot!$D$45:$D$84)/118%</f>
        <v>290463.334908389</v>
      </c>
      <c r="G9" s="33" t="n">
        <f aca="false">SUMIF(Pivot!$A$45:$A$84,B9,Pivot!$E$45:$E$84)/118%</f>
        <v>316997.500866522</v>
      </c>
      <c r="H9" s="33" t="n">
        <f aca="false">SUMIF(Pivot!$A$45:$A$84,B9,Pivot!$F$45:$F$84)/118%</f>
        <v>673159.024274621</v>
      </c>
      <c r="I9" s="33" t="n">
        <f aca="false">SUMIF(Pivot!$A$45:$A$84,B9,Pivot!$G$45:$G$84)/118%</f>
        <v>1000802.18783628</v>
      </c>
      <c r="J9" s="33" t="n">
        <f aca="false">SUMIF(Pivot!$A$45:$H$84,B9,Pivot!$H$45:$H$84)/118%</f>
        <v>1177971.30186005</v>
      </c>
      <c r="K9" s="31" t="n">
        <f aca="false">SUM(D9:J9)</f>
        <v>3573447.8702201</v>
      </c>
    </row>
    <row r="10" customFormat="false" ht="12.75" hidden="false" customHeight="true" outlineLevel="0" collapsed="false">
      <c r="A10" s="5"/>
      <c r="B10" s="16" t="s">
        <v>8</v>
      </c>
      <c r="C10" s="34"/>
      <c r="D10" s="33" t="n">
        <f aca="false">SUMIF(Pivot!$A$45:$A$84,B10,Pivot!$B$45:$B$84)/118%</f>
        <v>47587.41964092</v>
      </c>
      <c r="E10" s="33" t="n">
        <f aca="false">SUMIF(Pivot!$A$45:$A$84,B10,Pivot!$C$45:$C$84)/118%</f>
        <v>49173.666962284</v>
      </c>
      <c r="F10" s="33" t="n">
        <f aca="false">SUMIF(Pivot!$A$45:$A$84,B10,Pivot!$D$45:$D$84)/118%</f>
        <v>63038.2503025347</v>
      </c>
      <c r="G10" s="33" t="n">
        <f aca="false">SUMIF(Pivot!$A$45:$A$84,B10,Pivot!$E$45:$E$84)/118%</f>
        <v>172929.765076997</v>
      </c>
      <c r="H10" s="33" t="n">
        <f aca="false">SUMIF(Pivot!$A$45:$A$84,B10,Pivot!$F$45:$F$84)/118%</f>
        <v>344434.756950691</v>
      </c>
      <c r="I10" s="33" t="n">
        <f aca="false">SUMIF(Pivot!$A$45:$A$84,B10,Pivot!$G$45:$G$84)/118%</f>
        <v>420350.413397535</v>
      </c>
      <c r="J10" s="33" t="n">
        <f aca="false">SUMIF(Pivot!$A$45:$H$84,B10,Pivot!$H$45:$H$84)/118%</f>
        <v>501192.128671146</v>
      </c>
      <c r="K10" s="31" t="n">
        <f aca="false">SUM(D10:J10)</f>
        <v>1598706.40100211</v>
      </c>
    </row>
    <row r="11" customFormat="false" ht="12.75" hidden="false" customHeight="true" outlineLevel="0" collapsed="false">
      <c r="A11" s="5"/>
      <c r="B11" s="16" t="s">
        <v>9</v>
      </c>
      <c r="C11" s="34"/>
      <c r="D11" s="33" t="n">
        <f aca="false">SUMIF(Pivot!$A$45:$A$84,B11,Pivot!$B$45:$B$84)/118%</f>
        <v>565804.003454693</v>
      </c>
      <c r="E11" s="33" t="n">
        <f aca="false">SUMIF(Pivot!$A$45:$A$84,B11,Pivot!$C$45:$C$84)/118%</f>
        <v>719682.250089113</v>
      </c>
      <c r="F11" s="33" t="n">
        <f aca="false">SUMIF(Pivot!$A$45:$A$84,B11,Pivot!$D$45:$D$84)/118%</f>
        <v>932783.840535262</v>
      </c>
      <c r="G11" s="33" t="n">
        <f aca="false">SUMIF(Pivot!$A$45:$A$84,B11,Pivot!$E$45:$E$84)/118%</f>
        <v>1242097.3917718</v>
      </c>
      <c r="H11" s="33" t="n">
        <f aca="false">SUMIF(Pivot!$A$45:$A$84,B11,Pivot!$F$45:$F$84)/118%</f>
        <v>1589492.57684739</v>
      </c>
      <c r="I11" s="33" t="n">
        <f aca="false">SUMIF(Pivot!$A$45:$A$84,B11,Pivot!$G$45:$G$84)/118%</f>
        <v>1866858.41933005</v>
      </c>
      <c r="J11" s="33" t="n">
        <f aca="false">SUMIF(Pivot!$A$45:$H$84,B11,Pivot!$H$45:$H$84)/118%</f>
        <v>2048295.89879991</v>
      </c>
      <c r="K11" s="31" t="n">
        <f aca="false">SUM(D11:J11)</f>
        <v>8965014.38082821</v>
      </c>
    </row>
    <row r="12" customFormat="false" ht="12.75" hidden="false" customHeight="true" outlineLevel="0" collapsed="false">
      <c r="A12" s="5"/>
      <c r="B12" s="16" t="s">
        <v>10</v>
      </c>
      <c r="C12" s="34"/>
      <c r="D12" s="33" t="n">
        <f aca="false">SUMIF(Pivot!$A$45:$A$84,B12,Pivot!$B$45:$B$84)/118%</f>
        <v>47801.5316278875</v>
      </c>
      <c r="E12" s="33" t="n">
        <f aca="false">SUMIF(Pivot!$A$45:$A$84,B12,Pivot!$C$45:$C$84)/118%</f>
        <v>208651.430748529</v>
      </c>
      <c r="F12" s="33" t="n">
        <f aca="false">SUMIF(Pivot!$A$45:$A$84,B12,Pivot!$D$45:$D$84)/118%</f>
        <v>85456.5118925729</v>
      </c>
      <c r="G12" s="33" t="n">
        <f aca="false">SUMIF(Pivot!$A$45:$A$84,B12,Pivot!$E$45:$E$84)/118%</f>
        <v>123035.946895447</v>
      </c>
      <c r="H12" s="33" t="n">
        <f aca="false">SUMIF(Pivot!$A$45:$A$84,B12,Pivot!$F$45:$F$84)/118%</f>
        <v>161676.671297583</v>
      </c>
      <c r="I12" s="33" t="n">
        <f aca="false">SUMIF(Pivot!$A$45:$A$84,B12,Pivot!$G$45:$G$84)/118%</f>
        <v>192829.617111775</v>
      </c>
      <c r="J12" s="33" t="n">
        <f aca="false">SUMIF(Pivot!$A$45:$H$84,B12,Pivot!$H$45:$H$84)/118%</f>
        <v>281866.931080892</v>
      </c>
      <c r="K12" s="31" t="n">
        <f aca="false">SUM(D12:J12)</f>
        <v>1101318.64065469</v>
      </c>
    </row>
    <row r="13" customFormat="false" ht="12.75" hidden="false" customHeight="true" outlineLevel="0" collapsed="false">
      <c r="A13" s="5"/>
      <c r="B13" s="16" t="s">
        <v>11</v>
      </c>
      <c r="C13" s="34"/>
      <c r="D13" s="33" t="n">
        <f aca="false">SUMIF(Pivot!$A$45:$A$84,B13,Pivot!$B$45:$B$84)/118%</f>
        <v>0</v>
      </c>
      <c r="E13" s="33" t="n">
        <f aca="false">SUMIF(Pivot!$A$45:$A$84,B13,Pivot!$C$45:$C$84)/118%</f>
        <v>0</v>
      </c>
      <c r="F13" s="33" t="n">
        <f aca="false">SUMIF(Pivot!$A$45:$A$84,B13,Pivot!$D$45:$D$84)/118%</f>
        <v>0</v>
      </c>
      <c r="G13" s="33" t="n">
        <f aca="false">SUMIF(Pivot!$A$45:$A$84,B13,Pivot!$E$45:$E$84)/118%</f>
        <v>1189.9985140469</v>
      </c>
      <c r="H13" s="33" t="n">
        <f aca="false">SUMIF(Pivot!$A$45:$A$84,B13,Pivot!$F$45:$F$84)/118%</f>
        <v>4098.88377060599</v>
      </c>
      <c r="I13" s="33" t="n">
        <f aca="false">SUMIF(Pivot!$A$45:$A$84,B13,Pivot!$G$45:$G$84)/118%</f>
        <v>3966.66171348967</v>
      </c>
      <c r="J13" s="33" t="n">
        <f aca="false">SUMIF(Pivot!$A$45:$H$84,B13,Pivot!$H$45:$H$84)/118%</f>
        <v>4098.88377060599</v>
      </c>
      <c r="K13" s="31" t="n">
        <f aca="false">SUM(D13:J13)</f>
        <v>13354.4277687485</v>
      </c>
    </row>
    <row r="14" customFormat="false" ht="6" hidden="false" customHeight="true" outlineLevel="0" collapsed="false">
      <c r="A14" s="5"/>
      <c r="B14" s="16"/>
      <c r="C14" s="30"/>
      <c r="D14" s="33" t="n">
        <f aca="false">SUMIF(Pivot!$A$45:$A$84,B14,Pivot!$B$45:$B$84)/118%</f>
        <v>0</v>
      </c>
      <c r="E14" s="33" t="n">
        <f aca="false">SUMIF(Pivot!$A$45:$A$84,B14,Pivot!$C$45:$C$84)/118%</f>
        <v>0</v>
      </c>
      <c r="F14" s="33" t="n">
        <f aca="false">SUMIF(Pivot!$A$45:$A$84,B14,Pivot!$D$45:$D$84)/118%</f>
        <v>0</v>
      </c>
      <c r="G14" s="33" t="n">
        <f aca="false">SUMIF(Pivot!$A$45:$A$84,B14,Pivot!$E$45:$E$84)/118%</f>
        <v>0</v>
      </c>
      <c r="H14" s="33" t="n">
        <f aca="false">SUMIF(Pivot!$A$45:$A$84,B14,Pivot!$F$45:$F$84)/118%</f>
        <v>0</v>
      </c>
      <c r="I14" s="33" t="n">
        <f aca="false">SUMIF(Pivot!$A$45:$A$84,B14,Pivot!$G$45:$G$84)/118%</f>
        <v>0</v>
      </c>
      <c r="J14" s="33" t="n">
        <f aca="false">SUMIF(Pivot!$A$45:$H$84,B14,Pivot!$H$45:$H$84)/118%</f>
        <v>0</v>
      </c>
      <c r="K14" s="31" t="n">
        <f aca="false">SUM(D14:J14)</f>
        <v>0</v>
      </c>
    </row>
    <row r="15" customFormat="false" ht="12.75" hidden="false" customHeight="true" outlineLevel="0" collapsed="false">
      <c r="A15" s="5"/>
      <c r="B15" s="13" t="s">
        <v>12</v>
      </c>
      <c r="C15" s="30"/>
      <c r="D15" s="33" t="n">
        <f aca="false">SUMIF(Pivot!$A$45:$A$84,B15,Pivot!$B$45:$B$84)/118%</f>
        <v>0</v>
      </c>
      <c r="E15" s="33" t="n">
        <f aca="false">SUMIF(Pivot!$A$45:$A$84,B15,Pivot!$C$45:$C$84)/118%</f>
        <v>0</v>
      </c>
      <c r="F15" s="33" t="n">
        <f aca="false">SUMIF(Pivot!$A$45:$A$84,B15,Pivot!$D$45:$D$84)/118%</f>
        <v>0</v>
      </c>
      <c r="G15" s="33" t="n">
        <f aca="false">SUMIF(Pivot!$A$45:$A$84,B15,Pivot!$E$45:$E$84)/118%</f>
        <v>0</v>
      </c>
      <c r="H15" s="33" t="n">
        <f aca="false">SUMIF(Pivot!$A$45:$A$84,B15,Pivot!$F$45:$F$84)/118%</f>
        <v>0</v>
      </c>
      <c r="I15" s="33" t="n">
        <f aca="false">SUMIF(Pivot!$A$45:$A$84,B15,Pivot!$G$45:$G$84)/118%</f>
        <v>0</v>
      </c>
      <c r="J15" s="33" t="n">
        <f aca="false">SUMIF(Pivot!$A$45:$H$84,B15,Pivot!$H$45:$H$84)/118%</f>
        <v>0</v>
      </c>
      <c r="K15" s="31" t="n">
        <f aca="false">SUM(D15:J15)</f>
        <v>0</v>
      </c>
    </row>
    <row r="16" customFormat="false" ht="12.75" hidden="false" customHeight="true" outlineLevel="0" collapsed="false">
      <c r="A16" s="5"/>
      <c r="B16" s="16" t="s">
        <v>13</v>
      </c>
      <c r="C16" s="30"/>
      <c r="D16" s="33" t="n">
        <f aca="false">SUMIF(Pivot!$A$45:$A$84,B16,Pivot!$B$45:$B$84)/118%</f>
        <v>0</v>
      </c>
      <c r="E16" s="33" t="n">
        <f aca="false">SUMIF(Pivot!$A$45:$A$84,B16,Pivot!$C$45:$C$84)/118%</f>
        <v>0</v>
      </c>
      <c r="F16" s="33" t="n">
        <f aca="false">SUMIF(Pivot!$A$45:$A$84,B16,Pivot!$D$45:$D$84)/118%</f>
        <v>0</v>
      </c>
      <c r="G16" s="33" t="n">
        <f aca="false">SUMIF(Pivot!$A$45:$A$84,B16,Pivot!$E$45:$E$84)/118%</f>
        <v>8000</v>
      </c>
      <c r="H16" s="33" t="n">
        <f aca="false">SUMIF(Pivot!$A$45:$A$84,B16,Pivot!$F$45:$F$84)/118%</f>
        <v>0</v>
      </c>
      <c r="I16" s="33" t="n">
        <f aca="false">SUMIF(Pivot!$A$45:$A$84,B16,Pivot!$G$45:$G$84)/118%</f>
        <v>0</v>
      </c>
      <c r="J16" s="33" t="n">
        <f aca="false">SUMIF(Pivot!$A$45:$H$84,B16,Pivot!$H$45:$H$84)/118%</f>
        <v>0</v>
      </c>
      <c r="K16" s="31" t="n">
        <f aca="false">SUM(D16:J16)</f>
        <v>8000</v>
      </c>
    </row>
    <row r="17" customFormat="false" ht="12.75" hidden="false" customHeight="true" outlineLevel="0" collapsed="false">
      <c r="A17" s="5"/>
      <c r="B17" s="16" t="s">
        <v>14</v>
      </c>
      <c r="C17" s="30"/>
      <c r="D17" s="33" t="n">
        <f aca="false">SUMIF(Pivot!$A$45:$A$84,B17,Pivot!$B$45:$B$84)/118%</f>
        <v>0</v>
      </c>
      <c r="E17" s="33" t="n">
        <f aca="false">SUMIF(Pivot!$A$45:$A$84,B17,Pivot!$C$45:$C$84)/118%</f>
        <v>0</v>
      </c>
      <c r="F17" s="33" t="n">
        <f aca="false">SUMIF(Pivot!$A$45:$A$84,B17,Pivot!$D$45:$D$84)/118%</f>
        <v>0</v>
      </c>
      <c r="G17" s="33" t="n">
        <f aca="false">SUMIF(Pivot!$A$45:$A$84,B17,Pivot!$E$45:$E$84)/118%</f>
        <v>0</v>
      </c>
      <c r="H17" s="33" t="n">
        <f aca="false">SUMIF(Pivot!$A$45:$A$84,B17,Pivot!$F$45:$F$84)/118%</f>
        <v>3483.89830508475</v>
      </c>
      <c r="I17" s="33" t="n">
        <f aca="false">SUMIF(Pivot!$A$45:$A$84,B17,Pivot!$G$45:$G$84)/118%</f>
        <v>0</v>
      </c>
      <c r="J17" s="33" t="n">
        <f aca="false">SUMIF(Pivot!$A$45:$H$84,B17,Pivot!$H$45:$H$84)/118%</f>
        <v>0</v>
      </c>
      <c r="K17" s="31" t="n">
        <f aca="false">SUM(D17:J17)</f>
        <v>3483.89830508475</v>
      </c>
    </row>
    <row r="18" customFormat="false" ht="12.75" hidden="false" customHeight="true" outlineLevel="0" collapsed="false">
      <c r="A18" s="5"/>
      <c r="B18" s="16" t="s">
        <v>15</v>
      </c>
      <c r="C18" s="30"/>
      <c r="D18" s="33" t="n">
        <f aca="false">SUMIF(Pivot!$A$45:$A$84,B18,Pivot!$B$45:$B$84)/118%</f>
        <v>0</v>
      </c>
      <c r="E18" s="33" t="n">
        <f aca="false">SUMIF(Pivot!$A$45:$A$84,B18,Pivot!$C$45:$C$84)/118%</f>
        <v>0</v>
      </c>
      <c r="F18" s="33" t="n">
        <f aca="false">SUMIF(Pivot!$A$45:$A$84,B18,Pivot!$D$45:$D$84)/118%</f>
        <v>0</v>
      </c>
      <c r="G18" s="33" t="n">
        <f aca="false">SUMIF(Pivot!$A$45:$A$84,B18,Pivot!$E$45:$E$84)/118%</f>
        <v>0</v>
      </c>
      <c r="H18" s="33" t="n">
        <f aca="false">SUMIF(Pivot!$A$45:$A$84,B18,Pivot!$F$45:$F$84)/118%</f>
        <v>0</v>
      </c>
      <c r="I18" s="33" t="n">
        <f aca="false">SUMIF(Pivot!$A$45:$A$84,B18,Pivot!$G$45:$G$84)/118%</f>
        <v>4000</v>
      </c>
      <c r="J18" s="33" t="n">
        <f aca="false">SUMIF(Pivot!$A$45:$H$84,B18,Pivot!$H$45:$H$84)/118%</f>
        <v>0</v>
      </c>
      <c r="K18" s="31" t="n">
        <f aca="false">SUM(D18:J18)</f>
        <v>4000</v>
      </c>
    </row>
    <row r="19" customFormat="false" ht="12.75" hidden="false" customHeight="true" outlineLevel="0" collapsed="false">
      <c r="A19" s="5"/>
      <c r="B19" s="16" t="s">
        <v>16</v>
      </c>
      <c r="C19" s="30"/>
      <c r="D19" s="33" t="n">
        <f aca="false">SUMIF(Pivot!$A$45:$A$84,B19,Pivot!$B$45:$B$84)/118%</f>
        <v>0</v>
      </c>
      <c r="E19" s="33" t="n">
        <f aca="false">SUMIF(Pivot!$A$45:$A$84,B19,Pivot!$C$45:$C$84)/118%</f>
        <v>0</v>
      </c>
      <c r="F19" s="33" t="n">
        <f aca="false">SUMIF(Pivot!$A$45:$A$84,B19,Pivot!$D$45:$D$84)/118%</f>
        <v>0</v>
      </c>
      <c r="G19" s="33" t="n">
        <f aca="false">SUMIF(Pivot!$A$45:$A$84,B19,Pivot!$E$45:$E$84)/118%</f>
        <v>0</v>
      </c>
      <c r="H19" s="33" t="n">
        <f aca="false">SUMIF(Pivot!$A$45:$A$84,B19,Pivot!$F$45:$F$84)/118%</f>
        <v>0</v>
      </c>
      <c r="I19" s="33" t="n">
        <f aca="false">SUMIF(Pivot!$A$45:$A$84,B19,Pivot!$G$45:$G$84)/118%</f>
        <v>0</v>
      </c>
      <c r="J19" s="33" t="n">
        <f aca="false">SUMIF(Pivot!$A$45:$H$84,B19,Pivot!$H$45:$H$84)/118%</f>
        <v>0</v>
      </c>
      <c r="K19" s="31" t="n">
        <f aca="false">SUM(D19:J19)</f>
        <v>0</v>
      </c>
    </row>
    <row r="20" customFormat="false" ht="12.75" hidden="false" customHeight="true" outlineLevel="0" collapsed="false">
      <c r="A20" s="5"/>
      <c r="B20" s="16" t="s">
        <v>17</v>
      </c>
      <c r="C20" s="30"/>
      <c r="D20" s="33" t="n">
        <f aca="false">SUMIF(Pivot!$A$45:$A$84,B20,Pivot!$B$45:$B$84)/118%</f>
        <v>0</v>
      </c>
      <c r="E20" s="33" t="n">
        <f aca="false">SUMIF(Pivot!$A$45:$A$84,B20,Pivot!$C$45:$C$84)/118%</f>
        <v>0</v>
      </c>
      <c r="F20" s="33" t="n">
        <f aca="false">SUMIF(Pivot!$A$45:$A$84,B20,Pivot!$D$45:$D$84)/118%</f>
        <v>0</v>
      </c>
      <c r="G20" s="33" t="n">
        <f aca="false">SUMIF(Pivot!$A$45:$A$84,B20,Pivot!$E$45:$E$84)/118%</f>
        <v>7687.22666666667</v>
      </c>
      <c r="H20" s="33" t="n">
        <f aca="false">SUMIF(Pivot!$A$45:$A$84,B20,Pivot!$F$45:$F$84)/118%</f>
        <v>37937.4967231638</v>
      </c>
      <c r="I20" s="33" t="n">
        <f aca="false">SUMIF(Pivot!$A$45:$A$84,B20,Pivot!$G$45:$G$84)/118%</f>
        <v>0</v>
      </c>
      <c r="J20" s="33" t="n">
        <f aca="false">SUMIF(Pivot!$A$45:$H$84,B20,Pivot!$H$45:$H$84)/118%</f>
        <v>0</v>
      </c>
      <c r="K20" s="31" t="n">
        <f aca="false">SUM(D20:J20)</f>
        <v>45624.7233898305</v>
      </c>
    </row>
    <row r="21" customFormat="false" ht="12.75" hidden="false" customHeight="true" outlineLevel="0" collapsed="false">
      <c r="A21" s="5"/>
      <c r="B21" s="16" t="s">
        <v>18</v>
      </c>
      <c r="C21" s="30"/>
      <c r="D21" s="33" t="n">
        <f aca="false">SUMIF(Pivot!$A$45:$A$84,B21,Pivot!$B$45:$B$84)/118%</f>
        <v>0</v>
      </c>
      <c r="E21" s="33" t="n">
        <f aca="false">SUMIF(Pivot!$A$45:$A$84,B21,Pivot!$C$45:$C$84)/118%</f>
        <v>0</v>
      </c>
      <c r="F21" s="33" t="n">
        <f aca="false">SUMIF(Pivot!$A$45:$A$84,B21,Pivot!$D$45:$D$84)/118%</f>
        <v>3947.36842105263</v>
      </c>
      <c r="G21" s="33" t="n">
        <f aca="false">SUMIF(Pivot!$A$45:$A$84,B21,Pivot!$E$45:$E$84)/118%</f>
        <v>2302.63157894737</v>
      </c>
      <c r="H21" s="33" t="n">
        <f aca="false">SUMIF(Pivot!$A$45:$A$84,B21,Pivot!$F$45:$F$84)/118%</f>
        <v>0</v>
      </c>
      <c r="I21" s="33" t="n">
        <f aca="false">SUMIF(Pivot!$A$45:$A$84,B21,Pivot!$G$45:$G$84)/118%</f>
        <v>0</v>
      </c>
      <c r="J21" s="33" t="n">
        <f aca="false">SUMIF(Pivot!$A$45:$H$84,B21,Pivot!$H$45:$H$84)/118%</f>
        <v>0</v>
      </c>
      <c r="K21" s="31" t="n">
        <f aca="false">SUM(D21:J21)</f>
        <v>6250</v>
      </c>
    </row>
    <row r="22" customFormat="false" ht="12.75" hidden="false" customHeight="true" outlineLevel="0" collapsed="false">
      <c r="A22" s="5"/>
      <c r="B22" s="16" t="s">
        <v>19</v>
      </c>
      <c r="C22" s="30"/>
      <c r="D22" s="33" t="n">
        <f aca="false">SUMIF(Pivot!$A$45:$A$84,B22,Pivot!$B$45:$B$84)/118%</f>
        <v>211039.606218003</v>
      </c>
      <c r="E22" s="33" t="n">
        <f aca="false">SUMIF(Pivot!$A$45:$A$84,B22,Pivot!$C$45:$C$84)/118%</f>
        <v>251536.220736617</v>
      </c>
      <c r="F22" s="33" t="n">
        <f aca="false">SUMIF(Pivot!$A$45:$A$84,B22,Pivot!$D$45:$D$84)/118%</f>
        <v>300929.683798068</v>
      </c>
      <c r="G22" s="33" t="n">
        <f aca="false">SUMIF(Pivot!$A$45:$A$84,B22,Pivot!$E$45:$E$84)/118%</f>
        <v>378916.6347731</v>
      </c>
      <c r="H22" s="33" t="n">
        <f aca="false">SUMIF(Pivot!$A$45:$A$84,B22,Pivot!$F$45:$F$84)/118%</f>
        <v>189317.77382905</v>
      </c>
      <c r="I22" s="33" t="n">
        <f aca="false">SUMIF(Pivot!$A$45:$A$84,B22,Pivot!$G$45:$G$84)/118%</f>
        <v>109793.588992163</v>
      </c>
      <c r="J22" s="33" t="n">
        <f aca="false">SUMIF(Pivot!$A$45:$H$84,B22,Pivot!$H$45:$H$84)/118%</f>
        <v>178266.072708219</v>
      </c>
      <c r="K22" s="31" t="n">
        <f aca="false">SUM(D22:J22)</f>
        <v>1619799.58105522</v>
      </c>
    </row>
    <row r="23" customFormat="false" ht="12.75" hidden="false" customHeight="true" outlineLevel="0" collapsed="false">
      <c r="A23" s="5"/>
      <c r="B23" s="16" t="s">
        <v>20</v>
      </c>
      <c r="C23" s="30"/>
      <c r="D23" s="33" t="n">
        <f aca="false">SUMIF(Pivot!$A$45:$A$84,B23,Pivot!$B$45:$B$84)/118%</f>
        <v>39185.6160761502</v>
      </c>
      <c r="E23" s="33" t="n">
        <f aca="false">SUMIF(Pivot!$A$45:$A$84,B23,Pivot!$C$45:$C$84)/118%</f>
        <v>33395.0290851401</v>
      </c>
      <c r="F23" s="33" t="n">
        <f aca="false">SUMIF(Pivot!$A$45:$A$84,B23,Pivot!$D$45:$D$84)/118%</f>
        <v>8852.45901639344</v>
      </c>
      <c r="G23" s="33" t="n">
        <f aca="false">SUMIF(Pivot!$A$45:$A$84,B23,Pivot!$E$45:$E$84)/118%</f>
        <v>9147.54098360656</v>
      </c>
      <c r="H23" s="33" t="n">
        <f aca="false">SUMIF(Pivot!$A$45:$A$84,B23,Pivot!$F$45:$F$84)/118%</f>
        <v>95681.5737704918</v>
      </c>
      <c r="I23" s="33" t="n">
        <f aca="false">SUMIF(Pivot!$A$45:$A$84,B23,Pivot!$G$45:$G$84)/118%</f>
        <v>168849.836065574</v>
      </c>
      <c r="J23" s="33" t="n">
        <f aca="false">SUMIF(Pivot!$A$45:$H$84,B23,Pivot!$H$45:$H$84)/118%</f>
        <v>78796.5901639344</v>
      </c>
      <c r="K23" s="31" t="n">
        <f aca="false">SUM(D23:J23)</f>
        <v>433908.64516129</v>
      </c>
    </row>
    <row r="24" customFormat="false" ht="12.75" hidden="false" customHeight="true" outlineLevel="0" collapsed="false">
      <c r="A24" s="5"/>
      <c r="B24" s="16" t="s">
        <v>21</v>
      </c>
      <c r="C24" s="30"/>
      <c r="D24" s="33" t="n">
        <f aca="false">SUMIF(Pivot!$A$45:$A$84,B24,Pivot!$B$45:$B$84)/118%</f>
        <v>64638.8154415653</v>
      </c>
      <c r="E24" s="33" t="n">
        <f aca="false">SUMIF(Pivot!$A$45:$A$84,B24,Pivot!$C$45:$C$84)/118%</f>
        <v>113771.813855103</v>
      </c>
      <c r="F24" s="33" t="n">
        <f aca="false">SUMIF(Pivot!$A$45:$A$84,B24,Pivot!$D$45:$D$84)/118%</f>
        <v>91831.3061872025</v>
      </c>
      <c r="G24" s="33" t="n">
        <f aca="false">SUMIF(Pivot!$A$45:$A$84,B24,Pivot!$E$45:$E$84)/118%</f>
        <v>42532.2580645161</v>
      </c>
      <c r="H24" s="33" t="n">
        <f aca="false">SUMIF(Pivot!$A$45:$A$84,B24,Pivot!$F$45:$F$84)/118%</f>
        <v>10000</v>
      </c>
      <c r="I24" s="33" t="n">
        <f aca="false">SUMIF(Pivot!$A$45:$A$84,B24,Pivot!$G$45:$G$84)/118%</f>
        <v>6774.1935483871</v>
      </c>
      <c r="J24" s="33" t="n">
        <f aca="false">SUMIF(Pivot!$A$45:$H$84,B24,Pivot!$H$45:$H$84)/118%</f>
        <v>0</v>
      </c>
      <c r="K24" s="31" t="n">
        <f aca="false">SUM(D24:J24)</f>
        <v>329548.387096774</v>
      </c>
    </row>
    <row r="25" customFormat="false" ht="12.75" hidden="false" customHeight="true" outlineLevel="0" collapsed="false">
      <c r="A25" s="5"/>
      <c r="B25" s="16" t="s">
        <v>22</v>
      </c>
      <c r="C25" s="30"/>
      <c r="D25" s="33" t="n">
        <f aca="false">SUMIF(Pivot!$A$45:$A$84,B25,Pivot!$B$45:$B$84)/118%</f>
        <v>0</v>
      </c>
      <c r="E25" s="33" t="n">
        <f aca="false">SUMIF(Pivot!$A$45:$A$84,B25,Pivot!$C$45:$C$84)/118%</f>
        <v>0</v>
      </c>
      <c r="F25" s="33" t="n">
        <f aca="false">SUMIF(Pivot!$A$45:$A$84,B25,Pivot!$D$45:$D$84)/118%</f>
        <v>0</v>
      </c>
      <c r="G25" s="33" t="n">
        <f aca="false">SUMIF(Pivot!$A$45:$A$84,B25,Pivot!$E$45:$E$84)/118%</f>
        <v>0</v>
      </c>
      <c r="H25" s="33" t="n">
        <f aca="false">SUMIF(Pivot!$A$45:$A$84,B25,Pivot!$F$45:$F$84)/118%</f>
        <v>0</v>
      </c>
      <c r="I25" s="33" t="n">
        <f aca="false">SUMIF(Pivot!$A$45:$A$84,B25,Pivot!$G$45:$G$84)/118%</f>
        <v>0</v>
      </c>
      <c r="J25" s="33" t="n">
        <f aca="false">SUMIF(Pivot!$A$45:$H$84,B25,Pivot!$H$45:$H$84)/118%</f>
        <v>4350.75053712103</v>
      </c>
      <c r="K25" s="31" t="n">
        <f aca="false">SUM(D25:J25)</f>
        <v>4350.75053712103</v>
      </c>
    </row>
    <row r="26" customFormat="false" ht="12.75" hidden="false" customHeight="true" outlineLevel="0" collapsed="false">
      <c r="A26" s="5"/>
      <c r="B26" s="16" t="s">
        <v>23</v>
      </c>
      <c r="C26" s="30"/>
      <c r="D26" s="33" t="n">
        <f aca="false">SUMIF(Pivot!$A$45:$A$84,B26,Pivot!$B$45:$B$84)/118%</f>
        <v>99487.800335258</v>
      </c>
      <c r="E26" s="33" t="n">
        <f aca="false">SUMIF(Pivot!$A$45:$A$84,B26,Pivot!$C$45:$C$84)/118%</f>
        <v>153296.703296703</v>
      </c>
      <c r="F26" s="33" t="n">
        <f aca="false">SUMIF(Pivot!$A$45:$A$84,B26,Pivot!$D$45:$D$84)/118%</f>
        <v>148351.648351648</v>
      </c>
      <c r="G26" s="33" t="n">
        <f aca="false">SUMIF(Pivot!$A$45:$A$84,B26,Pivot!$E$45:$E$84)/118%</f>
        <v>69230.7692307692</v>
      </c>
      <c r="H26" s="33" t="n">
        <f aca="false">SUMIF(Pivot!$A$45:$A$84,B26,Pivot!$F$45:$F$84)/118%</f>
        <v>0</v>
      </c>
      <c r="I26" s="33" t="n">
        <f aca="false">SUMIF(Pivot!$A$45:$A$84,B26,Pivot!$G$45:$G$84)/118%</f>
        <v>0</v>
      </c>
      <c r="J26" s="33" t="n">
        <f aca="false">SUMIF(Pivot!$A$45:$H$84,B26,Pivot!$H$45:$H$84)/118%</f>
        <v>0</v>
      </c>
      <c r="K26" s="31" t="n">
        <f aca="false">SUM(D26:J26)</f>
        <v>470366.921214379</v>
      </c>
    </row>
    <row r="27" customFormat="false" ht="12.75" hidden="false" customHeight="true" outlineLevel="0" collapsed="false">
      <c r="A27" s="5"/>
      <c r="B27" s="16" t="s">
        <v>24</v>
      </c>
      <c r="C27" s="30"/>
      <c r="D27" s="33" t="n">
        <f aca="false">SUMIF(Pivot!$A$45:$A$84,B27,Pivot!$B$45:$B$84)/118%</f>
        <v>133422.957137613</v>
      </c>
      <c r="E27" s="33" t="n">
        <f aca="false">SUMIF(Pivot!$A$45:$A$84,B27,Pivot!$C$45:$C$84)/118%</f>
        <v>169045.18205615</v>
      </c>
      <c r="F27" s="33" t="n">
        <f aca="false">SUMIF(Pivot!$A$45:$A$84,B27,Pivot!$D$45:$D$84)/118%</f>
        <v>130540.47451645</v>
      </c>
      <c r="G27" s="33" t="n">
        <f aca="false">SUMIF(Pivot!$A$45:$A$84,B27,Pivot!$E$45:$E$84)/118%</f>
        <v>81279.0967200326</v>
      </c>
      <c r="H27" s="33" t="n">
        <f aca="false">SUMIF(Pivot!$A$45:$A$84,B27,Pivot!$F$45:$F$84)/118%</f>
        <v>40722.2941973519</v>
      </c>
      <c r="I27" s="33" t="n">
        <f aca="false">SUMIF(Pivot!$A$45:$A$84,B27,Pivot!$G$45:$G$84)/118%</f>
        <v>35478.2608695652</v>
      </c>
      <c r="J27" s="33" t="n">
        <f aca="false">SUMIF(Pivot!$A$45:$H$84,B27,Pivot!$H$45:$H$84)/118%</f>
        <v>20891.3043478261</v>
      </c>
      <c r="K27" s="31" t="n">
        <f aca="false">SUM(D27:J27)</f>
        <v>611379.569844989</v>
      </c>
    </row>
    <row r="28" customFormat="false" ht="12.75" hidden="false" customHeight="true" outlineLevel="0" collapsed="false">
      <c r="A28" s="5"/>
      <c r="B28" s="16" t="s">
        <v>25</v>
      </c>
      <c r="C28" s="30"/>
      <c r="D28" s="33" t="n">
        <f aca="false">SUMIF(Pivot!$A$45:$A$84,B28,Pivot!$B$45:$B$84)/118%</f>
        <v>6885.24590163935</v>
      </c>
      <c r="E28" s="33" t="n">
        <f aca="false">SUMIF(Pivot!$A$45:$A$84,B28,Pivot!$C$45:$C$84)/118%</f>
        <v>10163.9344262295</v>
      </c>
      <c r="F28" s="33" t="n">
        <f aca="false">SUMIF(Pivot!$A$45:$A$84,B28,Pivot!$D$45:$D$84)/118%</f>
        <v>9836.06557377049</v>
      </c>
      <c r="G28" s="33" t="n">
        <f aca="false">SUMIF(Pivot!$A$45:$A$84,B28,Pivot!$E$45:$E$84)/118%</f>
        <v>10163.9344262295</v>
      </c>
      <c r="H28" s="33" t="n">
        <f aca="false">SUMIF(Pivot!$A$45:$A$84,B28,Pivot!$F$45:$F$84)/118%</f>
        <v>2950.81967213115</v>
      </c>
      <c r="I28" s="33" t="n">
        <f aca="false">SUMIF(Pivot!$A$45:$A$84,B28,Pivot!$G$45:$G$84)/118%</f>
        <v>0</v>
      </c>
      <c r="J28" s="33" t="n">
        <f aca="false">SUMIF(Pivot!$A$45:$H$84,B28,Pivot!$H$45:$H$84)/118%</f>
        <v>0</v>
      </c>
      <c r="K28" s="31" t="n">
        <f aca="false">SUM(D28:J28)</f>
        <v>40000</v>
      </c>
    </row>
    <row r="29" customFormat="false" ht="12.75" hidden="false" customHeight="true" outlineLevel="0" collapsed="false">
      <c r="A29" s="5"/>
      <c r="B29" s="16" t="s">
        <v>26</v>
      </c>
      <c r="C29" s="30"/>
      <c r="D29" s="33" t="n">
        <f aca="false">SUMIF(Pivot!$A$45:$A$84,B29,Pivot!$B$45:$B$84)/118%</f>
        <v>0</v>
      </c>
      <c r="E29" s="33" t="n">
        <f aca="false">SUMIF(Pivot!$A$45:$A$84,B29,Pivot!$C$45:$C$84)/118%</f>
        <v>0</v>
      </c>
      <c r="F29" s="33" t="n">
        <f aca="false">SUMIF(Pivot!$A$45:$A$84,B29,Pivot!$D$45:$D$84)/118%</f>
        <v>0</v>
      </c>
      <c r="G29" s="33" t="n">
        <f aca="false">SUMIF(Pivot!$A$45:$A$84,B29,Pivot!$E$45:$E$84)/118%</f>
        <v>0</v>
      </c>
      <c r="H29" s="33" t="n">
        <f aca="false">SUMIF(Pivot!$A$45:$A$84,B29,Pivot!$F$45:$F$84)/118%</f>
        <v>0</v>
      </c>
      <c r="I29" s="33" t="n">
        <f aca="false">SUMIF(Pivot!$A$45:$A$84,B29,Pivot!$G$45:$G$84)/118%</f>
        <v>0</v>
      </c>
      <c r="J29" s="33" t="n">
        <f aca="false">SUMIF(Pivot!$A$45:$H$84,B29,Pivot!$H$45:$H$84)/118%</f>
        <v>0</v>
      </c>
      <c r="K29" s="31" t="n">
        <f aca="false">SUM(D29:J29)</f>
        <v>0</v>
      </c>
    </row>
    <row r="30" customFormat="false" ht="12.75" hidden="false" customHeight="true" outlineLevel="0" collapsed="false">
      <c r="A30" s="5"/>
      <c r="B30" s="16" t="s">
        <v>27</v>
      </c>
      <c r="C30" s="30"/>
      <c r="D30" s="33" t="n">
        <f aca="false">SUMIF(Pivot!$A$45:$A$84,B30,Pivot!$B$45:$B$84)/118%</f>
        <v>0</v>
      </c>
      <c r="E30" s="33" t="n">
        <f aca="false">SUMIF(Pivot!$A$45:$A$84,B30,Pivot!$C$45:$C$84)/118%</f>
        <v>0</v>
      </c>
      <c r="F30" s="33" t="n">
        <f aca="false">SUMIF(Pivot!$A$45:$A$84,B30,Pivot!$D$45:$D$84)/118%</f>
        <v>0</v>
      </c>
      <c r="G30" s="33" t="n">
        <f aca="false">SUMIF(Pivot!$A$45:$A$84,B30,Pivot!$E$45:$E$84)/118%</f>
        <v>0</v>
      </c>
      <c r="H30" s="33" t="n">
        <f aca="false">SUMIF(Pivot!$A$45:$A$84,B30,Pivot!$F$45:$F$84)/118%</f>
        <v>0</v>
      </c>
      <c r="I30" s="33" t="n">
        <f aca="false">SUMIF(Pivot!$A$45:$A$84,B30,Pivot!$G$45:$G$84)/118%</f>
        <v>3431.37254901961</v>
      </c>
      <c r="J30" s="33" t="n">
        <f aca="false">SUMIF(Pivot!$A$45:$H$84,B30,Pivot!$H$45:$H$84)/118%</f>
        <v>3545.75163398693</v>
      </c>
      <c r="K30" s="31" t="n">
        <f aca="false">SUM(D30:J30)</f>
        <v>6977.12418300654</v>
      </c>
    </row>
    <row r="31" customFormat="false" ht="12.75" hidden="false" customHeight="true" outlineLevel="0" collapsed="false">
      <c r="A31" s="5"/>
      <c r="B31" s="16" t="s">
        <v>28</v>
      </c>
      <c r="C31" s="30"/>
      <c r="D31" s="33" t="n">
        <f aca="false">SUMIF(Pivot!$A$45:$A$84,B31,Pivot!$B$45:$B$84)/118%</f>
        <v>4891.30434782609</v>
      </c>
      <c r="E31" s="33" t="n">
        <f aca="false">SUMIF(Pivot!$A$45:$A$84,B31,Pivot!$C$45:$C$84)/118%</f>
        <v>5054.34782608696</v>
      </c>
      <c r="F31" s="33" t="n">
        <f aca="false">SUMIF(Pivot!$A$45:$A$84,B31,Pivot!$D$45:$D$84)/118%</f>
        <v>4891.30434782609</v>
      </c>
      <c r="G31" s="33" t="n">
        <f aca="false">SUMIF(Pivot!$A$45:$A$84,B31,Pivot!$E$45:$E$84)/118%</f>
        <v>5054.34782608696</v>
      </c>
      <c r="H31" s="33" t="n">
        <f aca="false">SUMIF(Pivot!$A$45:$A$84,B31,Pivot!$F$45:$F$84)/118%</f>
        <v>5054.34782608696</v>
      </c>
      <c r="I31" s="33" t="n">
        <f aca="false">SUMIF(Pivot!$A$45:$A$84,B31,Pivot!$G$45:$G$84)/118%</f>
        <v>1630.4347826087</v>
      </c>
      <c r="J31" s="33" t="n">
        <f aca="false">SUMIF(Pivot!$A$45:$H$84,B31,Pivot!$H$45:$H$84)/118%</f>
        <v>85583.6043956044</v>
      </c>
      <c r="K31" s="31" t="n">
        <f aca="false">SUM(D31:J31)</f>
        <v>112159.691352126</v>
      </c>
    </row>
    <row r="32" customFormat="false" ht="12.75" hidden="false" customHeight="true" outlineLevel="0" collapsed="false">
      <c r="A32" s="5"/>
      <c r="B32" s="16" t="s">
        <v>29</v>
      </c>
      <c r="C32" s="30"/>
      <c r="D32" s="33" t="n">
        <f aca="false">SUMIF(Pivot!$A$45:$A$84,B32,Pivot!$B$45:$B$84)/118%</f>
        <v>188134.846855752</v>
      </c>
      <c r="E32" s="33" t="n">
        <f aca="false">SUMIF(Pivot!$A$45:$A$84,B32,Pivot!$C$45:$C$84)/118%</f>
        <v>218120.452466078</v>
      </c>
      <c r="F32" s="33" t="n">
        <f aca="false">SUMIF(Pivot!$A$45:$A$84,B32,Pivot!$D$45:$D$84)/118%</f>
        <v>228896.289196168</v>
      </c>
      <c r="G32" s="33" t="n">
        <f aca="false">SUMIF(Pivot!$A$45:$A$84,B32,Pivot!$E$45:$E$84)/118%</f>
        <v>364319.434333892</v>
      </c>
      <c r="H32" s="33" t="n">
        <f aca="false">SUMIF(Pivot!$A$45:$A$84,B32,Pivot!$F$45:$F$84)/118%</f>
        <v>421005.107336762</v>
      </c>
      <c r="I32" s="33" t="n">
        <f aca="false">SUMIF(Pivot!$A$45:$A$84,B32,Pivot!$G$45:$G$84)/118%</f>
        <v>469488.786726569</v>
      </c>
      <c r="J32" s="33" t="n">
        <f aca="false">SUMIF(Pivot!$A$45:$H$84,B32,Pivot!$H$45:$H$84)/118%</f>
        <v>464220.872588479</v>
      </c>
      <c r="K32" s="31" t="n">
        <f aca="false">SUM(D32:J32)</f>
        <v>2354185.7895037</v>
      </c>
    </row>
    <row r="33" customFormat="false" ht="12.75" hidden="false" customHeight="true" outlineLevel="0" collapsed="false">
      <c r="A33" s="5"/>
      <c r="B33" s="16" t="s">
        <v>30</v>
      </c>
      <c r="C33" s="30"/>
      <c r="D33" s="33" t="n">
        <f aca="false">SUMIF(Pivot!$A$45:$A$84,B33,Pivot!$B$45:$B$84)/118%</f>
        <v>10169.2121437884</v>
      </c>
      <c r="E33" s="33" t="n">
        <f aca="false">SUMIF(Pivot!$A$45:$A$84,B33,Pivot!$C$45:$C$84)/118%</f>
        <v>10508.1858819147</v>
      </c>
      <c r="F33" s="33" t="n">
        <f aca="false">SUMIF(Pivot!$A$45:$A$84,B33,Pivot!$D$45:$D$84)/118%</f>
        <v>10169.2121437884</v>
      </c>
      <c r="G33" s="33" t="n">
        <f aca="false">SUMIF(Pivot!$A$45:$A$84,B33,Pivot!$E$45:$E$84)/118%</f>
        <v>10508.1858819147</v>
      </c>
      <c r="H33" s="33" t="n">
        <f aca="false">SUMIF(Pivot!$A$45:$A$84,B33,Pivot!$F$45:$F$84)/118%</f>
        <v>677.947476252561</v>
      </c>
      <c r="I33" s="33" t="n">
        <f aca="false">SUMIF(Pivot!$A$45:$A$84,B33,Pivot!$G$45:$G$84)/118%</f>
        <v>0</v>
      </c>
      <c r="J33" s="33" t="n">
        <f aca="false">SUMIF(Pivot!$A$45:$H$84,B33,Pivot!$H$45:$H$84)/118%</f>
        <v>0</v>
      </c>
      <c r="K33" s="31" t="n">
        <f aca="false">SUM(D33:J33)</f>
        <v>42032.7435276588</v>
      </c>
    </row>
    <row r="34" customFormat="false" ht="12.75" hidden="false" customHeight="true" outlineLevel="0" collapsed="false">
      <c r="A34" s="5"/>
      <c r="B34" s="16" t="s">
        <v>31</v>
      </c>
      <c r="C34" s="30"/>
      <c r="D34" s="33" t="n">
        <f aca="false">SUMIF(Pivot!$A$45:$A$84,B34,Pivot!$B$45:$B$84)/118%</f>
        <v>0</v>
      </c>
      <c r="E34" s="33" t="n">
        <f aca="false">SUMIF(Pivot!$A$45:$A$84,B34,Pivot!$C$45:$C$84)/118%</f>
        <v>0</v>
      </c>
      <c r="F34" s="33" t="n">
        <f aca="false">SUMIF(Pivot!$A$45:$A$84,B34,Pivot!$D$45:$D$84)/118%</f>
        <v>0</v>
      </c>
      <c r="G34" s="33" t="n">
        <f aca="false">SUMIF(Pivot!$A$45:$A$84,B34,Pivot!$E$45:$E$84)/118%</f>
        <v>0</v>
      </c>
      <c r="H34" s="33" t="n">
        <f aca="false">SUMIF(Pivot!$A$45:$A$84,B34,Pivot!$F$45:$F$84)/118%</f>
        <v>0</v>
      </c>
      <c r="I34" s="33" t="n">
        <f aca="false">SUMIF(Pivot!$A$45:$A$84,B34,Pivot!$G$45:$G$84)/118%</f>
        <v>0</v>
      </c>
      <c r="J34" s="33" t="n">
        <f aca="false">SUMIF(Pivot!$A$45:$H$84,B34,Pivot!$H$45:$H$84)/118%</f>
        <v>0</v>
      </c>
      <c r="K34" s="31" t="n">
        <f aca="false">SUM(D34:J34)</f>
        <v>0</v>
      </c>
    </row>
    <row r="35" customFormat="false" ht="12.75" hidden="false" customHeight="true" outlineLevel="0" collapsed="false">
      <c r="A35" s="5"/>
      <c r="B35" s="16" t="s">
        <v>32</v>
      </c>
      <c r="C35" s="30"/>
      <c r="D35" s="33" t="n">
        <f aca="false">SUMIF(Pivot!$A$45:$A$84,B35,Pivot!$B$45:$B$84)/118%</f>
        <v>0</v>
      </c>
      <c r="E35" s="33" t="n">
        <f aca="false">SUMIF(Pivot!$A$45:$A$84,B35,Pivot!$C$45:$C$84)/118%</f>
        <v>0</v>
      </c>
      <c r="F35" s="33" t="n">
        <f aca="false">SUMIF(Pivot!$A$45:$A$84,B35,Pivot!$D$45:$D$84)/118%</f>
        <v>0</v>
      </c>
      <c r="G35" s="33" t="n">
        <f aca="false">SUMIF(Pivot!$A$45:$A$84,B35,Pivot!$E$45:$E$84)/118%</f>
        <v>0</v>
      </c>
      <c r="H35" s="33" t="n">
        <f aca="false">SUMIF(Pivot!$A$45:$A$84,B35,Pivot!$F$45:$F$84)/118%</f>
        <v>0</v>
      </c>
      <c r="I35" s="33" t="n">
        <f aca="false">SUMIF(Pivot!$A$45:$A$84,B35,Pivot!$G$45:$G$84)/118%</f>
        <v>116127.457627119</v>
      </c>
      <c r="J35" s="33" t="n">
        <f aca="false">SUMIF(Pivot!$A$45:$H$84,B35,Pivot!$H$45:$H$84)/118%</f>
        <v>149997.966101695</v>
      </c>
      <c r="K35" s="31" t="n">
        <f aca="false">SUM(D35:J35)</f>
        <v>266125.423728814</v>
      </c>
    </row>
    <row r="36" customFormat="false" ht="12.75" hidden="false" customHeight="true" outlineLevel="0" collapsed="false">
      <c r="A36" s="5"/>
      <c r="B36" s="16" t="s">
        <v>33</v>
      </c>
      <c r="C36" s="30"/>
      <c r="D36" s="33" t="n">
        <f aca="false">SUMIF(Pivot!$A$45:$A$84,B36,Pivot!$B$45:$B$84)/118%</f>
        <v>0</v>
      </c>
      <c r="E36" s="33" t="n">
        <f aca="false">SUMIF(Pivot!$A$45:$A$84,B36,Pivot!$C$45:$C$84)/118%</f>
        <v>0</v>
      </c>
      <c r="F36" s="33" t="n">
        <f aca="false">SUMIF(Pivot!$A$45:$A$84,B36,Pivot!$D$45:$D$84)/118%</f>
        <v>0</v>
      </c>
      <c r="G36" s="33" t="n">
        <f aca="false">SUMIF(Pivot!$A$45:$A$84,B36,Pivot!$E$45:$E$84)/118%</f>
        <v>4927.00729927007</v>
      </c>
      <c r="H36" s="33" t="n">
        <f aca="false">SUMIF(Pivot!$A$45:$A$84,B36,Pivot!$F$45:$F$84)/118%</f>
        <v>15273.7226277372</v>
      </c>
      <c r="I36" s="33" t="n">
        <f aca="false">SUMIF(Pivot!$A$45:$A$84,B36,Pivot!$G$45:$G$84)/118%</f>
        <v>14781.0218978102</v>
      </c>
      <c r="J36" s="33" t="n">
        <f aca="false">SUMIF(Pivot!$A$45:$H$84,B36,Pivot!$H$45:$H$84)/118%</f>
        <v>15273.7226277372</v>
      </c>
      <c r="K36" s="31" t="n">
        <f aca="false">SUM(D36:J36)</f>
        <v>50255.4744525547</v>
      </c>
    </row>
    <row r="37" customFormat="false" ht="12.75" hidden="false" customHeight="true" outlineLevel="0" collapsed="false">
      <c r="A37" s="5"/>
      <c r="B37" s="16" t="s">
        <v>34</v>
      </c>
      <c r="C37" s="30"/>
      <c r="D37" s="33" t="n">
        <f aca="false">SUMIF(Pivot!$A$45:$A$84,B37,Pivot!$B$45:$B$84)/118%</f>
        <v>0</v>
      </c>
      <c r="E37" s="33" t="n">
        <f aca="false">SUMIF(Pivot!$A$45:$A$84,B37,Pivot!$C$45:$C$84)/118%</f>
        <v>0</v>
      </c>
      <c r="F37" s="33" t="n">
        <f aca="false">SUMIF(Pivot!$A$45:$A$84,B37,Pivot!$D$45:$D$84)/118%</f>
        <v>0</v>
      </c>
      <c r="G37" s="33" t="n">
        <f aca="false">SUMIF(Pivot!$A$45:$A$84,B37,Pivot!$E$45:$E$84)/118%</f>
        <v>0</v>
      </c>
      <c r="H37" s="33" t="n">
        <f aca="false">SUMIF(Pivot!$A$45:$A$84,B37,Pivot!$F$45:$F$84)/118%</f>
        <v>0</v>
      </c>
      <c r="I37" s="33" t="n">
        <f aca="false">SUMIF(Pivot!$A$45:$A$84,B37,Pivot!$G$45:$G$84)/118%</f>
        <v>0</v>
      </c>
      <c r="J37" s="33" t="n">
        <f aca="false">SUMIF(Pivot!$A$45:$H$84,B37,Pivot!$H$45:$H$84)/118%</f>
        <v>13337.6417350735</v>
      </c>
      <c r="K37" s="31" t="n">
        <f aca="false">SUM(D37:J37)</f>
        <v>13337.6417350735</v>
      </c>
    </row>
    <row r="38" customFormat="false" ht="12.75" hidden="false" customHeight="true" outlineLevel="0" collapsed="false">
      <c r="A38" s="5"/>
      <c r="B38" s="16" t="s">
        <v>35</v>
      </c>
      <c r="C38" s="30"/>
      <c r="D38" s="33" t="n">
        <f aca="false">SUMIF(Pivot!$A$45:$A$84,B38,Pivot!$B$45:$B$84)/118%</f>
        <v>0</v>
      </c>
      <c r="E38" s="33" t="n">
        <f aca="false">SUMIF(Pivot!$A$45:$A$84,B38,Pivot!$C$45:$C$84)/118%</f>
        <v>0</v>
      </c>
      <c r="F38" s="33" t="n">
        <f aca="false">SUMIF(Pivot!$A$45:$A$84,B38,Pivot!$D$45:$D$84)/118%</f>
        <v>0</v>
      </c>
      <c r="G38" s="33" t="n">
        <f aca="false">SUMIF(Pivot!$A$45:$A$84,B38,Pivot!$E$45:$E$84)/118%</f>
        <v>0</v>
      </c>
      <c r="H38" s="33" t="n">
        <f aca="false">SUMIF(Pivot!$A$45:$A$84,B38,Pivot!$F$45:$F$84)/118%</f>
        <v>0</v>
      </c>
      <c r="I38" s="33" t="n">
        <f aca="false">SUMIF(Pivot!$A$45:$A$84,B38,Pivot!$G$45:$G$84)/118%</f>
        <v>0</v>
      </c>
      <c r="J38" s="33" t="n">
        <f aca="false">SUMIF(Pivot!$A$45:$H$84,B38,Pivot!$H$45:$H$84)/118%</f>
        <v>4070.61938845625</v>
      </c>
      <c r="K38" s="31" t="n">
        <f aca="false">SUM(D38:J38)</f>
        <v>4070.61938845625</v>
      </c>
    </row>
    <row r="39" customFormat="false" ht="12.75" hidden="false" customHeight="true" outlineLevel="0" collapsed="false">
      <c r="A39" s="5"/>
      <c r="B39" s="16" t="s">
        <v>36</v>
      </c>
      <c r="C39" s="30"/>
      <c r="D39" s="33" t="n">
        <f aca="false">SUMIF(Pivot!$A$45:$A$84,B39,Pivot!$B$45:$B$84)/118%</f>
        <v>0</v>
      </c>
      <c r="E39" s="33" t="n">
        <f aca="false">SUMIF(Pivot!$A$45:$A$84,B39,Pivot!$C$45:$C$84)/118%</f>
        <v>0</v>
      </c>
      <c r="F39" s="33" t="n">
        <f aca="false">SUMIF(Pivot!$A$45:$A$84,B39,Pivot!$D$45:$D$84)/118%</f>
        <v>0</v>
      </c>
      <c r="G39" s="33" t="n">
        <f aca="false">SUMIF(Pivot!$A$45:$A$84,B39,Pivot!$E$45:$E$84)/118%</f>
        <v>0</v>
      </c>
      <c r="H39" s="33" t="n">
        <f aca="false">SUMIF(Pivot!$A$45:$A$84,B39,Pivot!$F$45:$F$84)/118%</f>
        <v>0</v>
      </c>
      <c r="I39" s="33" t="n">
        <f aca="false">SUMIF(Pivot!$A$45:$A$84,B39,Pivot!$G$45:$G$84)/118%</f>
        <v>0</v>
      </c>
      <c r="J39" s="33" t="n">
        <f aca="false">SUMIF(Pivot!$A$45:$H$84,B39,Pivot!$H$45:$H$84)/118%</f>
        <v>537.459283387622</v>
      </c>
      <c r="K39" s="31" t="n">
        <f aca="false">SUM(D39:J39)</f>
        <v>537.459283387622</v>
      </c>
    </row>
    <row r="40" customFormat="false" ht="12.75" hidden="false" customHeight="true" outlineLevel="0" collapsed="false">
      <c r="A40" s="5"/>
      <c r="B40" s="16" t="s">
        <v>37</v>
      </c>
      <c r="C40" s="30"/>
      <c r="D40" s="33" t="n">
        <f aca="false">SUMIF(Pivot!$A$45:$A$84,B40,Pivot!$B$45:$B$84)/118%</f>
        <v>0</v>
      </c>
      <c r="E40" s="33" t="n">
        <f aca="false">SUMIF(Pivot!$A$45:$A$84,B40,Pivot!$C$45:$C$84)/118%</f>
        <v>0</v>
      </c>
      <c r="F40" s="33" t="n">
        <f aca="false">SUMIF(Pivot!$A$45:$A$84,B40,Pivot!$D$45:$D$84)/118%</f>
        <v>0</v>
      </c>
      <c r="G40" s="33" t="n">
        <f aca="false">SUMIF(Pivot!$A$45:$A$84,B40,Pivot!$E$45:$E$84)/118%</f>
        <v>0</v>
      </c>
      <c r="H40" s="33" t="n">
        <f aca="false">SUMIF(Pivot!$A$45:$A$84,B40,Pivot!$F$45:$F$84)/118%</f>
        <v>0</v>
      </c>
      <c r="I40" s="33" t="n">
        <f aca="false">SUMIF(Pivot!$A$45:$A$84,B40,Pivot!$G$45:$G$84)/118%</f>
        <v>0</v>
      </c>
      <c r="J40" s="33" t="n">
        <f aca="false">SUMIF(Pivot!$A$45:$H$84,B40,Pivot!$H$45:$H$84)/118%</f>
        <v>0</v>
      </c>
      <c r="K40" s="31" t="n">
        <f aca="false">SUM(D40:J40)</f>
        <v>0</v>
      </c>
    </row>
    <row r="41" customFormat="false" ht="12.75" hidden="false" customHeight="true" outlineLevel="0" collapsed="false">
      <c r="A41" s="5"/>
      <c r="B41" s="16" t="s">
        <v>38</v>
      </c>
      <c r="C41" s="30"/>
      <c r="D41" s="33" t="n">
        <f aca="false">SUMIF(Pivot!$A$45:$A$84,B41,Pivot!$B$45:$B$84)/118%</f>
        <v>0</v>
      </c>
      <c r="E41" s="33" t="n">
        <f aca="false">SUMIF(Pivot!$A$45:$A$84,B41,Pivot!$C$45:$C$84)/118%</f>
        <v>0</v>
      </c>
      <c r="F41" s="33" t="n">
        <f aca="false">SUMIF(Pivot!$A$45:$A$84,B41,Pivot!$D$45:$D$84)/118%</f>
        <v>0</v>
      </c>
      <c r="G41" s="33" t="n">
        <f aca="false">SUMIF(Pivot!$A$45:$A$84,B41,Pivot!$E$45:$E$84)/118%</f>
        <v>6107.46268656716</v>
      </c>
      <c r="H41" s="33" t="n">
        <f aca="false">SUMIF(Pivot!$A$45:$A$84,B41,Pivot!$F$45:$F$84)/118%</f>
        <v>6107.46268656716</v>
      </c>
      <c r="I41" s="33" t="n">
        <f aca="false">SUMIF(Pivot!$A$45:$A$84,B41,Pivot!$G$45:$G$84)/118%</f>
        <v>5910.44776119403</v>
      </c>
      <c r="J41" s="33" t="n">
        <f aca="false">SUMIF(Pivot!$A$45:$H$84,B41,Pivot!$H$45:$H$84)/118%</f>
        <v>6107.46268656716</v>
      </c>
      <c r="K41" s="31" t="n">
        <f aca="false">SUM(D41:J41)</f>
        <v>24232.8358208955</v>
      </c>
    </row>
    <row r="42" customFormat="false" ht="12.75" hidden="false" customHeight="true" outlineLevel="0" collapsed="false">
      <c r="A42" s="5"/>
      <c r="B42" s="16" t="s">
        <v>39</v>
      </c>
      <c r="C42" s="30"/>
      <c r="D42" s="33" t="n">
        <f aca="false">SUMIF(Pivot!$A$45:$A$84,B42,Pivot!$B$45:$B$84)/118%</f>
        <v>5748.17518248175</v>
      </c>
      <c r="E42" s="33" t="n">
        <f aca="false">SUMIF(Pivot!$A$45:$A$84,B42,Pivot!$C$45:$C$84)/118%</f>
        <v>5939.78102189781</v>
      </c>
      <c r="F42" s="33" t="n">
        <f aca="false">SUMIF(Pivot!$A$45:$A$84,B42,Pivot!$D$45:$D$84)/118%</f>
        <v>5748.17518248175</v>
      </c>
      <c r="G42" s="33" t="n">
        <f aca="false">SUMIF(Pivot!$A$45:$A$84,B42,Pivot!$E$45:$E$84)/118%</f>
        <v>5939.78102189781</v>
      </c>
      <c r="H42" s="33" t="n">
        <f aca="false">SUMIF(Pivot!$A$45:$A$84,B42,Pivot!$F$45:$F$84)/118%</f>
        <v>5939.78102189781</v>
      </c>
      <c r="I42" s="33" t="n">
        <f aca="false">SUMIF(Pivot!$A$45:$A$84,B42,Pivot!$G$45:$G$84)/118%</f>
        <v>5748.17518248175</v>
      </c>
      <c r="J42" s="33" t="n">
        <f aca="false">SUMIF(Pivot!$A$45:$H$84,B42,Pivot!$H$45:$H$84)/118%</f>
        <v>5939.78102189781</v>
      </c>
      <c r="K42" s="31" t="n">
        <f aca="false">SUM(D42:J42)</f>
        <v>41003.6496350365</v>
      </c>
    </row>
    <row r="43" customFormat="false" ht="12.75" hidden="false" customHeight="true" outlineLevel="0" collapsed="false">
      <c r="A43" s="5"/>
      <c r="B43" s="16" t="s">
        <v>40</v>
      </c>
      <c r="C43" s="30"/>
      <c r="D43" s="33" t="n">
        <f aca="false">SUMIF(Pivot!$A$45:$A$84,B43,Pivot!$B$45:$B$84)/118%</f>
        <v>11044.7346485135</v>
      </c>
      <c r="E43" s="33" t="n">
        <f aca="false">SUMIF(Pivot!$A$45:$A$84,B43,Pivot!$C$45:$C$84)/118%</f>
        <v>11412.8924701306</v>
      </c>
      <c r="F43" s="33" t="n">
        <f aca="false">SUMIF(Pivot!$A$45:$A$84,B43,Pivot!$D$45:$D$84)/118%</f>
        <v>11044.7346485135</v>
      </c>
      <c r="G43" s="33" t="n">
        <f aca="false">SUMIF(Pivot!$A$45:$A$84,B43,Pivot!$E$45:$E$84)/118%</f>
        <v>11412.8924701306</v>
      </c>
      <c r="H43" s="33" t="n">
        <f aca="false">SUMIF(Pivot!$A$45:$A$84,B43,Pivot!$F$45:$F$84)/118%</f>
        <v>11412.8924701306</v>
      </c>
      <c r="I43" s="33" t="n">
        <f aca="false">SUMIF(Pivot!$A$45:$A$84,B43,Pivot!$G$45:$G$84)/118%</f>
        <v>11044.7346485135</v>
      </c>
      <c r="J43" s="33" t="n">
        <f aca="false">SUMIF(Pivot!$A$45:$H$84,B43,Pivot!$H$45:$H$84)/118%</f>
        <v>11412.8924701306</v>
      </c>
      <c r="K43" s="31" t="n">
        <f aca="false">SUM(D43:J43)</f>
        <v>78785.7738260628</v>
      </c>
    </row>
    <row r="44" customFormat="false" ht="12.75" hidden="false" customHeight="true" outlineLevel="0" collapsed="false">
      <c r="A44" s="5"/>
      <c r="B44" s="16" t="s">
        <v>41</v>
      </c>
      <c r="C44" s="30"/>
      <c r="D44" s="33" t="n">
        <f aca="false">SUMIF(Pivot!$A$45:$A$84,B44,Pivot!$B$45:$B$84)/118%</f>
        <v>9823.67758186398</v>
      </c>
      <c r="E44" s="33" t="n">
        <f aca="false">SUMIF(Pivot!$A$45:$A$84,B44,Pivot!$C$45:$C$84)/118%</f>
        <v>10151.1335012594</v>
      </c>
      <c r="F44" s="33" t="n">
        <f aca="false">SUMIF(Pivot!$A$45:$A$84,B44,Pivot!$D$45:$D$84)/118%</f>
        <v>9823.67758186398</v>
      </c>
      <c r="G44" s="33" t="n">
        <f aca="false">SUMIF(Pivot!$A$45:$A$84,B44,Pivot!$E$45:$E$84)/118%</f>
        <v>10151.1335012594</v>
      </c>
      <c r="H44" s="33" t="n">
        <f aca="false">SUMIF(Pivot!$A$45:$A$84,B44,Pivot!$F$45:$F$84)/118%</f>
        <v>10151.1335012594</v>
      </c>
      <c r="I44" s="33" t="n">
        <f aca="false">SUMIF(Pivot!$A$45:$A$84,B44,Pivot!$G$45:$G$84)/118%</f>
        <v>9823.67758186398</v>
      </c>
      <c r="J44" s="33" t="n">
        <f aca="false">SUMIF(Pivot!$A$45:$H$84,B44,Pivot!$H$45:$H$84)/118%</f>
        <v>10151.1335012594</v>
      </c>
      <c r="K44" s="31" t="n">
        <f aca="false">SUM(D44:J44)</f>
        <v>70075.5667506297</v>
      </c>
    </row>
    <row r="45" customFormat="false" ht="12.75" hidden="false" customHeight="true" outlineLevel="0" collapsed="false">
      <c r="A45" s="5"/>
      <c r="B45" s="16" t="s">
        <v>42</v>
      </c>
      <c r="C45" s="30"/>
      <c r="D45" s="33" t="n">
        <f aca="false">SUMIF(Pivot!$A$45:$A$84,B45,Pivot!$B$45:$B$84)/118%</f>
        <v>0</v>
      </c>
      <c r="E45" s="33" t="n">
        <f aca="false">SUMIF(Pivot!$A$45:$A$84,B45,Pivot!$C$45:$C$84)/118%</f>
        <v>0</v>
      </c>
      <c r="F45" s="33" t="n">
        <f aca="false">SUMIF(Pivot!$A$45:$A$84,B45,Pivot!$D$45:$D$84)/118%</f>
        <v>0</v>
      </c>
      <c r="G45" s="33" t="n">
        <f aca="false">SUMIF(Pivot!$A$45:$A$84,B45,Pivot!$E$45:$E$84)/118%</f>
        <v>0</v>
      </c>
      <c r="H45" s="33" t="n">
        <f aca="false">SUMIF(Pivot!$A$45:$A$84,B45,Pivot!$F$45:$F$84)/118%</f>
        <v>0</v>
      </c>
      <c r="I45" s="33" t="n">
        <f aca="false">SUMIF(Pivot!$A$45:$A$84,B45,Pivot!$G$45:$G$84)/118%</f>
        <v>0</v>
      </c>
      <c r="J45" s="33" t="n">
        <f aca="false">SUMIF(Pivot!$A$45:$H$84,B45,Pivot!$H$45:$H$84)/118%</f>
        <v>0</v>
      </c>
      <c r="K45" s="31" t="n">
        <f aca="false">SUM(D45:J45)</f>
        <v>0</v>
      </c>
    </row>
    <row r="46" customFormat="false" ht="12.75" hidden="false" customHeight="true" outlineLevel="0" collapsed="false">
      <c r="A46" s="5"/>
      <c r="B46" s="16"/>
      <c r="C46" s="30"/>
      <c r="D46" s="35"/>
      <c r="E46" s="13"/>
      <c r="F46" s="13"/>
      <c r="G46" s="13"/>
      <c r="H46" s="13"/>
      <c r="I46" s="13"/>
      <c r="J46" s="13"/>
      <c r="K46" s="31"/>
    </row>
    <row r="47" customFormat="false" ht="12.75" hidden="false" customHeight="true" outlineLevel="0" collapsed="false">
      <c r="A47" s="5"/>
      <c r="B47" s="13" t="s">
        <v>53</v>
      </c>
      <c r="C47" s="30"/>
      <c r="D47" s="31" t="n">
        <f aca="false">'MR-AR'!C48</f>
        <v>42252</v>
      </c>
      <c r="E47" s="31" t="n">
        <f aca="false">'MR-AR'!D48</f>
        <v>24128</v>
      </c>
      <c r="F47" s="31" t="n">
        <f aca="false">'MR-AR'!E48</f>
        <v>24554.28</v>
      </c>
      <c r="G47" s="31" t="n">
        <f aca="false">Invoices!M16</f>
        <v>19474</v>
      </c>
      <c r="H47" s="31" t="n">
        <f aca="false">Invoices!M17</f>
        <v>18627</v>
      </c>
      <c r="I47" s="31" t="n">
        <f aca="false">Invoices!M18</f>
        <v>14394.92</v>
      </c>
      <c r="J47" s="31" t="n">
        <f aca="false">Invoices!M20</f>
        <v>13549.16</v>
      </c>
      <c r="K47" s="31" t="n">
        <f aca="false">SUM(D47:J47)</f>
        <v>156979.36</v>
      </c>
    </row>
    <row r="48" customFormat="false" ht="12.75" hidden="false" customHeight="true" outlineLevel="0" collapsed="false">
      <c r="A48" s="5"/>
      <c r="B48" s="13"/>
      <c r="C48" s="30"/>
      <c r="D48" s="31"/>
      <c r="E48" s="31"/>
      <c r="F48" s="31"/>
      <c r="G48" s="31"/>
      <c r="H48" s="31"/>
      <c r="I48" s="31"/>
      <c r="J48" s="31"/>
      <c r="K48" s="36"/>
    </row>
    <row r="49" customFormat="false" ht="12.75" hidden="false" customHeight="true" outlineLevel="0" collapsed="false">
      <c r="A49" s="5"/>
      <c r="B49" s="13" t="s">
        <v>54</v>
      </c>
      <c r="C49" s="30"/>
      <c r="D49" s="31" t="n">
        <f aca="false">D6+D47</f>
        <v>1533508.21277701</v>
      </c>
      <c r="E49" s="31" t="n">
        <f aca="false">E6+E47</f>
        <v>2062494.27871442</v>
      </c>
      <c r="F49" s="31" t="n">
        <f aca="false">F6+F47</f>
        <v>2361158.61660399</v>
      </c>
      <c r="G49" s="31" t="n">
        <f aca="false">G6+G47</f>
        <v>2903404.9405897</v>
      </c>
      <c r="H49" s="31" t="n">
        <f aca="false">H6+H47</f>
        <v>3647205.16458486</v>
      </c>
      <c r="I49" s="31" t="n">
        <f aca="false">I6+I47</f>
        <v>4462084.207622</v>
      </c>
      <c r="J49" s="31" t="n">
        <f aca="false">J6+J47</f>
        <v>5079457.92937398</v>
      </c>
      <c r="K49" s="31" t="n">
        <f aca="false">SUM(D49:J49)</f>
        <v>22049313.350266</v>
      </c>
    </row>
    <row r="50" customFormat="false" ht="12.75" hidden="false" customHeight="true" outlineLevel="0" collapsed="false">
      <c r="A50" s="5"/>
      <c r="B50" s="37"/>
      <c r="C50" s="38"/>
      <c r="D50" s="37"/>
      <c r="E50" s="37"/>
      <c r="F50" s="37"/>
      <c r="G50" s="37"/>
      <c r="H50" s="37"/>
      <c r="I50" s="37"/>
      <c r="J50" s="37"/>
      <c r="K50" s="39"/>
    </row>
    <row r="51" customFormat="false" ht="14.25" hidden="false" customHeight="true" outlineLevel="0" collapsed="false">
      <c r="A51" s="5"/>
      <c r="B51" s="5"/>
      <c r="C51" s="5"/>
      <c r="D51" s="40"/>
      <c r="E51" s="40"/>
      <c r="F51" s="40"/>
      <c r="G51" s="40"/>
      <c r="H51" s="5"/>
      <c r="I51" s="5"/>
      <c r="J51" s="5"/>
      <c r="K51" s="5"/>
    </row>
    <row r="52" customFormat="false" ht="14.25" hidden="false" customHeight="true" outlineLevel="0" collapsed="false">
      <c r="A52" s="5"/>
      <c r="B52" s="5"/>
      <c r="C52" s="5"/>
      <c r="D52" s="40"/>
      <c r="E52" s="40"/>
      <c r="F52" s="40"/>
      <c r="G52" s="40"/>
      <c r="H52" s="40"/>
      <c r="I52" s="40"/>
      <c r="J52" s="40"/>
      <c r="K52" s="5"/>
    </row>
    <row r="53" customFormat="false" ht="14.25" hidden="false" customHeight="true" outlineLevel="0" collapsed="false">
      <c r="A53" s="5"/>
      <c r="B53" s="21"/>
      <c r="C53" s="21"/>
      <c r="D53" s="41"/>
      <c r="E53" s="41"/>
      <c r="F53" s="42"/>
      <c r="G53" s="42"/>
      <c r="H53" s="42"/>
      <c r="I53" s="42"/>
      <c r="J53" s="42"/>
      <c r="K53" s="43"/>
    </row>
    <row r="54" customFormat="false" ht="12.75" hidden="false" customHeight="true" outlineLevel="0" collapsed="false">
      <c r="A54" s="5"/>
      <c r="B54" s="5"/>
      <c r="C54" s="5"/>
      <c r="D54" s="40"/>
      <c r="E54" s="44"/>
      <c r="F54" s="5"/>
      <c r="G54" s="5"/>
      <c r="H54" s="5"/>
      <c r="I54" s="5"/>
      <c r="J54" s="5"/>
      <c r="K54" s="44"/>
    </row>
    <row r="55" customFormat="false" ht="12.75" hidden="false" customHeight="true" outlineLevel="0" collapsed="false">
      <c r="A55" s="5"/>
      <c r="B55" s="5"/>
      <c r="C55" s="5"/>
      <c r="D55" s="44"/>
      <c r="E55" s="44"/>
      <c r="F55" s="45"/>
      <c r="G55" s="5"/>
      <c r="H55" s="5"/>
      <c r="I55" s="5"/>
      <c r="J55" s="5"/>
      <c r="K55" s="44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44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I6" activePane="bottomRight" state="frozen"/>
      <selection pane="topLeft" activeCell="A1" activeCellId="0" sqref="A1"/>
      <selection pane="topRight" activeCell="I1" activeCellId="0" sqref="I1"/>
      <selection pane="bottomLeft" activeCell="A6" activeCellId="0" sqref="A6"/>
      <selection pane="bottomRight" activeCell="L8" activeCellId="1" sqref="AC4:AE412 L8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.54"/>
    <col collapsed="false" customWidth="true" hidden="false" outlineLevel="0" max="2" min="2" style="1" width="48.73"/>
    <col collapsed="false" customWidth="true" hidden="false" outlineLevel="0" max="3" min="3" style="1" width="23.27"/>
    <col collapsed="false" customWidth="true" hidden="false" outlineLevel="0" max="4" min="4" style="1" width="22.73"/>
    <col collapsed="false" customWidth="true" hidden="false" outlineLevel="0" max="5" min="5" style="1" width="17"/>
    <col collapsed="false" customWidth="true" hidden="false" outlineLevel="0" max="6" min="6" style="1" width="19.09"/>
    <col collapsed="false" customWidth="true" hidden="false" outlineLevel="0" max="12" min="7" style="1" width="17.45"/>
    <col collapsed="false" customWidth="true" hidden="false" outlineLevel="0" max="13" min="13" style="1" width="20.9"/>
    <col collapsed="false" customWidth="false" hidden="false" outlineLevel="0" max="16384" min="14" style="1" width="14.45"/>
  </cols>
  <sheetData>
    <row r="1" customFormat="false" ht="33" hidden="false" customHeight="tru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B2" s="4" t="s">
        <v>55</v>
      </c>
      <c r="C2" s="4"/>
      <c r="D2" s="4"/>
      <c r="E2" s="4"/>
      <c r="F2" s="4"/>
      <c r="G2" s="4"/>
      <c r="H2" s="4"/>
      <c r="I2" s="4"/>
      <c r="J2" s="4"/>
      <c r="K2" s="4"/>
      <c r="L2" s="4"/>
    </row>
    <row r="4" customFormat="false" ht="12.75" hidden="false" customHeight="true" outlineLevel="0" collapsed="false">
      <c r="A4" s="7"/>
      <c r="B4" s="46" t="s">
        <v>3</v>
      </c>
      <c r="C4" s="8" t="s">
        <v>4</v>
      </c>
      <c r="D4" s="8" t="s">
        <v>4</v>
      </c>
      <c r="E4" s="8" t="s">
        <v>4</v>
      </c>
      <c r="F4" s="8" t="s">
        <v>4</v>
      </c>
      <c r="G4" s="8" t="s">
        <v>4</v>
      </c>
      <c r="H4" s="8" t="s">
        <v>4</v>
      </c>
      <c r="I4" s="8" t="s">
        <v>4</v>
      </c>
      <c r="J4" s="8" t="s">
        <v>4</v>
      </c>
      <c r="K4" s="8" t="s">
        <v>4</v>
      </c>
      <c r="L4" s="8" t="s">
        <v>4</v>
      </c>
      <c r="M4" s="47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customFormat="false" ht="12.75" hidden="false" customHeight="true" outlineLevel="0" collapsed="false">
      <c r="A5" s="5"/>
      <c r="B5" s="48"/>
      <c r="C5" s="29" t="n">
        <v>45658</v>
      </c>
      <c r="D5" s="29" t="n">
        <v>45689</v>
      </c>
      <c r="E5" s="29" t="n">
        <v>45717</v>
      </c>
      <c r="F5" s="29" t="n">
        <v>45748</v>
      </c>
      <c r="G5" s="29" t="n">
        <v>45778</v>
      </c>
      <c r="H5" s="29" t="n">
        <v>45809</v>
      </c>
      <c r="I5" s="29" t="n">
        <v>45839</v>
      </c>
      <c r="J5" s="29" t="n">
        <v>45870</v>
      </c>
      <c r="K5" s="29" t="n">
        <v>45901</v>
      </c>
      <c r="L5" s="29" t="n">
        <v>45931</v>
      </c>
      <c r="M5" s="49" t="s">
        <v>56</v>
      </c>
    </row>
    <row r="6" customFormat="false" ht="12.75" hidden="false" customHeight="true" outlineLevel="0" collapsed="false">
      <c r="A6" s="5"/>
      <c r="B6" s="50" t="s">
        <v>57</v>
      </c>
      <c r="C6" s="50" t="n">
        <v>16</v>
      </c>
      <c r="D6" s="50" t="n">
        <f aca="false">C9</f>
        <v>27</v>
      </c>
      <c r="E6" s="50" t="n">
        <f aca="false">D9</f>
        <v>35</v>
      </c>
      <c r="F6" s="50" t="n">
        <f aca="false">E9</f>
        <v>57</v>
      </c>
      <c r="G6" s="50" t="n">
        <f aca="false">F9</f>
        <v>117</v>
      </c>
      <c r="H6" s="50" t="n">
        <f aca="false">G9</f>
        <v>143</v>
      </c>
      <c r="I6" s="50" t="n">
        <f aca="false">H9</f>
        <v>158</v>
      </c>
      <c r="J6" s="50" t="n">
        <f aca="false">I9</f>
        <v>195</v>
      </c>
      <c r="K6" s="50" t="n">
        <f aca="false">J9</f>
        <v>219</v>
      </c>
      <c r="L6" s="50" t="n">
        <f aca="false">K9</f>
        <v>245</v>
      </c>
      <c r="M6" s="51" t="s">
        <v>58</v>
      </c>
    </row>
    <row r="7" customFormat="false" ht="12.75" hidden="false" customHeight="true" outlineLevel="0" collapsed="false">
      <c r="A7" s="5"/>
      <c r="B7" s="50" t="s">
        <v>59</v>
      </c>
      <c r="C7" s="50" t="n">
        <v>15</v>
      </c>
      <c r="D7" s="50" t="n">
        <v>13</v>
      </c>
      <c r="E7" s="50" t="n">
        <v>24</v>
      </c>
      <c r="F7" s="50" t="n">
        <v>61</v>
      </c>
      <c r="G7" s="50" t="n">
        <v>37</v>
      </c>
      <c r="H7" s="50" t="n">
        <v>32</v>
      </c>
      <c r="I7" s="50" t="n">
        <v>48</v>
      </c>
      <c r="J7" s="50" t="n">
        <v>38</v>
      </c>
      <c r="K7" s="50" t="n">
        <v>39</v>
      </c>
      <c r="L7" s="50" t="n">
        <v>49</v>
      </c>
      <c r="M7" s="51"/>
    </row>
    <row r="8" customFormat="false" ht="12.75" hidden="false" customHeight="true" outlineLevel="0" collapsed="false">
      <c r="A8" s="5"/>
      <c r="B8" s="50" t="s">
        <v>60</v>
      </c>
      <c r="C8" s="50" t="n">
        <v>4</v>
      </c>
      <c r="D8" s="50" t="n">
        <v>5</v>
      </c>
      <c r="E8" s="50" t="n">
        <v>2</v>
      </c>
      <c r="F8" s="50" t="n">
        <v>1</v>
      </c>
      <c r="G8" s="50" t="n">
        <v>11</v>
      </c>
      <c r="H8" s="50" t="n">
        <v>17</v>
      </c>
      <c r="I8" s="50" t="n">
        <v>11</v>
      </c>
      <c r="J8" s="50" t="n">
        <v>14</v>
      </c>
      <c r="K8" s="50" t="n">
        <v>13</v>
      </c>
      <c r="L8" s="50" t="n">
        <v>6</v>
      </c>
      <c r="M8" s="51"/>
    </row>
    <row r="9" customFormat="false" ht="12.75" hidden="false" customHeight="true" outlineLevel="0" collapsed="false">
      <c r="A9" s="5"/>
      <c r="B9" s="50" t="s">
        <v>61</v>
      </c>
      <c r="C9" s="50" t="n">
        <f aca="false">C6+C7-C8</f>
        <v>27</v>
      </c>
      <c r="D9" s="50" t="n">
        <f aca="false">D6+D7-D8</f>
        <v>35</v>
      </c>
      <c r="E9" s="50" t="n">
        <f aca="false">E6+E7-E8</f>
        <v>57</v>
      </c>
      <c r="F9" s="50" t="n">
        <f aca="false">F6+F7-F8</f>
        <v>117</v>
      </c>
      <c r="G9" s="50" t="n">
        <f aca="false">G6+G7-G8</f>
        <v>143</v>
      </c>
      <c r="H9" s="50" t="n">
        <f aca="false">H6+H7-H8</f>
        <v>158</v>
      </c>
      <c r="I9" s="50" t="n">
        <f aca="false">I6+I7-I8</f>
        <v>195</v>
      </c>
      <c r="J9" s="50" t="n">
        <f aca="false">J6+J7-J8</f>
        <v>219</v>
      </c>
      <c r="K9" s="50" t="n">
        <f aca="false">K6+K7-K8</f>
        <v>245</v>
      </c>
      <c r="L9" s="50" t="n">
        <f aca="false">L6+L7-L8</f>
        <v>288</v>
      </c>
      <c r="M9" s="51"/>
    </row>
    <row r="10" customFormat="false" ht="12.75" hidden="false" customHeight="true" outlineLevel="0" collapsed="false">
      <c r="A10" s="5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1"/>
    </row>
    <row r="11" customFormat="false" ht="14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4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45"/>
    </row>
    <row r="13" customFormat="false" ht="14.25" hidden="false" customHeight="true" outlineLevel="0" collapsed="false">
      <c r="A13" s="5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5"/>
    </row>
    <row r="14" customFormat="false" ht="12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12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12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2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12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2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2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2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2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2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12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2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12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customFormat="false" ht="12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12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12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2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2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2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2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12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2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2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12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</sheetData>
  <mergeCells count="1">
    <mergeCell ref="M6:M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false" showOutlineSymbols="true" defaultGridColor="true" view="normal" topLeftCell="A69" colorId="64" zoomScale="100" zoomScaleNormal="100" zoomScalePageLayoutView="100" workbookViewId="0">
      <selection pane="topLeft" activeCell="B83" activeCellId="1" sqref="AC4:AE412 B83"/>
    </sheetView>
  </sheetViews>
  <sheetFormatPr defaultColWidth="8.73046875" defaultRowHeight="13.5" zeroHeight="false" outlineLevelRow="0" outlineLevelCol="0"/>
  <cols>
    <col collapsed="false" customWidth="true" hidden="false" outlineLevel="0" max="1" min="1" style="53" width="38.37"/>
    <col collapsed="false" customWidth="true" hidden="false" outlineLevel="0" max="2" min="2" style="54" width="14.91"/>
    <col collapsed="false" customWidth="true" hidden="false" outlineLevel="0" max="3" min="3" style="54" width="10.64"/>
    <col collapsed="false" customWidth="true" hidden="false" outlineLevel="0" max="4" min="4" style="54" width="19.82"/>
    <col collapsed="false" customWidth="true" hidden="false" outlineLevel="0" max="5" min="5" style="54" width="14"/>
    <col collapsed="false" customWidth="true" hidden="false" outlineLevel="0" max="6" min="6" style="54" width="17.54"/>
    <col collapsed="false" customWidth="true" hidden="false" outlineLevel="0" max="7" min="7" style="53" width="12.27"/>
    <col collapsed="false" customWidth="true" hidden="false" outlineLevel="0" max="8" min="8" style="53" width="17.09"/>
    <col collapsed="false" customWidth="true" hidden="false" outlineLevel="0" max="10" min="9" style="53" width="11.73"/>
    <col collapsed="false" customWidth="true" hidden="false" outlineLevel="0" max="11" min="11" style="53" width="12.27"/>
    <col collapsed="false" customWidth="false" hidden="false" outlineLevel="0" max="16384" min="12" style="53" width="8.73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55" t="s">
        <v>62</v>
      </c>
    </row>
    <row r="3" s="60" customFormat="true" ht="13.8" hidden="false" customHeight="false" outlineLevel="0" collapsed="false">
      <c r="A3" s="56"/>
      <c r="B3" s="57" t="s">
        <v>63</v>
      </c>
      <c r="C3" s="58"/>
      <c r="D3" s="58"/>
      <c r="E3" s="58"/>
      <c r="F3" s="58"/>
      <c r="G3" s="58"/>
      <c r="H3" s="59"/>
    </row>
    <row r="4" customFormat="false" ht="13.8" hidden="false" customHeight="false" outlineLevel="0" collapsed="false">
      <c r="A4" s="61" t="s">
        <v>64</v>
      </c>
      <c r="B4" s="62" t="s">
        <v>65</v>
      </c>
      <c r="C4" s="63" t="s">
        <v>66</v>
      </c>
      <c r="D4" s="63" t="s">
        <v>67</v>
      </c>
      <c r="E4" s="63" t="s">
        <v>68</v>
      </c>
      <c r="F4" s="63" t="s">
        <v>69</v>
      </c>
      <c r="G4" s="63" t="s">
        <v>70</v>
      </c>
      <c r="H4" s="64" t="s">
        <v>71</v>
      </c>
    </row>
    <row r="5" customFormat="false" ht="13.8" hidden="false" customHeight="false" outlineLevel="0" collapsed="false">
      <c r="A5" s="65" t="s">
        <v>19</v>
      </c>
      <c r="B5" s="66" t="n">
        <v>219140</v>
      </c>
      <c r="C5" s="67" t="n">
        <v>272830.0066</v>
      </c>
      <c r="D5" s="67" t="n">
        <v>366920</v>
      </c>
      <c r="E5" s="67" t="n">
        <v>525350</v>
      </c>
      <c r="F5" s="68" t="n">
        <v>67820</v>
      </c>
      <c r="G5" s="68" t="n">
        <v>187792.47</v>
      </c>
      <c r="H5" s="69" t="n">
        <v>239824.54</v>
      </c>
    </row>
    <row r="6" customFormat="false" ht="13.8" hidden="false" customHeight="false" outlineLevel="0" collapsed="false">
      <c r="A6" s="70" t="s">
        <v>21</v>
      </c>
      <c r="B6" s="71" t="n">
        <v>105020</v>
      </c>
      <c r="C6" s="72" t="n">
        <v>148090</v>
      </c>
      <c r="D6" s="72" t="n">
        <v>84370</v>
      </c>
      <c r="E6" s="72" t="n">
        <v>11800</v>
      </c>
      <c r="F6" s="73" t="n">
        <v>11800</v>
      </c>
      <c r="G6" s="74"/>
      <c r="H6" s="75"/>
    </row>
    <row r="7" customFormat="false" ht="13.8" hidden="false" customHeight="false" outlineLevel="0" collapsed="false">
      <c r="A7" s="70" t="s">
        <v>23</v>
      </c>
      <c r="B7" s="71" t="n">
        <v>177000</v>
      </c>
      <c r="C7" s="72" t="n">
        <v>177000</v>
      </c>
      <c r="D7" s="72" t="n">
        <v>177000</v>
      </c>
      <c r="E7" s="74"/>
      <c r="F7" s="73" t="n">
        <v>0</v>
      </c>
      <c r="G7" s="74"/>
      <c r="H7" s="75"/>
    </row>
    <row r="8" customFormat="false" ht="13.8" hidden="false" customHeight="false" outlineLevel="0" collapsed="false">
      <c r="A8" s="70" t="s">
        <v>24</v>
      </c>
      <c r="B8" s="71" t="n">
        <v>207025.666666667</v>
      </c>
      <c r="C8" s="72" t="n">
        <v>162276.666666667</v>
      </c>
      <c r="D8" s="72" t="n">
        <v>139266.666666667</v>
      </c>
      <c r="E8" s="72" t="n">
        <v>47226.6666666667</v>
      </c>
      <c r="F8" s="73" t="n">
        <v>45626.6666666667</v>
      </c>
      <c r="G8" s="73" t="n">
        <v>24386.6666666667</v>
      </c>
      <c r="H8" s="76" t="n">
        <v>24386.6666666667</v>
      </c>
    </row>
    <row r="9" customFormat="false" ht="13.8" hidden="false" customHeight="false" outlineLevel="0" collapsed="false">
      <c r="A9" s="70" t="s">
        <v>8</v>
      </c>
      <c r="B9" s="71" t="n">
        <v>56966.6666666667</v>
      </c>
      <c r="C9" s="72" t="n">
        <v>56966.6666666667</v>
      </c>
      <c r="D9" s="72" t="n">
        <v>113606.666666667</v>
      </c>
      <c r="E9" s="72" t="n">
        <v>213316.666666667</v>
      </c>
      <c r="F9" s="73" t="n">
        <v>419843.333333333</v>
      </c>
      <c r="G9" s="73" t="n">
        <v>526773.333333333</v>
      </c>
      <c r="H9" s="76" t="n">
        <v>603733.333333333</v>
      </c>
    </row>
    <row r="10" customFormat="false" ht="13.8" hidden="false" customHeight="false" outlineLevel="0" collapsed="false">
      <c r="A10" s="70" t="s">
        <v>9</v>
      </c>
      <c r="B10" s="71" t="n">
        <v>770920.33</v>
      </c>
      <c r="C10" s="72" t="n">
        <v>907319.996666667</v>
      </c>
      <c r="D10" s="72" t="n">
        <v>1187652.33</v>
      </c>
      <c r="E10" s="72" t="n">
        <v>1707479.81666667</v>
      </c>
      <c r="F10" s="73" t="n">
        <v>1974898.85833333</v>
      </c>
      <c r="G10" s="73" t="n">
        <v>2325639.745</v>
      </c>
      <c r="H10" s="76" t="n">
        <v>2416909.74666667</v>
      </c>
    </row>
    <row r="11" customFormat="false" ht="13.8" hidden="false" customHeight="false" outlineLevel="0" collapsed="false">
      <c r="A11" s="70" t="s">
        <v>10</v>
      </c>
      <c r="B11" s="71" t="n">
        <v>81459</v>
      </c>
      <c r="C11" s="72" t="n">
        <v>92275.6666666667</v>
      </c>
      <c r="D11" s="72" t="n">
        <v>108175.666666667</v>
      </c>
      <c r="E11" s="72" t="n">
        <v>186251.666666667</v>
      </c>
      <c r="F11" s="73" t="n">
        <v>186251.666666667</v>
      </c>
      <c r="G11" s="73" t="n">
        <v>262531.666666667</v>
      </c>
      <c r="H11" s="76" t="n">
        <v>380851.666666667</v>
      </c>
    </row>
    <row r="12" customFormat="false" ht="13.8" hidden="false" customHeight="false" outlineLevel="0" collapsed="false">
      <c r="A12" s="70" t="s">
        <v>40</v>
      </c>
      <c r="B12" s="71" t="n">
        <v>13250</v>
      </c>
      <c r="C12" s="72" t="n">
        <v>13250</v>
      </c>
      <c r="D12" s="72" t="n">
        <v>13250</v>
      </c>
      <c r="E12" s="72" t="n">
        <v>13250</v>
      </c>
      <c r="F12" s="73" t="n">
        <v>13250</v>
      </c>
      <c r="G12" s="73" t="n">
        <v>13250</v>
      </c>
      <c r="H12" s="76" t="n">
        <v>13250</v>
      </c>
    </row>
    <row r="13" customFormat="false" ht="13.8" hidden="false" customHeight="false" outlineLevel="0" collapsed="false">
      <c r="A13" s="70" t="s">
        <v>20</v>
      </c>
      <c r="B13" s="71" t="n">
        <v>47200</v>
      </c>
      <c r="C13" s="72" t="n">
        <v>35400</v>
      </c>
      <c r="D13" s="72" t="n">
        <v>10620</v>
      </c>
      <c r="E13" s="72" t="n">
        <v>10620</v>
      </c>
      <c r="F13" s="73" t="n">
        <v>50640.88</v>
      </c>
      <c r="G13" s="73" t="n">
        <v>50640.88</v>
      </c>
      <c r="H13" s="75"/>
    </row>
    <row r="14" customFormat="false" ht="13.8" hidden="false" customHeight="false" outlineLevel="0" collapsed="false">
      <c r="A14" s="70" t="s">
        <v>26</v>
      </c>
      <c r="B14" s="77"/>
      <c r="C14" s="74"/>
      <c r="D14" s="74"/>
      <c r="E14" s="74"/>
      <c r="F14" s="73" t="n">
        <v>0</v>
      </c>
      <c r="G14" s="74"/>
      <c r="H14" s="75"/>
    </row>
    <row r="15" customFormat="false" ht="13.8" hidden="false" customHeight="false" outlineLevel="0" collapsed="false">
      <c r="A15" s="70" t="s">
        <v>25</v>
      </c>
      <c r="B15" s="71" t="n">
        <v>11800</v>
      </c>
      <c r="C15" s="72" t="n">
        <v>11800</v>
      </c>
      <c r="D15" s="72" t="n">
        <v>11800</v>
      </c>
      <c r="E15" s="72" t="n">
        <v>11800</v>
      </c>
      <c r="F15" s="73" t="n">
        <v>0</v>
      </c>
      <c r="G15" s="74"/>
      <c r="H15" s="75"/>
    </row>
    <row r="16" customFormat="false" ht="13.8" hidden="false" customHeight="false" outlineLevel="0" collapsed="false">
      <c r="A16" s="70" t="s">
        <v>29</v>
      </c>
      <c r="B16" s="71" t="n">
        <v>243183</v>
      </c>
      <c r="C16" s="72" t="n">
        <v>266547</v>
      </c>
      <c r="D16" s="72" t="n">
        <v>398510.333333333</v>
      </c>
      <c r="E16" s="72" t="n">
        <v>455368.304347826</v>
      </c>
      <c r="F16" s="73" t="n">
        <v>551788.666666667</v>
      </c>
      <c r="G16" s="73" t="n">
        <v>581205.333333333</v>
      </c>
      <c r="H16" s="76" t="n">
        <v>575378.666666667</v>
      </c>
    </row>
    <row r="17" customFormat="false" ht="13.8" hidden="false" customHeight="false" outlineLevel="0" collapsed="false">
      <c r="A17" s="70" t="s">
        <v>7</v>
      </c>
      <c r="B17" s="71" t="n">
        <v>61165.6666666667</v>
      </c>
      <c r="C17" s="72" t="n">
        <v>347905.666666667</v>
      </c>
      <c r="D17" s="72" t="n">
        <v>347905.666666667</v>
      </c>
      <c r="E17" s="72" t="n">
        <v>373767.333333333</v>
      </c>
      <c r="F17" s="73" t="n">
        <v>1158310</v>
      </c>
      <c r="G17" s="73" t="n">
        <v>1209148.33333333</v>
      </c>
      <c r="H17" s="76" t="n">
        <v>1432679.66666667</v>
      </c>
    </row>
    <row r="18" customFormat="false" ht="13.8" hidden="false" customHeight="false" outlineLevel="0" collapsed="false">
      <c r="A18" s="70" t="s">
        <v>72</v>
      </c>
      <c r="B18" s="77"/>
      <c r="C18" s="74"/>
      <c r="D18" s="74"/>
      <c r="E18" s="74"/>
      <c r="F18" s="74"/>
      <c r="G18" s="74"/>
      <c r="H18" s="75"/>
    </row>
    <row r="19" customFormat="false" ht="13.8" hidden="false" customHeight="false" outlineLevel="0" collapsed="false">
      <c r="A19" s="70" t="s">
        <v>13</v>
      </c>
      <c r="B19" s="77"/>
      <c r="C19" s="74"/>
      <c r="D19" s="74"/>
      <c r="E19" s="72" t="n">
        <v>9440</v>
      </c>
      <c r="F19" s="73" t="n">
        <v>0</v>
      </c>
      <c r="G19" s="74"/>
      <c r="H19" s="75"/>
    </row>
    <row r="20" customFormat="false" ht="13.8" hidden="false" customHeight="false" outlineLevel="0" collapsed="false">
      <c r="A20" s="70" t="s">
        <v>11</v>
      </c>
      <c r="B20" s="77"/>
      <c r="C20" s="74"/>
      <c r="D20" s="74"/>
      <c r="E20" s="72" t="n">
        <v>4745.67</v>
      </c>
      <c r="F20" s="73" t="n">
        <v>4745.67</v>
      </c>
      <c r="G20" s="73" t="n">
        <v>4745.67</v>
      </c>
      <c r="H20" s="76" t="n">
        <v>4745.67</v>
      </c>
    </row>
    <row r="21" customFormat="false" ht="13.8" hidden="false" customHeight="false" outlineLevel="0" collapsed="false">
      <c r="A21" s="70" t="s">
        <v>18</v>
      </c>
      <c r="B21" s="77"/>
      <c r="C21" s="74"/>
      <c r="D21" s="72" t="n">
        <v>5822.36842105263</v>
      </c>
      <c r="E21" s="74"/>
      <c r="F21" s="73" t="n">
        <v>0</v>
      </c>
      <c r="G21" s="74"/>
      <c r="H21" s="75"/>
    </row>
    <row r="22" customFormat="false" ht="13.8" hidden="false" customHeight="false" outlineLevel="0" collapsed="false">
      <c r="A22" s="70" t="s">
        <v>14</v>
      </c>
      <c r="B22" s="77"/>
      <c r="C22" s="74"/>
      <c r="D22" s="74"/>
      <c r="E22" s="74"/>
      <c r="F22" s="73" t="n">
        <v>4111</v>
      </c>
      <c r="G22" s="74"/>
      <c r="H22" s="75"/>
    </row>
    <row r="23" customFormat="false" ht="13.8" hidden="false" customHeight="false" outlineLevel="0" collapsed="false">
      <c r="A23" s="70" t="s">
        <v>38</v>
      </c>
      <c r="B23" s="77"/>
      <c r="C23" s="74"/>
      <c r="D23" s="72" t="n">
        <v>0</v>
      </c>
      <c r="E23" s="72" t="n">
        <v>7080</v>
      </c>
      <c r="F23" s="73" t="n">
        <v>7080</v>
      </c>
      <c r="G23" s="73" t="n">
        <v>7080</v>
      </c>
      <c r="H23" s="76" t="n">
        <v>7080</v>
      </c>
    </row>
    <row r="24" customFormat="false" ht="13.8" hidden="false" customHeight="false" outlineLevel="0" collapsed="false">
      <c r="A24" s="70" t="s">
        <v>27</v>
      </c>
      <c r="B24" s="77"/>
      <c r="C24" s="74"/>
      <c r="D24" s="74"/>
      <c r="E24" s="74"/>
      <c r="F24" s="74"/>
      <c r="G24" s="73" t="n">
        <v>4130</v>
      </c>
      <c r="H24" s="76" t="n">
        <v>4130</v>
      </c>
    </row>
    <row r="25" customFormat="false" ht="13.8" hidden="false" customHeight="false" outlineLevel="0" collapsed="false">
      <c r="A25" s="70" t="s">
        <v>17</v>
      </c>
      <c r="B25" s="77"/>
      <c r="C25" s="74"/>
      <c r="D25" s="74"/>
      <c r="E25" s="72" t="n">
        <v>40819.1736</v>
      </c>
      <c r="F25" s="73" t="n">
        <v>13018</v>
      </c>
      <c r="G25" s="74"/>
      <c r="H25" s="75"/>
    </row>
    <row r="26" customFormat="false" ht="13.8" hidden="false" customHeight="false" outlineLevel="0" collapsed="false">
      <c r="A26" s="70" t="s">
        <v>41</v>
      </c>
      <c r="B26" s="71" t="n">
        <v>11800</v>
      </c>
      <c r="C26" s="72" t="n">
        <v>11800</v>
      </c>
      <c r="D26" s="72" t="n">
        <v>11800</v>
      </c>
      <c r="E26" s="72" t="n">
        <v>11800</v>
      </c>
      <c r="F26" s="73" t="n">
        <v>11800</v>
      </c>
      <c r="G26" s="73" t="n">
        <v>11800</v>
      </c>
      <c r="H26" s="76" t="n">
        <v>11800</v>
      </c>
    </row>
    <row r="27" customFormat="false" ht="13.8" hidden="false" customHeight="false" outlineLevel="0" collapsed="false">
      <c r="A27" s="70" t="s">
        <v>39</v>
      </c>
      <c r="B27" s="71" t="n">
        <v>6883.33333333333</v>
      </c>
      <c r="C27" s="72" t="n">
        <v>6883.33333333333</v>
      </c>
      <c r="D27" s="72" t="n">
        <v>6883.33333333333</v>
      </c>
      <c r="E27" s="72" t="n">
        <v>6883.33333333333</v>
      </c>
      <c r="F27" s="73" t="n">
        <v>6883.33333333333</v>
      </c>
      <c r="G27" s="73" t="n">
        <v>6883.33333333333</v>
      </c>
      <c r="H27" s="76" t="n">
        <v>6883.33333333333</v>
      </c>
    </row>
    <row r="28" customFormat="false" ht="13.8" hidden="false" customHeight="false" outlineLevel="0" collapsed="false">
      <c r="A28" s="70" t="s">
        <v>33</v>
      </c>
      <c r="B28" s="77"/>
      <c r="C28" s="74"/>
      <c r="D28" s="74"/>
      <c r="E28" s="72" t="n">
        <v>19912.5</v>
      </c>
      <c r="F28" s="73" t="n">
        <v>19912.5</v>
      </c>
      <c r="G28" s="73" t="n">
        <v>17700</v>
      </c>
      <c r="H28" s="76" t="n">
        <v>17700</v>
      </c>
    </row>
    <row r="29" customFormat="false" ht="13.8" hidden="false" customHeight="false" outlineLevel="0" collapsed="false">
      <c r="A29" s="70" t="s">
        <v>15</v>
      </c>
      <c r="B29" s="77"/>
      <c r="C29" s="74"/>
      <c r="D29" s="74"/>
      <c r="E29" s="74"/>
      <c r="F29" s="74"/>
      <c r="G29" s="73" t="n">
        <v>4720</v>
      </c>
      <c r="H29" s="75"/>
    </row>
    <row r="30" customFormat="false" ht="13.8" hidden="false" customHeight="false" outlineLevel="0" collapsed="false">
      <c r="A30" s="70" t="s">
        <v>16</v>
      </c>
      <c r="B30" s="77"/>
      <c r="C30" s="74"/>
      <c r="D30" s="74"/>
      <c r="E30" s="74"/>
      <c r="F30" s="74"/>
      <c r="G30" s="73" t="n">
        <v>0</v>
      </c>
      <c r="H30" s="76" t="n">
        <v>0</v>
      </c>
    </row>
    <row r="31" customFormat="false" ht="13.8" hidden="false" customHeight="false" outlineLevel="0" collapsed="false">
      <c r="A31" s="70" t="s">
        <v>32</v>
      </c>
      <c r="B31" s="77"/>
      <c r="C31" s="74"/>
      <c r="D31" s="74"/>
      <c r="E31" s="74"/>
      <c r="F31" s="74"/>
      <c r="G31" s="73" t="n">
        <v>183844.957472661</v>
      </c>
      <c r="H31" s="76" t="n">
        <v>183844.957472661</v>
      </c>
    </row>
    <row r="32" customFormat="false" ht="13.8" hidden="false" customHeight="false" outlineLevel="0" collapsed="false">
      <c r="A32" s="70" t="s">
        <v>30</v>
      </c>
      <c r="B32" s="71" t="n">
        <v>36399</v>
      </c>
      <c r="C32" s="72" t="n">
        <v>36399</v>
      </c>
      <c r="D32" s="72" t="n">
        <v>36399</v>
      </c>
      <c r="E32" s="72" t="n">
        <v>36399</v>
      </c>
      <c r="F32" s="74"/>
      <c r="G32" s="74"/>
      <c r="H32" s="75"/>
    </row>
    <row r="33" customFormat="false" ht="13.8" hidden="false" customHeight="false" outlineLevel="0" collapsed="false">
      <c r="A33" s="70" t="s">
        <v>28</v>
      </c>
      <c r="B33" s="71" t="n">
        <v>5900</v>
      </c>
      <c r="C33" s="72" t="n">
        <v>5900</v>
      </c>
      <c r="D33" s="72" t="n">
        <v>5900</v>
      </c>
      <c r="E33" s="72" t="n">
        <v>5900</v>
      </c>
      <c r="F33" s="73" t="n">
        <v>5900</v>
      </c>
      <c r="G33" s="74"/>
      <c r="H33" s="76" t="n">
        <v>180195.44</v>
      </c>
    </row>
    <row r="34" customFormat="false" ht="13.8" hidden="false" customHeight="false" outlineLevel="0" collapsed="false">
      <c r="A34" s="70" t="s">
        <v>73</v>
      </c>
      <c r="B34" s="77"/>
      <c r="C34" s="74"/>
      <c r="D34" s="74"/>
      <c r="E34" s="74"/>
      <c r="F34" s="74"/>
      <c r="G34" s="74"/>
      <c r="H34" s="75"/>
    </row>
    <row r="35" customFormat="false" ht="13.8" hidden="false" customHeight="false" outlineLevel="0" collapsed="false">
      <c r="A35" s="70" t="s">
        <v>36</v>
      </c>
      <c r="B35" s="77"/>
      <c r="C35" s="74"/>
      <c r="D35" s="74"/>
      <c r="E35" s="74"/>
      <c r="F35" s="74"/>
      <c r="G35" s="74"/>
      <c r="H35" s="76" t="n">
        <v>3894</v>
      </c>
    </row>
    <row r="36" customFormat="false" ht="13.8" hidden="false" customHeight="false" outlineLevel="0" collapsed="false">
      <c r="A36" s="70" t="s">
        <v>74</v>
      </c>
      <c r="B36" s="77"/>
      <c r="C36" s="74"/>
      <c r="D36" s="74"/>
      <c r="E36" s="74"/>
      <c r="F36" s="74"/>
      <c r="G36" s="74"/>
      <c r="H36" s="75"/>
    </row>
    <row r="37" customFormat="false" ht="13.8" hidden="false" customHeight="false" outlineLevel="0" collapsed="false">
      <c r="A37" s="70" t="s">
        <v>34</v>
      </c>
      <c r="B37" s="77"/>
      <c r="C37" s="74"/>
      <c r="D37" s="74"/>
      <c r="E37" s="74"/>
      <c r="F37" s="74"/>
      <c r="G37" s="74"/>
      <c r="H37" s="76" t="n">
        <v>20075.2255555556</v>
      </c>
    </row>
    <row r="38" customFormat="false" ht="13.8" hidden="false" customHeight="false" outlineLevel="0" collapsed="false">
      <c r="A38" s="70" t="s">
        <v>22</v>
      </c>
      <c r="B38" s="77"/>
      <c r="C38" s="74"/>
      <c r="D38" s="74"/>
      <c r="E38" s="74"/>
      <c r="F38" s="74"/>
      <c r="G38" s="74"/>
      <c r="H38" s="76" t="n">
        <v>9006.81690140845</v>
      </c>
    </row>
    <row r="39" customFormat="false" ht="13.8" hidden="false" customHeight="false" outlineLevel="0" collapsed="false">
      <c r="A39" s="70" t="s">
        <v>35</v>
      </c>
      <c r="B39" s="78"/>
      <c r="C39" s="79"/>
      <c r="D39" s="79"/>
      <c r="E39" s="79"/>
      <c r="F39" s="79"/>
      <c r="G39" s="79"/>
      <c r="H39" s="80" t="n">
        <v>5151.39833333333</v>
      </c>
    </row>
    <row r="40" customFormat="false" ht="13.8" hidden="false" customHeight="false" outlineLevel="0" collapsed="false">
      <c r="A40" s="81" t="s">
        <v>75</v>
      </c>
      <c r="B40" s="82" t="n">
        <v>2055112.66333333</v>
      </c>
      <c r="C40" s="83" t="n">
        <v>2552644.00326667</v>
      </c>
      <c r="D40" s="83" t="n">
        <v>3025882.03175439</v>
      </c>
      <c r="E40" s="83" t="n">
        <v>3699210.13128116</v>
      </c>
      <c r="F40" s="84" t="n">
        <v>4553680.575</v>
      </c>
      <c r="G40" s="84" t="n">
        <v>5422272.38913933</v>
      </c>
      <c r="H40" s="85" t="n">
        <v>6141521.12826296</v>
      </c>
    </row>
    <row r="41" customFormat="false" ht="13.8" hidden="false" customHeight="false" outlineLevel="0" collapsed="false"/>
    <row r="42" customFormat="false" ht="13.8" hidden="false" customHeight="false" outlineLevel="0" collapsed="false">
      <c r="A42" s="86"/>
      <c r="B42" s="87"/>
      <c r="C42" s="87"/>
      <c r="D42" s="87"/>
      <c r="E42" s="87"/>
      <c r="F42" s="87"/>
      <c r="G42" s="87"/>
      <c r="H42" s="87"/>
    </row>
    <row r="43" customFormat="false" ht="13.8" hidden="false" customHeight="false" outlineLevel="0" collapsed="false">
      <c r="B43" s="88"/>
      <c r="C43" s="88"/>
      <c r="D43" s="88"/>
      <c r="E43" s="88"/>
      <c r="F43" s="88"/>
    </row>
    <row r="44" customFormat="false" ht="13.8" hidden="false" customHeight="false" outlineLevel="0" collapsed="false">
      <c r="A44" s="86"/>
      <c r="B44" s="89"/>
      <c r="C44" s="89"/>
      <c r="D44" s="89"/>
      <c r="E44" s="89"/>
    </row>
    <row r="45" customFormat="false" ht="13.8" hidden="false" customHeight="false" outlineLevel="0" collapsed="false">
      <c r="A45" s="53" t="s">
        <v>76</v>
      </c>
    </row>
    <row r="46" s="60" customFormat="true" ht="13.8" hidden="false" customHeight="false" outlineLevel="0" collapsed="false">
      <c r="A46" s="56"/>
      <c r="B46" s="57" t="s">
        <v>63</v>
      </c>
      <c r="C46" s="58"/>
      <c r="D46" s="58"/>
      <c r="E46" s="58"/>
      <c r="F46" s="58"/>
      <c r="G46" s="58"/>
      <c r="H46" s="59"/>
    </row>
    <row r="47" customFormat="false" ht="13.8" hidden="false" customHeight="false" outlineLevel="0" collapsed="false">
      <c r="A47" s="61" t="s">
        <v>64</v>
      </c>
      <c r="B47" s="62" t="s">
        <v>77</v>
      </c>
      <c r="C47" s="63" t="s">
        <v>78</v>
      </c>
      <c r="D47" s="63" t="s">
        <v>79</v>
      </c>
      <c r="E47" s="63" t="s">
        <v>80</v>
      </c>
      <c r="F47" s="63" t="s">
        <v>81</v>
      </c>
      <c r="G47" s="63" t="s">
        <v>82</v>
      </c>
      <c r="H47" s="64" t="s">
        <v>83</v>
      </c>
    </row>
    <row r="48" customFormat="false" ht="13.8" hidden="false" customHeight="false" outlineLevel="0" collapsed="false">
      <c r="A48" s="65" t="s">
        <v>19</v>
      </c>
      <c r="B48" s="66" t="n">
        <v>249026.735337243</v>
      </c>
      <c r="C48" s="67" t="n">
        <v>296812.740469208</v>
      </c>
      <c r="D48" s="67" t="n">
        <v>355097.02688172</v>
      </c>
      <c r="E48" s="68" t="n">
        <v>447121.629032258</v>
      </c>
      <c r="F48" s="67" t="n">
        <v>223394.97311828</v>
      </c>
      <c r="G48" s="68" t="n">
        <v>129556.435010753</v>
      </c>
      <c r="H48" s="69" t="n">
        <v>210353.965795699</v>
      </c>
    </row>
    <row r="49" customFormat="false" ht="13.8" hidden="false" customHeight="false" outlineLevel="0" collapsed="false">
      <c r="A49" s="70" t="s">
        <v>21</v>
      </c>
      <c r="B49" s="71" t="n">
        <v>76273.8022210471</v>
      </c>
      <c r="C49" s="72" t="n">
        <v>134250.740349022</v>
      </c>
      <c r="D49" s="72" t="n">
        <v>108360.941300899</v>
      </c>
      <c r="E49" s="73" t="n">
        <v>50188.064516129</v>
      </c>
      <c r="F49" s="72" t="n">
        <v>11800</v>
      </c>
      <c r="G49" s="73" t="n">
        <v>7993.54838709678</v>
      </c>
      <c r="H49" s="75"/>
    </row>
    <row r="50" customFormat="false" ht="13.8" hidden="false" customHeight="false" outlineLevel="0" collapsed="false">
      <c r="A50" s="70" t="s">
        <v>23</v>
      </c>
      <c r="B50" s="71" t="n">
        <v>117395.604395604</v>
      </c>
      <c r="C50" s="72" t="n">
        <v>180890.10989011</v>
      </c>
      <c r="D50" s="72" t="n">
        <v>175054.945054945</v>
      </c>
      <c r="E50" s="73" t="n">
        <v>81692.3076923077</v>
      </c>
      <c r="F50" s="72" t="n">
        <v>0</v>
      </c>
      <c r="G50" s="74"/>
      <c r="H50" s="75"/>
    </row>
    <row r="51" customFormat="false" ht="13.8" hidden="false" customHeight="false" outlineLevel="0" collapsed="false">
      <c r="A51" s="70" t="s">
        <v>24</v>
      </c>
      <c r="B51" s="71" t="n">
        <v>157439.089422384</v>
      </c>
      <c r="C51" s="72" t="n">
        <v>199473.314826257</v>
      </c>
      <c r="D51" s="72" t="n">
        <v>154037.759929411</v>
      </c>
      <c r="E51" s="73" t="n">
        <v>95909.3341296385</v>
      </c>
      <c r="F51" s="72" t="n">
        <v>48052.3071528752</v>
      </c>
      <c r="G51" s="73" t="n">
        <v>41864.347826087</v>
      </c>
      <c r="H51" s="76" t="n">
        <v>24651.7391304348</v>
      </c>
    </row>
    <row r="52" customFormat="false" ht="13.8" hidden="false" customHeight="false" outlineLevel="0" collapsed="false">
      <c r="A52" s="70" t="s">
        <v>8</v>
      </c>
      <c r="B52" s="71" t="n">
        <v>56153.1551762857</v>
      </c>
      <c r="C52" s="72" t="n">
        <v>58024.9270154952</v>
      </c>
      <c r="D52" s="72" t="n">
        <v>74385.135356991</v>
      </c>
      <c r="E52" s="73" t="n">
        <v>204057.122790856</v>
      </c>
      <c r="F52" s="72" t="n">
        <v>406433.013201815</v>
      </c>
      <c r="G52" s="73" t="n">
        <v>496013.487809092</v>
      </c>
      <c r="H52" s="76" t="n">
        <v>591406.711831952</v>
      </c>
    </row>
    <row r="53" customFormat="false" ht="13.8" hidden="false" customHeight="false" outlineLevel="0" collapsed="false">
      <c r="A53" s="70" t="s">
        <v>9</v>
      </c>
      <c r="B53" s="71" t="n">
        <v>667648.724076538</v>
      </c>
      <c r="C53" s="72" t="n">
        <v>849225.055105154</v>
      </c>
      <c r="D53" s="72" t="n">
        <v>1100684.93183161</v>
      </c>
      <c r="E53" s="73" t="n">
        <v>1465674.92229072</v>
      </c>
      <c r="F53" s="72" t="n">
        <v>1875601.24067992</v>
      </c>
      <c r="G53" s="73" t="n">
        <v>2202892.93480946</v>
      </c>
      <c r="H53" s="76" t="n">
        <v>2416989.16058389</v>
      </c>
    </row>
    <row r="54" customFormat="false" ht="13.8" hidden="false" customHeight="false" outlineLevel="0" collapsed="false">
      <c r="A54" s="70" t="s">
        <v>10</v>
      </c>
      <c r="B54" s="71" t="n">
        <v>56405.8073209073</v>
      </c>
      <c r="C54" s="72" t="n">
        <v>246208.688283264</v>
      </c>
      <c r="D54" s="72" t="n">
        <v>100838.684033236</v>
      </c>
      <c r="E54" s="73" t="n">
        <v>145182.417336627</v>
      </c>
      <c r="F54" s="72" t="n">
        <v>190778.472131148</v>
      </c>
      <c r="G54" s="73" t="n">
        <v>227538.948191895</v>
      </c>
      <c r="H54" s="76" t="n">
        <v>332602.978675453</v>
      </c>
    </row>
    <row r="55" customFormat="false" ht="13.8" hidden="false" customHeight="false" outlineLevel="0" collapsed="false">
      <c r="A55" s="70" t="s">
        <v>40</v>
      </c>
      <c r="B55" s="71" t="n">
        <v>13032.7868852459</v>
      </c>
      <c r="C55" s="72" t="n">
        <v>13467.2131147541</v>
      </c>
      <c r="D55" s="72" t="n">
        <v>13032.7868852459</v>
      </c>
      <c r="E55" s="73" t="n">
        <v>13467.2131147541</v>
      </c>
      <c r="F55" s="72" t="n">
        <v>13467.2131147541</v>
      </c>
      <c r="G55" s="73" t="n">
        <v>13032.7868852459</v>
      </c>
      <c r="H55" s="76" t="n">
        <v>13467.2131147541</v>
      </c>
    </row>
    <row r="56" customFormat="false" ht="13.8" hidden="false" customHeight="false" outlineLevel="0" collapsed="false">
      <c r="A56" s="70" t="s">
        <v>20</v>
      </c>
      <c r="B56" s="71" t="n">
        <v>46239.0269698572</v>
      </c>
      <c r="C56" s="72" t="n">
        <v>39406.1343204654</v>
      </c>
      <c r="D56" s="72" t="n">
        <v>10445.9016393443</v>
      </c>
      <c r="E56" s="73" t="n">
        <v>10794.0983606557</v>
      </c>
      <c r="F56" s="72" t="n">
        <v>112904.25704918</v>
      </c>
      <c r="G56" s="73" t="n">
        <v>199242.806557377</v>
      </c>
      <c r="H56" s="76" t="n">
        <v>92979.9763934426</v>
      </c>
    </row>
    <row r="57" customFormat="false" ht="13.8" hidden="false" customHeight="false" outlineLevel="0" collapsed="false">
      <c r="A57" s="70" t="s">
        <v>26</v>
      </c>
      <c r="B57" s="77"/>
      <c r="C57" s="74"/>
      <c r="D57" s="74"/>
      <c r="E57" s="74"/>
      <c r="F57" s="72" t="n">
        <v>0</v>
      </c>
      <c r="G57" s="74"/>
      <c r="H57" s="75"/>
    </row>
    <row r="58" customFormat="false" ht="13.8" hidden="false" customHeight="false" outlineLevel="0" collapsed="false">
      <c r="A58" s="70" t="s">
        <v>25</v>
      </c>
      <c r="B58" s="71" t="n">
        <v>8124.59016393443</v>
      </c>
      <c r="C58" s="72" t="n">
        <v>11993.4426229508</v>
      </c>
      <c r="D58" s="72" t="n">
        <v>11606.5573770492</v>
      </c>
      <c r="E58" s="73" t="n">
        <v>11993.4426229508</v>
      </c>
      <c r="F58" s="72" t="n">
        <v>3481.96721311475</v>
      </c>
      <c r="G58" s="74"/>
      <c r="H58" s="75"/>
    </row>
    <row r="59" customFormat="false" ht="13.8" hidden="false" customHeight="false" outlineLevel="0" collapsed="false">
      <c r="A59" s="70" t="s">
        <v>29</v>
      </c>
      <c r="B59" s="71" t="n">
        <v>221999.119289787</v>
      </c>
      <c r="C59" s="72" t="n">
        <v>257382.133909972</v>
      </c>
      <c r="D59" s="72" t="n">
        <v>270097.621251478</v>
      </c>
      <c r="E59" s="73" t="n">
        <v>429896.932513993</v>
      </c>
      <c r="F59" s="72" t="n">
        <v>496786.02665738</v>
      </c>
      <c r="G59" s="73" t="n">
        <v>553996.768337351</v>
      </c>
      <c r="H59" s="76" t="n">
        <v>547780.629654405</v>
      </c>
    </row>
    <row r="60" customFormat="false" ht="13.8" hidden="false" customHeight="false" outlineLevel="0" collapsed="false">
      <c r="A60" s="70" t="s">
        <v>7</v>
      </c>
      <c r="B60" s="71" t="n">
        <v>53797.694096008</v>
      </c>
      <c r="C60" s="72" t="n">
        <v>80786.6400635919</v>
      </c>
      <c r="D60" s="72" t="n">
        <v>342746.735191899</v>
      </c>
      <c r="E60" s="73" t="n">
        <v>374057.051022496</v>
      </c>
      <c r="F60" s="72" t="n">
        <v>794327.648644053</v>
      </c>
      <c r="G60" s="73" t="n">
        <v>1180946.58164681</v>
      </c>
      <c r="H60" s="76" t="n">
        <v>1390006.13619486</v>
      </c>
    </row>
    <row r="61" customFormat="false" ht="13.8" hidden="false" customHeight="false" outlineLevel="0" collapsed="false">
      <c r="A61" s="70" t="s">
        <v>72</v>
      </c>
      <c r="B61" s="77"/>
      <c r="C61" s="74"/>
      <c r="D61" s="74"/>
      <c r="E61" s="74"/>
      <c r="F61" s="74"/>
      <c r="G61" s="74"/>
      <c r="H61" s="75"/>
    </row>
    <row r="62" customFormat="false" ht="13.8" hidden="false" customHeight="false" outlineLevel="0" collapsed="false">
      <c r="A62" s="70" t="s">
        <v>13</v>
      </c>
      <c r="B62" s="77"/>
      <c r="C62" s="74"/>
      <c r="D62" s="74"/>
      <c r="E62" s="73" t="n">
        <v>9440</v>
      </c>
      <c r="F62" s="72" t="n">
        <v>0</v>
      </c>
      <c r="G62" s="74"/>
      <c r="H62" s="75"/>
    </row>
    <row r="63" customFormat="false" ht="13.8" hidden="false" customHeight="false" outlineLevel="0" collapsed="false">
      <c r="A63" s="70" t="s">
        <v>11</v>
      </c>
      <c r="B63" s="77"/>
      <c r="C63" s="74"/>
      <c r="D63" s="74"/>
      <c r="E63" s="73" t="n">
        <v>1404.19824657534</v>
      </c>
      <c r="F63" s="72" t="n">
        <v>4836.68284931507</v>
      </c>
      <c r="G63" s="73" t="n">
        <v>4680.66082191781</v>
      </c>
      <c r="H63" s="76" t="n">
        <v>4836.68284931507</v>
      </c>
    </row>
    <row r="64" customFormat="false" ht="13.8" hidden="false" customHeight="false" outlineLevel="0" collapsed="false">
      <c r="A64" s="70" t="s">
        <v>18</v>
      </c>
      <c r="B64" s="77"/>
      <c r="C64" s="74"/>
      <c r="D64" s="72" t="n">
        <v>4657.89473684211</v>
      </c>
      <c r="E64" s="73" t="n">
        <v>2717.10526315789</v>
      </c>
      <c r="F64" s="72" t="n">
        <v>0</v>
      </c>
      <c r="G64" s="74"/>
      <c r="H64" s="75"/>
    </row>
    <row r="65" customFormat="false" ht="13.8" hidden="false" customHeight="false" outlineLevel="0" collapsed="false">
      <c r="A65" s="70" t="s">
        <v>14</v>
      </c>
      <c r="B65" s="77"/>
      <c r="C65" s="74"/>
      <c r="D65" s="74"/>
      <c r="E65" s="74"/>
      <c r="F65" s="72" t="n">
        <v>4111</v>
      </c>
      <c r="G65" s="74"/>
      <c r="H65" s="75"/>
    </row>
    <row r="66" customFormat="false" ht="13.8" hidden="false" customHeight="false" outlineLevel="0" collapsed="false">
      <c r="A66" s="70" t="s">
        <v>38</v>
      </c>
      <c r="B66" s="77"/>
      <c r="C66" s="74"/>
      <c r="D66" s="72" t="n">
        <v>0</v>
      </c>
      <c r="E66" s="73" t="n">
        <v>7206.80597014925</v>
      </c>
      <c r="F66" s="72" t="n">
        <v>7206.80597014925</v>
      </c>
      <c r="G66" s="73" t="n">
        <v>6974.32835820896</v>
      </c>
      <c r="H66" s="76" t="n">
        <v>7206.80597014925</v>
      </c>
    </row>
    <row r="67" customFormat="false" ht="13.8" hidden="false" customHeight="false" outlineLevel="0" collapsed="false">
      <c r="A67" s="70" t="s">
        <v>27</v>
      </c>
      <c r="B67" s="77"/>
      <c r="C67" s="74"/>
      <c r="D67" s="74"/>
      <c r="E67" s="74"/>
      <c r="F67" s="72" t="n">
        <v>0</v>
      </c>
      <c r="G67" s="73" t="n">
        <v>4049.01960784314</v>
      </c>
      <c r="H67" s="76" t="n">
        <v>4183.98692810458</v>
      </c>
    </row>
    <row r="68" customFormat="false" ht="13.8" hidden="false" customHeight="false" outlineLevel="0" collapsed="false">
      <c r="A68" s="70" t="s">
        <v>17</v>
      </c>
      <c r="B68" s="77"/>
      <c r="C68" s="74"/>
      <c r="D68" s="74"/>
      <c r="E68" s="73" t="n">
        <v>9070.92746666667</v>
      </c>
      <c r="F68" s="72" t="n">
        <v>44766.2461333333</v>
      </c>
      <c r="G68" s="74"/>
      <c r="H68" s="75"/>
    </row>
    <row r="69" customFormat="false" ht="13.8" hidden="false" customHeight="false" outlineLevel="0" collapsed="false">
      <c r="A69" s="70" t="s">
        <v>41</v>
      </c>
      <c r="B69" s="71" t="n">
        <v>11591.9395465995</v>
      </c>
      <c r="C69" s="72" t="n">
        <v>11978.3375314861</v>
      </c>
      <c r="D69" s="72" t="n">
        <v>11591.9395465995</v>
      </c>
      <c r="E69" s="73" t="n">
        <v>11978.3375314861</v>
      </c>
      <c r="F69" s="72" t="n">
        <v>11978.3375314861</v>
      </c>
      <c r="G69" s="73" t="n">
        <v>11591.9395465995</v>
      </c>
      <c r="H69" s="76" t="n">
        <v>11978.3375314861</v>
      </c>
    </row>
    <row r="70" customFormat="false" ht="13.8" hidden="false" customHeight="false" outlineLevel="0" collapsed="false">
      <c r="A70" s="70" t="s">
        <v>39</v>
      </c>
      <c r="B70" s="71" t="n">
        <v>6782.84671532847</v>
      </c>
      <c r="C70" s="72" t="n">
        <v>7008.94160583942</v>
      </c>
      <c r="D70" s="72" t="n">
        <v>6782.84671532847</v>
      </c>
      <c r="E70" s="73" t="n">
        <v>7008.94160583942</v>
      </c>
      <c r="F70" s="72" t="n">
        <v>7008.94160583942</v>
      </c>
      <c r="G70" s="73" t="n">
        <v>6782.84671532847</v>
      </c>
      <c r="H70" s="76" t="n">
        <v>7008.94160583942</v>
      </c>
    </row>
    <row r="71" customFormat="false" ht="13.8" hidden="false" customHeight="false" outlineLevel="0" collapsed="false">
      <c r="A71" s="70" t="s">
        <v>33</v>
      </c>
      <c r="B71" s="77"/>
      <c r="C71" s="74"/>
      <c r="D71" s="74"/>
      <c r="E71" s="73" t="n">
        <v>5813.86861313869</v>
      </c>
      <c r="F71" s="72" t="n">
        <v>18022.9927007299</v>
      </c>
      <c r="G71" s="73" t="n">
        <v>17441.6058394161</v>
      </c>
      <c r="H71" s="76" t="n">
        <v>18022.9927007299</v>
      </c>
    </row>
    <row r="72" customFormat="false" ht="13.8" hidden="false" customHeight="false" outlineLevel="0" collapsed="false">
      <c r="A72" s="70" t="s">
        <v>15</v>
      </c>
      <c r="B72" s="77"/>
      <c r="C72" s="74"/>
      <c r="D72" s="74"/>
      <c r="E72" s="74"/>
      <c r="F72" s="74"/>
      <c r="G72" s="73" t="n">
        <v>4720</v>
      </c>
      <c r="H72" s="75"/>
    </row>
    <row r="73" customFormat="false" ht="13.8" hidden="false" customHeight="false" outlineLevel="0" collapsed="false">
      <c r="A73" s="70" t="s">
        <v>16</v>
      </c>
      <c r="B73" s="77"/>
      <c r="C73" s="74"/>
      <c r="D73" s="74"/>
      <c r="E73" s="74"/>
      <c r="F73" s="74"/>
      <c r="G73" s="73" t="n">
        <v>0</v>
      </c>
      <c r="H73" s="76" t="n">
        <v>0</v>
      </c>
    </row>
    <row r="74" customFormat="false" ht="13.8" hidden="false" customHeight="false" outlineLevel="0" collapsed="false">
      <c r="A74" s="70" t="s">
        <v>32</v>
      </c>
      <c r="B74" s="77"/>
      <c r="C74" s="74"/>
      <c r="D74" s="74"/>
      <c r="E74" s="74"/>
      <c r="F74" s="74"/>
      <c r="G74" s="73" t="n">
        <v>137030.4</v>
      </c>
      <c r="H74" s="76" t="n">
        <v>176997.6</v>
      </c>
    </row>
    <row r="75" customFormat="false" ht="13.8" hidden="false" customHeight="false" outlineLevel="0" collapsed="false">
      <c r="A75" s="70" t="s">
        <v>30</v>
      </c>
      <c r="B75" s="71" t="n">
        <v>11999.6703296703</v>
      </c>
      <c r="C75" s="72" t="n">
        <v>12399.6593406593</v>
      </c>
      <c r="D75" s="72" t="n">
        <v>11999.6703296703</v>
      </c>
      <c r="E75" s="73" t="n">
        <v>12399.6593406593</v>
      </c>
      <c r="F75" s="72" t="n">
        <v>799.978021978022</v>
      </c>
      <c r="G75" s="74"/>
      <c r="H75" s="75"/>
    </row>
    <row r="76" customFormat="false" ht="13.8" hidden="false" customHeight="false" outlineLevel="0" collapsed="false">
      <c r="A76" s="70" t="s">
        <v>28</v>
      </c>
      <c r="B76" s="71" t="n">
        <v>5771.73913043478</v>
      </c>
      <c r="C76" s="72" t="n">
        <v>5964.13043478261</v>
      </c>
      <c r="D76" s="72" t="n">
        <v>5771.73913043478</v>
      </c>
      <c r="E76" s="73" t="n">
        <v>5964.13043478261</v>
      </c>
      <c r="F76" s="72" t="n">
        <v>5964.13043478261</v>
      </c>
      <c r="G76" s="73" t="n">
        <v>1923.91304347826</v>
      </c>
      <c r="H76" s="76" t="n">
        <v>100988.653186813</v>
      </c>
    </row>
    <row r="77" customFormat="false" ht="13.8" hidden="false" customHeight="false" outlineLevel="0" collapsed="false">
      <c r="A77" s="70" t="s">
        <v>73</v>
      </c>
      <c r="B77" s="77"/>
      <c r="C77" s="74"/>
      <c r="D77" s="74"/>
      <c r="E77" s="74"/>
      <c r="F77" s="74"/>
      <c r="G77" s="74"/>
      <c r="H77" s="75"/>
    </row>
    <row r="78" customFormat="false" ht="13.8" hidden="false" customHeight="false" outlineLevel="0" collapsed="false">
      <c r="A78" s="70" t="s">
        <v>36</v>
      </c>
      <c r="B78" s="77"/>
      <c r="C78" s="74"/>
      <c r="D78" s="74"/>
      <c r="E78" s="74"/>
      <c r="F78" s="74"/>
      <c r="G78" s="74"/>
      <c r="H78" s="76" t="n">
        <v>634.201954397394</v>
      </c>
    </row>
    <row r="79" customFormat="false" ht="13.8" hidden="false" customHeight="false" outlineLevel="0" collapsed="false">
      <c r="A79" s="70" t="s">
        <v>74</v>
      </c>
      <c r="B79" s="77"/>
      <c r="C79" s="74"/>
      <c r="D79" s="74"/>
      <c r="E79" s="74"/>
      <c r="F79" s="74"/>
      <c r="G79" s="74"/>
      <c r="H79" s="75"/>
    </row>
    <row r="80" customFormat="false" ht="13.8" hidden="false" customHeight="false" outlineLevel="0" collapsed="false">
      <c r="A80" s="70" t="s">
        <v>34</v>
      </c>
      <c r="B80" s="77"/>
      <c r="C80" s="74"/>
      <c r="D80" s="74"/>
      <c r="E80" s="74"/>
      <c r="F80" s="74"/>
      <c r="G80" s="74"/>
      <c r="H80" s="76" t="n">
        <v>15738.4172473868</v>
      </c>
    </row>
    <row r="81" customFormat="false" ht="13.8" hidden="false" customHeight="false" outlineLevel="0" collapsed="false">
      <c r="A81" s="70" t="s">
        <v>22</v>
      </c>
      <c r="B81" s="77"/>
      <c r="C81" s="74"/>
      <c r="D81" s="74"/>
      <c r="E81" s="74"/>
      <c r="F81" s="74"/>
      <c r="G81" s="74"/>
      <c r="H81" s="76" t="n">
        <v>5133.88563380282</v>
      </c>
    </row>
    <row r="82" customFormat="false" ht="13.8" hidden="false" customHeight="false" outlineLevel="0" collapsed="false">
      <c r="A82" s="70" t="s">
        <v>35</v>
      </c>
      <c r="B82" s="78"/>
      <c r="C82" s="79"/>
      <c r="D82" s="79"/>
      <c r="E82" s="79"/>
      <c r="F82" s="79"/>
      <c r="G82" s="79"/>
      <c r="H82" s="80" t="n">
        <v>4803.33087837838</v>
      </c>
    </row>
    <row r="83" customFormat="false" ht="13.8" hidden="false" customHeight="false" outlineLevel="0" collapsed="false">
      <c r="A83" s="81" t="s">
        <v>75</v>
      </c>
      <c r="B83" s="82" t="n">
        <v>1759682.33107687</v>
      </c>
      <c r="C83" s="83" t="n">
        <v>2405272.20888301</v>
      </c>
      <c r="D83" s="83" t="n">
        <v>2757193.1171927</v>
      </c>
      <c r="E83" s="84" t="n">
        <v>3403038.50989584</v>
      </c>
      <c r="F83" s="83" t="n">
        <v>4281722.23421013</v>
      </c>
      <c r="G83" s="84" t="n">
        <v>5248273.35939396</v>
      </c>
      <c r="H83" s="85" t="n">
        <v>5977772.34786129</v>
      </c>
    </row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>
      <c r="B86" s="90" t="n">
        <f aca="false">B85/118%</f>
        <v>0</v>
      </c>
      <c r="C86" s="90" t="n">
        <f aca="false">C85/118%</f>
        <v>0</v>
      </c>
      <c r="D86" s="90" t="n">
        <f aca="false">D85/118%</f>
        <v>0</v>
      </c>
      <c r="E86" s="90" t="n">
        <f aca="false">E85/118%</f>
        <v>0</v>
      </c>
      <c r="F86" s="90" t="n">
        <f aca="false">F85/118%</f>
        <v>0</v>
      </c>
      <c r="G86" s="90" t="n">
        <f aca="false">G85/118%</f>
        <v>0</v>
      </c>
      <c r="H86" s="90" t="n">
        <f aca="false">H85/118%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471"/>
  <sheetViews>
    <sheetView showFormulas="false" showGridLines="true" showRowColHeaders="true" showZeros="true" rightToLeft="false" tabSelected="true" showOutlineSymbols="true" defaultGridColor="true" view="normal" topLeftCell="S389" colorId="64" zoomScale="70" zoomScaleNormal="70" zoomScalePageLayoutView="100" workbookViewId="0">
      <selection pane="topLeft" activeCell="AC4" activeCellId="0" sqref="AC4:AE412"/>
    </sheetView>
  </sheetViews>
  <sheetFormatPr defaultColWidth="12.63671875" defaultRowHeight="15" zeroHeight="false" outlineLevelRow="0" outlineLevelCol="0"/>
  <cols>
    <col collapsed="false" customWidth="true" hidden="false" outlineLevel="0" max="1" min="1" style="91" width="23.45"/>
    <col collapsed="false" customWidth="true" hidden="false" outlineLevel="0" max="2" min="2" style="91" width="24.54"/>
    <col collapsed="false" customWidth="true" hidden="false" outlineLevel="0" max="3" min="3" style="91" width="41.54"/>
    <col collapsed="false" customWidth="true" hidden="false" outlineLevel="0" max="4" min="4" style="91" width="33"/>
    <col collapsed="false" customWidth="true" hidden="true" outlineLevel="0" max="5" min="5" style="91" width="10"/>
    <col collapsed="false" customWidth="true" hidden="false" outlineLevel="0" max="6" min="6" style="91" width="14"/>
    <col collapsed="false" customWidth="true" hidden="false" outlineLevel="0" max="7" min="7" style="91" width="13.18"/>
    <col collapsed="false" customWidth="true" hidden="false" outlineLevel="0" max="8" min="8" style="91" width="33.9"/>
    <col collapsed="false" customWidth="true" hidden="false" outlineLevel="0" max="9" min="9" style="92" width="12.82"/>
    <col collapsed="false" customWidth="true" hidden="false" outlineLevel="0" max="10" min="10" style="91" width="14.54"/>
    <col collapsed="false" customWidth="true" hidden="false" outlineLevel="0" max="11" min="11" style="93" width="12.54"/>
    <col collapsed="false" customWidth="true" hidden="false" outlineLevel="0" max="12" min="12" style="91" width="10.54"/>
    <col collapsed="false" customWidth="true" hidden="false" outlineLevel="0" max="13" min="13" style="91" width="13.9"/>
    <col collapsed="false" customWidth="true" hidden="false" outlineLevel="0" max="14" min="14" style="94" width="12.18"/>
    <col collapsed="false" customWidth="true" hidden="false" outlineLevel="0" max="15" min="15" style="94" width="13.54"/>
    <col collapsed="false" customWidth="true" hidden="false" outlineLevel="0" max="16" min="16" style="94" width="13.36"/>
    <col collapsed="false" customWidth="false" hidden="false" outlineLevel="0" max="19" min="17" style="91" width="12.63"/>
    <col collapsed="false" customWidth="false" hidden="false" outlineLevel="0" max="20" min="20" style="93" width="12.63"/>
    <col collapsed="false" customWidth="false" hidden="false" outlineLevel="0" max="21" min="21" style="91" width="12.63"/>
    <col collapsed="false" customWidth="false" hidden="false" outlineLevel="0" max="22" min="22" style="93" width="12.63"/>
    <col collapsed="false" customWidth="false" hidden="false" outlineLevel="0" max="23" min="23" style="95" width="12.63"/>
    <col collapsed="false" customWidth="false" hidden="false" outlineLevel="0" max="24" min="24" style="91" width="12.63"/>
    <col collapsed="false" customWidth="true" hidden="false" outlineLevel="0" max="25" min="25" style="93" width="21.27"/>
    <col collapsed="false" customWidth="false" hidden="false" outlineLevel="0" max="28" min="26" style="91" width="12.63"/>
    <col collapsed="false" customWidth="false" hidden="false" outlineLevel="0" max="31" min="29" style="96" width="12.63"/>
    <col collapsed="false" customWidth="false" hidden="false" outlineLevel="0" max="16384" min="32" style="91" width="12.63"/>
  </cols>
  <sheetData>
    <row r="1" s="98" customFormat="true" ht="31.5" hidden="false" customHeight="true" outlineLevel="0" collapsed="false">
      <c r="A1" s="97" t="s">
        <v>0</v>
      </c>
      <c r="F1" s="99" t="s">
        <v>84</v>
      </c>
      <c r="G1" s="100" t="n">
        <v>30</v>
      </c>
      <c r="H1" s="101" t="n">
        <v>45777</v>
      </c>
      <c r="I1" s="102" t="n">
        <v>45748</v>
      </c>
      <c r="J1" s="103"/>
      <c r="K1" s="104"/>
      <c r="M1" s="105"/>
      <c r="N1" s="106" t="n">
        <v>45778</v>
      </c>
      <c r="O1" s="106" t="n">
        <v>45808</v>
      </c>
      <c r="P1" s="103"/>
      <c r="Q1" s="105"/>
      <c r="R1" s="102" t="n">
        <v>45809</v>
      </c>
      <c r="S1" s="105"/>
      <c r="T1" s="103"/>
      <c r="V1" s="103"/>
      <c r="W1" s="102" t="n">
        <v>45870</v>
      </c>
      <c r="X1" s="105"/>
      <c r="Y1" s="103"/>
      <c r="AC1" s="107"/>
      <c r="AD1" s="107"/>
      <c r="AE1" s="107"/>
    </row>
    <row r="2" s="98" customFormat="true" ht="31.5" hidden="false" customHeight="true" outlineLevel="0" collapsed="false">
      <c r="A2" s="108" t="s">
        <v>85</v>
      </c>
      <c r="B2" s="108"/>
      <c r="F2" s="99"/>
      <c r="G2" s="100"/>
      <c r="H2" s="109"/>
      <c r="I2" s="104" t="n">
        <f aca="false">SUBTOTAL(9,I4:I1944)</f>
        <v>64954444.3636</v>
      </c>
      <c r="J2" s="104" t="n">
        <f aca="false">SUBTOTAL(9,J4:J1944)</f>
        <v>2055112.66333333</v>
      </c>
      <c r="K2" s="104" t="n">
        <f aca="false">SUBTOTAL(9,K4:K1944)</f>
        <v>2552644.00326667</v>
      </c>
      <c r="N2" s="104" t="n">
        <f aca="false">SUBTOTAL(9,N4:N1944)</f>
        <v>1759682.33107687</v>
      </c>
      <c r="O2" s="106"/>
      <c r="P2" s="104" t="n">
        <f aca="false">SUBTOTAL(9,P4:P1944)</f>
        <v>2405272.20888301</v>
      </c>
      <c r="Q2" s="104" t="n">
        <f aca="false">SUBTOTAL(9,Q4:Q1944)</f>
        <v>3025882.03175439</v>
      </c>
      <c r="R2" s="102" t="n">
        <v>45838</v>
      </c>
      <c r="S2" s="104" t="n">
        <f aca="false">SUBTOTAL(9,S4:S1944)</f>
        <v>2757193.1171927</v>
      </c>
      <c r="T2" s="104" t="n">
        <f aca="false">SUBTOTAL(9,T4:T1944)</f>
        <v>3675610.13128116</v>
      </c>
      <c r="U2" s="102" t="n">
        <v>45869</v>
      </c>
      <c r="V2" s="104" t="n">
        <f aca="false">SUBTOTAL(9,V4:V1944)</f>
        <v>3382483.67118617</v>
      </c>
      <c r="W2" s="102" t="n">
        <v>45900</v>
      </c>
      <c r="X2" s="104" t="n">
        <f aca="false">SUBTOTAL(9,X4:X1944)</f>
        <v>4553680.575</v>
      </c>
      <c r="Y2" s="104" t="n">
        <f aca="false">SUBTOTAL(9,Y4:Y1944)</f>
        <v>4278677.07291981</v>
      </c>
      <c r="Z2" s="102" t="n">
        <v>45930</v>
      </c>
      <c r="AA2" s="104" t="n">
        <f aca="false">SUBTOTAL(9,AA4:AA1944)</f>
        <v>5422252.72247266</v>
      </c>
      <c r="AB2" s="104" t="n">
        <f aca="false">SUBTOTAL(9,AB4:AB1944)</f>
        <v>5248253.96213369</v>
      </c>
      <c r="AC2" s="110" t="n">
        <v>45961</v>
      </c>
      <c r="AD2" s="104" t="n">
        <f aca="false">SUBTOTAL(9,AD4:AD1944)</f>
        <v>0</v>
      </c>
      <c r="AE2" s="104" t="n">
        <f aca="false">SUBTOTAL(9,AE4:AE1944)</f>
        <v>0</v>
      </c>
    </row>
    <row r="3" s="124" customFormat="true" ht="61.5" hidden="false" customHeight="true" outlineLevel="0" collapsed="false">
      <c r="A3" s="111" t="s">
        <v>86</v>
      </c>
      <c r="B3" s="111" t="s">
        <v>87</v>
      </c>
      <c r="C3" s="111" t="s">
        <v>88</v>
      </c>
      <c r="D3" s="112" t="s">
        <v>89</v>
      </c>
      <c r="E3" s="111" t="s">
        <v>90</v>
      </c>
      <c r="F3" s="111" t="s">
        <v>91</v>
      </c>
      <c r="G3" s="111" t="s">
        <v>92</v>
      </c>
      <c r="H3" s="111" t="s">
        <v>64</v>
      </c>
      <c r="I3" s="113" t="s">
        <v>93</v>
      </c>
      <c r="J3" s="114" t="s">
        <v>94</v>
      </c>
      <c r="K3" s="115" t="s">
        <v>95</v>
      </c>
      <c r="L3" s="114" t="s">
        <v>96</v>
      </c>
      <c r="M3" s="114" t="s">
        <v>97</v>
      </c>
      <c r="N3" s="114" t="s">
        <v>98</v>
      </c>
      <c r="O3" s="114" t="s">
        <v>99</v>
      </c>
      <c r="P3" s="114" t="s">
        <v>100</v>
      </c>
      <c r="Q3" s="116" t="s">
        <v>101</v>
      </c>
      <c r="R3" s="116" t="s">
        <v>102</v>
      </c>
      <c r="S3" s="117" t="s">
        <v>103</v>
      </c>
      <c r="T3" s="118" t="s">
        <v>104</v>
      </c>
      <c r="U3" s="116" t="s">
        <v>105</v>
      </c>
      <c r="V3" s="119" t="s">
        <v>106</v>
      </c>
      <c r="W3" s="116" t="s">
        <v>107</v>
      </c>
      <c r="X3" s="120" t="s">
        <v>108</v>
      </c>
      <c r="Y3" s="119" t="s">
        <v>109</v>
      </c>
      <c r="Z3" s="116" t="s">
        <v>110</v>
      </c>
      <c r="AA3" s="120" t="s">
        <v>111</v>
      </c>
      <c r="AB3" s="118" t="s">
        <v>112</v>
      </c>
      <c r="AC3" s="121" t="s">
        <v>113</v>
      </c>
      <c r="AD3" s="122" t="s">
        <v>114</v>
      </c>
      <c r="AE3" s="123" t="s">
        <v>115</v>
      </c>
    </row>
    <row r="4" s="137" customFormat="true" ht="15" hidden="false" customHeight="true" outlineLevel="0" collapsed="false">
      <c r="A4" s="125" t="n">
        <v>0</v>
      </c>
      <c r="B4" s="126" t="n">
        <v>45748</v>
      </c>
      <c r="C4" s="127" t="s">
        <v>116</v>
      </c>
      <c r="D4" s="127" t="s">
        <v>117</v>
      </c>
      <c r="E4" s="128" t="s">
        <v>118</v>
      </c>
      <c r="F4" s="129" t="n">
        <v>45748</v>
      </c>
      <c r="G4" s="129" t="n">
        <v>45838</v>
      </c>
      <c r="H4" s="130" t="s">
        <v>24</v>
      </c>
      <c r="I4" s="131" t="n">
        <f aca="false">60000+10800</f>
        <v>70800</v>
      </c>
      <c r="J4" s="132" t="n">
        <v>23600</v>
      </c>
      <c r="K4" s="132" t="n">
        <f aca="false">I4/3</f>
        <v>23600</v>
      </c>
      <c r="L4" s="127" t="n">
        <f aca="false">G4-F4+1</f>
        <v>91</v>
      </c>
      <c r="M4" s="127" t="n">
        <f aca="false">$H$1-F4+1</f>
        <v>30</v>
      </c>
      <c r="N4" s="132" t="n">
        <f aca="false">I4/L4*M4</f>
        <v>23340.6593406593</v>
      </c>
      <c r="O4" s="132" t="n">
        <f aca="false">IF(F4&lt;$O$1,31,$O$1-F4)</f>
        <v>31</v>
      </c>
      <c r="P4" s="131" t="n">
        <f aca="false">O4*I4/L4</f>
        <v>24118.6813186813</v>
      </c>
      <c r="Q4" s="133" t="n">
        <f aca="false">I4/3</f>
        <v>23600</v>
      </c>
      <c r="R4" s="127" t="n">
        <f aca="false">IF(F4&lt;$R$2,30,$R$2-F4)</f>
        <v>30</v>
      </c>
      <c r="S4" s="134" t="n">
        <f aca="false">R4*I4/L4</f>
        <v>23340.6593406593</v>
      </c>
      <c r="T4" s="127"/>
      <c r="U4" s="132" t="n">
        <f aca="false">IF(F5&lt;$U$2,31,$U$2-F5)</f>
        <v>31</v>
      </c>
      <c r="V4" s="127"/>
      <c r="W4" s="135" t="n">
        <v>0</v>
      </c>
      <c r="X4" s="132" t="n">
        <v>0</v>
      </c>
      <c r="Y4" s="127" t="n">
        <v>0</v>
      </c>
      <c r="Z4" s="127"/>
      <c r="AA4" s="127"/>
      <c r="AB4" s="127"/>
      <c r="AC4" s="136"/>
      <c r="AD4" s="136"/>
      <c r="AE4" s="136"/>
    </row>
    <row r="5" customFormat="false" ht="15" hidden="false" customHeight="true" outlineLevel="0" collapsed="false">
      <c r="A5" s="138" t="s">
        <v>119</v>
      </c>
      <c r="B5" s="139" t="n">
        <v>45748</v>
      </c>
      <c r="C5" s="128" t="s">
        <v>120</v>
      </c>
      <c r="D5" s="128" t="s">
        <v>121</v>
      </c>
      <c r="E5" s="128" t="s">
        <v>118</v>
      </c>
      <c r="F5" s="140" t="n">
        <v>45748</v>
      </c>
      <c r="G5" s="140" t="n">
        <v>45808</v>
      </c>
      <c r="H5" s="128" t="s">
        <v>21</v>
      </c>
      <c r="I5" s="131" t="n">
        <v>35400</v>
      </c>
      <c r="J5" s="132" t="n">
        <v>17700</v>
      </c>
      <c r="K5" s="132" t="n">
        <f aca="false">I5/2</f>
        <v>17700</v>
      </c>
      <c r="L5" s="127" t="n">
        <f aca="false">G5-F5+1</f>
        <v>61</v>
      </c>
      <c r="M5" s="128" t="n">
        <f aca="false">$H$1-F5+1</f>
        <v>30</v>
      </c>
      <c r="N5" s="132" t="n">
        <f aca="false">I5/L5*M5</f>
        <v>17409.8360655738</v>
      </c>
      <c r="O5" s="132" t="n">
        <f aca="false">IF(F5&lt;$O$1,31,$O$1-F5)</f>
        <v>31</v>
      </c>
      <c r="P5" s="131" t="n">
        <f aca="false">O5*I5/L5</f>
        <v>17990.1639344262</v>
      </c>
      <c r="Q5" s="128"/>
      <c r="R5" s="128" t="n">
        <f aca="false">IF(F5&lt;$R$2,30,$R$2-F5)</f>
        <v>30</v>
      </c>
      <c r="S5" s="128"/>
      <c r="T5" s="128"/>
      <c r="U5" s="132" t="n">
        <f aca="false">IF(F6&lt;$U$2,31,$U$2-F6)</f>
        <v>31</v>
      </c>
      <c r="V5" s="128"/>
      <c r="W5" s="141" t="n">
        <v>0</v>
      </c>
      <c r="X5" s="132" t="n">
        <v>0</v>
      </c>
      <c r="Y5" s="128" t="n">
        <v>0</v>
      </c>
      <c r="Z5" s="128"/>
      <c r="AA5" s="128"/>
      <c r="AB5" s="128"/>
      <c r="AC5" s="136"/>
      <c r="AD5" s="136"/>
      <c r="AE5" s="136"/>
    </row>
    <row r="6" s="137" customFormat="true" ht="15" hidden="false" customHeight="true" outlineLevel="0" collapsed="false">
      <c r="A6" s="125" t="n">
        <v>0</v>
      </c>
      <c r="B6" s="126" t="n">
        <v>45748</v>
      </c>
      <c r="C6" s="127" t="s">
        <v>122</v>
      </c>
      <c r="D6" s="127" t="s">
        <v>123</v>
      </c>
      <c r="E6" s="128" t="s">
        <v>118</v>
      </c>
      <c r="F6" s="129" t="n">
        <v>45749</v>
      </c>
      <c r="G6" s="129" t="n">
        <v>45932</v>
      </c>
      <c r="H6" s="142" t="s">
        <v>29</v>
      </c>
      <c r="I6" s="131" t="n">
        <f aca="false">993600+178848</f>
        <v>1172448</v>
      </c>
      <c r="J6" s="132" t="n">
        <v>195408</v>
      </c>
      <c r="K6" s="132" t="n">
        <f aca="false">I6/6</f>
        <v>195408</v>
      </c>
      <c r="L6" s="127" t="n">
        <f aca="false">G6-F6+1</f>
        <v>184</v>
      </c>
      <c r="M6" s="127" t="n">
        <f aca="false">$H$1-F6+1</f>
        <v>29</v>
      </c>
      <c r="N6" s="132" t="n">
        <f aca="false">I6/L6*M6</f>
        <v>184788</v>
      </c>
      <c r="O6" s="132" t="n">
        <f aca="false">IF(F6&lt;$O$1,31,$O$1-F6)</f>
        <v>31</v>
      </c>
      <c r="P6" s="131" t="n">
        <f aca="false">O6*I6/L6</f>
        <v>197532</v>
      </c>
      <c r="Q6" s="133" t="n">
        <f aca="false">I6/6</f>
        <v>195408</v>
      </c>
      <c r="R6" s="127" t="n">
        <f aca="false">IF(F6&lt;$R$2,30,$R$2-F6)</f>
        <v>30</v>
      </c>
      <c r="S6" s="133" t="n">
        <f aca="false">R6*I6/L6</f>
        <v>191160</v>
      </c>
      <c r="T6" s="133" t="n">
        <f aca="false">I6/6</f>
        <v>195408</v>
      </c>
      <c r="U6" s="132" t="n">
        <f aca="false">IF(F7&lt;$U$2,31,$U$2-F7)</f>
        <v>31</v>
      </c>
      <c r="V6" s="131" t="n">
        <f aca="false">I6*U6/L6</f>
        <v>197532</v>
      </c>
      <c r="W6" s="135" t="n">
        <f aca="false">IF(F6&lt;$W$2,31,$W$2-F6)</f>
        <v>31</v>
      </c>
      <c r="X6" s="132" t="n">
        <f aca="false">I6/6</f>
        <v>195408</v>
      </c>
      <c r="Y6" s="131" t="n">
        <f aca="false">I6*W6/L6</f>
        <v>197532</v>
      </c>
      <c r="Z6" s="135" t="n">
        <f aca="false">IF(F6&lt;$Z$2,30,$Z$2-I6)</f>
        <v>30</v>
      </c>
      <c r="AA6" s="134" t="n">
        <f aca="false">I6/6</f>
        <v>195408</v>
      </c>
      <c r="AB6" s="134" t="n">
        <f aca="false">Z6*I6/L6</f>
        <v>191160</v>
      </c>
      <c r="AC6" s="143"/>
      <c r="AD6" s="136"/>
      <c r="AE6" s="144"/>
    </row>
    <row r="7" s="137" customFormat="true" ht="15" hidden="false" customHeight="true" outlineLevel="0" collapsed="false">
      <c r="A7" s="125" t="n">
        <v>0</v>
      </c>
      <c r="B7" s="126" t="s">
        <v>124</v>
      </c>
      <c r="C7" s="127" t="s">
        <v>125</v>
      </c>
      <c r="D7" s="127" t="s">
        <v>126</v>
      </c>
      <c r="E7" s="128" t="s">
        <v>118</v>
      </c>
      <c r="F7" s="129" t="n">
        <v>45748</v>
      </c>
      <c r="G7" s="129" t="n">
        <v>45808</v>
      </c>
      <c r="H7" s="142" t="s">
        <v>20</v>
      </c>
      <c r="I7" s="131" t="n">
        <f aca="false">35400*2</f>
        <v>70800</v>
      </c>
      <c r="J7" s="132" t="n">
        <v>35400</v>
      </c>
      <c r="K7" s="132" t="n">
        <v>35400</v>
      </c>
      <c r="L7" s="127" t="n">
        <f aca="false">G7-F7+1</f>
        <v>61</v>
      </c>
      <c r="M7" s="127" t="n">
        <f aca="false">$H$1-F7+1</f>
        <v>30</v>
      </c>
      <c r="N7" s="132" t="n">
        <f aca="false">I7/L7*M7</f>
        <v>34819.6721311475</v>
      </c>
      <c r="O7" s="132" t="n">
        <f aca="false">IF(F7&lt;$O$1,31,$O$1-F7)</f>
        <v>31</v>
      </c>
      <c r="P7" s="131" t="n">
        <f aca="false">O7*I7/L7</f>
        <v>35980.3278688525</v>
      </c>
      <c r="Q7" s="127"/>
      <c r="R7" s="127" t="n">
        <f aca="false">IF(F7&lt;$R$2,30,$R$2-F7)</f>
        <v>30</v>
      </c>
      <c r="S7" s="127"/>
      <c r="T7" s="127"/>
      <c r="U7" s="132" t="n">
        <f aca="false">IF(F8&lt;$U$2,31,$U$2-F8)</f>
        <v>31</v>
      </c>
      <c r="V7" s="127"/>
      <c r="W7" s="135" t="n">
        <v>0</v>
      </c>
      <c r="X7" s="132" t="n">
        <v>0</v>
      </c>
      <c r="Y7" s="127" t="n">
        <v>0</v>
      </c>
      <c r="Z7" s="127"/>
      <c r="AA7" s="127"/>
      <c r="AB7" s="127"/>
      <c r="AC7" s="136"/>
      <c r="AD7" s="136"/>
      <c r="AE7" s="136"/>
    </row>
    <row r="8" customFormat="false" ht="15" hidden="false" customHeight="true" outlineLevel="0" collapsed="false">
      <c r="A8" s="138" t="n">
        <v>0</v>
      </c>
      <c r="B8" s="139" t="n">
        <v>45748</v>
      </c>
      <c r="C8" s="128" t="s">
        <v>127</v>
      </c>
      <c r="D8" s="128" t="s">
        <v>128</v>
      </c>
      <c r="E8" s="128" t="s">
        <v>118</v>
      </c>
      <c r="F8" s="140" t="n">
        <v>45750</v>
      </c>
      <c r="G8" s="140" t="n">
        <v>46114</v>
      </c>
      <c r="H8" s="145" t="s">
        <v>9</v>
      </c>
      <c r="I8" s="131" t="n">
        <v>116820</v>
      </c>
      <c r="J8" s="132" t="n">
        <v>9735</v>
      </c>
      <c r="K8" s="132" t="n">
        <f aca="false">I8/12</f>
        <v>9735</v>
      </c>
      <c r="L8" s="127" t="n">
        <f aca="false">G8-F8+1</f>
        <v>365</v>
      </c>
      <c r="M8" s="128" t="n">
        <f aca="false">$H$1-F8+1</f>
        <v>28</v>
      </c>
      <c r="N8" s="132" t="n">
        <f aca="false">I8/L8*M8</f>
        <v>8961.53424657534</v>
      </c>
      <c r="O8" s="132" t="n">
        <f aca="false">IF(F8&lt;$O$1,31,$O$1-F8)</f>
        <v>31</v>
      </c>
      <c r="P8" s="131" t="n">
        <f aca="false">O8*I8/L8</f>
        <v>9921.69863013699</v>
      </c>
      <c r="Q8" s="146" t="n">
        <f aca="false">I8/12</f>
        <v>9735</v>
      </c>
      <c r="R8" s="128" t="n">
        <f aca="false">IF(F8&lt;$R$2,30,$R$2-F8)</f>
        <v>30</v>
      </c>
      <c r="S8" s="146" t="n">
        <f aca="false">R8*I8/L8</f>
        <v>9601.64383561644</v>
      </c>
      <c r="T8" s="146" t="n">
        <f aca="false">I8/12</f>
        <v>9735</v>
      </c>
      <c r="U8" s="132" t="n">
        <f aca="false">IF(F9&lt;$U$2,31,$U$2-F9)</f>
        <v>31</v>
      </c>
      <c r="V8" s="131" t="n">
        <f aca="false">I8*U8/L8</f>
        <v>9921.69863013699</v>
      </c>
      <c r="W8" s="141" t="n">
        <f aca="false">IF(F8&lt;$W$2,31,$W$2-F8)</f>
        <v>31</v>
      </c>
      <c r="X8" s="132" t="n">
        <f aca="false">I8/12</f>
        <v>9735</v>
      </c>
      <c r="Y8" s="131" t="n">
        <f aca="false">I8*W8/L8</f>
        <v>9921.69863013699</v>
      </c>
      <c r="Z8" s="141" t="n">
        <f aca="false">IF(F8&lt;$Z$2,30,$Z$2-I8)</f>
        <v>30</v>
      </c>
      <c r="AA8" s="147" t="n">
        <f aca="false">I8/12</f>
        <v>9735</v>
      </c>
      <c r="AB8" s="147" t="n">
        <f aca="false">I8*Z8/L8</f>
        <v>9601.64383561644</v>
      </c>
      <c r="AC8" s="143"/>
      <c r="AD8" s="144"/>
      <c r="AE8" s="144"/>
    </row>
    <row r="9" s="137" customFormat="true" ht="15" hidden="false" customHeight="true" outlineLevel="0" collapsed="false">
      <c r="A9" s="125" t="s">
        <v>129</v>
      </c>
      <c r="B9" s="126" t="n">
        <v>45748</v>
      </c>
      <c r="C9" s="127" t="s">
        <v>130</v>
      </c>
      <c r="D9" s="127" t="s">
        <v>131</v>
      </c>
      <c r="E9" s="128" t="s">
        <v>132</v>
      </c>
      <c r="F9" s="129" t="n">
        <v>45748</v>
      </c>
      <c r="G9" s="148" t="n">
        <v>45777</v>
      </c>
      <c r="H9" s="142" t="s">
        <v>19</v>
      </c>
      <c r="I9" s="131" t="n">
        <v>2360</v>
      </c>
      <c r="J9" s="132" t="n">
        <v>2360</v>
      </c>
      <c r="K9" s="132"/>
      <c r="L9" s="127" t="n">
        <f aca="false">G9-F9+1</f>
        <v>30</v>
      </c>
      <c r="M9" s="127" t="n">
        <v>30</v>
      </c>
      <c r="N9" s="132" t="n">
        <f aca="false">I9/L9*M9</f>
        <v>2360</v>
      </c>
      <c r="O9" s="132" t="n">
        <v>0</v>
      </c>
      <c r="P9" s="131" t="n">
        <f aca="false">O9*I9/L9</f>
        <v>0</v>
      </c>
      <c r="Q9" s="127"/>
      <c r="R9" s="127" t="n">
        <f aca="false">IF(F9&lt;$R$2,30,$R$2-F9)</f>
        <v>30</v>
      </c>
      <c r="S9" s="127"/>
      <c r="T9" s="127"/>
      <c r="U9" s="132" t="n">
        <f aca="false">IF(F10&lt;$U$2,31,$U$2-F10)</f>
        <v>31</v>
      </c>
      <c r="V9" s="127"/>
      <c r="W9" s="135" t="n">
        <v>0</v>
      </c>
      <c r="X9" s="132" t="n">
        <v>0</v>
      </c>
      <c r="Y9" s="127" t="n">
        <v>0</v>
      </c>
      <c r="Z9" s="127"/>
      <c r="AA9" s="127"/>
      <c r="AB9" s="127"/>
      <c r="AC9" s="136"/>
      <c r="AD9" s="136"/>
      <c r="AE9" s="136"/>
    </row>
    <row r="10" s="137" customFormat="true" ht="15" hidden="false" customHeight="true" outlineLevel="0" collapsed="false">
      <c r="A10" s="125" t="n">
        <v>0</v>
      </c>
      <c r="B10" s="126" t="n">
        <v>45748</v>
      </c>
      <c r="C10" s="127" t="s">
        <v>133</v>
      </c>
      <c r="D10" s="127" t="s">
        <v>134</v>
      </c>
      <c r="E10" s="128" t="s">
        <v>118</v>
      </c>
      <c r="F10" s="129" t="n">
        <v>45754</v>
      </c>
      <c r="G10" s="129" t="n">
        <v>45814</v>
      </c>
      <c r="H10" s="127" t="s">
        <v>21</v>
      </c>
      <c r="I10" s="131" t="n">
        <v>9440</v>
      </c>
      <c r="J10" s="132" t="n">
        <f aca="false">I10/2</f>
        <v>4720</v>
      </c>
      <c r="K10" s="132" t="n">
        <f aca="false">I10/2</f>
        <v>4720</v>
      </c>
      <c r="L10" s="127" t="n">
        <f aca="false">G10-F10+1</f>
        <v>61</v>
      </c>
      <c r="M10" s="127" t="n">
        <f aca="false">$H$1-F10+1</f>
        <v>24</v>
      </c>
      <c r="N10" s="132" t="n">
        <f aca="false">I10/L10*M10</f>
        <v>3714.09836065574</v>
      </c>
      <c r="O10" s="132" t="n">
        <f aca="false">IF(F10&lt;$O$1,31,$O$1-F10)</f>
        <v>31</v>
      </c>
      <c r="P10" s="131" t="n">
        <f aca="false">O10*I10/L10</f>
        <v>4797.37704918033</v>
      </c>
      <c r="Q10" s="132"/>
      <c r="R10" s="127" t="n">
        <f aca="false">G10-$R$1+1</f>
        <v>6</v>
      </c>
      <c r="S10" s="133" t="n">
        <f aca="false">R10*I10/L10</f>
        <v>928.524590163935</v>
      </c>
      <c r="T10" s="127"/>
      <c r="U10" s="132" t="n">
        <f aca="false">IF(F11&lt;$U$2,31,$U$2-F11)</f>
        <v>31</v>
      </c>
      <c r="V10" s="127"/>
      <c r="W10" s="135" t="n">
        <v>0</v>
      </c>
      <c r="X10" s="132" t="n">
        <v>0</v>
      </c>
      <c r="Y10" s="127" t="n">
        <v>0</v>
      </c>
      <c r="Z10" s="127"/>
      <c r="AA10" s="127"/>
      <c r="AB10" s="127"/>
      <c r="AC10" s="136"/>
      <c r="AD10" s="136"/>
      <c r="AE10" s="136"/>
    </row>
    <row r="11" customFormat="false" ht="15" hidden="false" customHeight="true" outlineLevel="0" collapsed="false">
      <c r="A11" s="138" t="s">
        <v>135</v>
      </c>
      <c r="B11" s="139" t="n">
        <v>45748</v>
      </c>
      <c r="C11" s="128" t="s">
        <v>136</v>
      </c>
      <c r="D11" s="128" t="s">
        <v>137</v>
      </c>
      <c r="E11" s="128" t="s">
        <v>118</v>
      </c>
      <c r="F11" s="140" t="n">
        <v>45762</v>
      </c>
      <c r="G11" s="140" t="n">
        <v>45791</v>
      </c>
      <c r="H11" s="145" t="s">
        <v>19</v>
      </c>
      <c r="I11" s="131" t="n">
        <f aca="false">5900*1</f>
        <v>5900</v>
      </c>
      <c r="J11" s="132" t="n">
        <v>5900</v>
      </c>
      <c r="K11" s="132" t="n">
        <v>0</v>
      </c>
      <c r="L11" s="127" t="n">
        <f aca="false">G11-F11+1</f>
        <v>30</v>
      </c>
      <c r="M11" s="128" t="n">
        <f aca="false">$H$1-F11+1</f>
        <v>16</v>
      </c>
      <c r="N11" s="132" t="n">
        <f aca="false">I11/L11*M11</f>
        <v>3146.66666666667</v>
      </c>
      <c r="O11" s="132" t="n">
        <f aca="false">G11-N1+1</f>
        <v>14</v>
      </c>
      <c r="P11" s="131" t="n">
        <f aca="false">O11*I11/L11</f>
        <v>2753.33333333333</v>
      </c>
      <c r="Q11" s="146"/>
      <c r="R11" s="128"/>
      <c r="S11" s="146" t="n">
        <f aca="false">R11*I11/L11</f>
        <v>0</v>
      </c>
      <c r="T11" s="146"/>
      <c r="U11" s="132"/>
      <c r="V11" s="131" t="n">
        <f aca="false">I11*U11/L11</f>
        <v>0</v>
      </c>
      <c r="W11" s="141" t="n">
        <v>0</v>
      </c>
      <c r="X11" s="132" t="n">
        <v>0</v>
      </c>
      <c r="Y11" s="128" t="n">
        <v>0</v>
      </c>
      <c r="Z11" s="128"/>
      <c r="AA11" s="128"/>
      <c r="AB11" s="128"/>
      <c r="AC11" s="136"/>
      <c r="AD11" s="136"/>
      <c r="AE11" s="136"/>
    </row>
    <row r="12" customFormat="false" ht="15" hidden="false" customHeight="true" outlineLevel="0" collapsed="false">
      <c r="A12" s="138" t="n">
        <v>0</v>
      </c>
      <c r="B12" s="139" t="n">
        <v>45748</v>
      </c>
      <c r="C12" s="128" t="s">
        <v>138</v>
      </c>
      <c r="D12" s="128" t="s">
        <v>139</v>
      </c>
      <c r="E12" s="128" t="s">
        <v>118</v>
      </c>
      <c r="F12" s="140" t="n">
        <v>45755</v>
      </c>
      <c r="G12" s="140" t="n">
        <v>46119</v>
      </c>
      <c r="H12" s="145" t="s">
        <v>9</v>
      </c>
      <c r="I12" s="131" t="n">
        <f aca="false">60000*118%</f>
        <v>70800</v>
      </c>
      <c r="J12" s="132" t="n">
        <v>5900</v>
      </c>
      <c r="K12" s="132" t="n">
        <f aca="false">I12/12</f>
        <v>5900</v>
      </c>
      <c r="L12" s="127" t="n">
        <f aca="false">G12-F12+1</f>
        <v>365</v>
      </c>
      <c r="M12" s="128" t="n">
        <f aca="false">$H$1-F12+1</f>
        <v>23</v>
      </c>
      <c r="N12" s="132" t="n">
        <f aca="false">I12/L12*M12</f>
        <v>4461.3698630137</v>
      </c>
      <c r="O12" s="132" t="n">
        <f aca="false">IF(F12&lt;$O$1,31,$O$1-F12)</f>
        <v>31</v>
      </c>
      <c r="P12" s="131" t="n">
        <f aca="false">O12*I12/L12</f>
        <v>6013.15068493151</v>
      </c>
      <c r="Q12" s="146" t="n">
        <f aca="false">I12/12</f>
        <v>5900</v>
      </c>
      <c r="R12" s="128" t="n">
        <f aca="false">IF(F12&lt;$R$2,30,$R$2-F12)</f>
        <v>30</v>
      </c>
      <c r="S12" s="146" t="n">
        <f aca="false">R12*I12/L12</f>
        <v>5819.17808219178</v>
      </c>
      <c r="T12" s="146" t="n">
        <f aca="false">I12/12</f>
        <v>5900</v>
      </c>
      <c r="U12" s="132" t="n">
        <f aca="false">IF(F13&lt;$U$2,31,$U$2-F13)</f>
        <v>31</v>
      </c>
      <c r="V12" s="131" t="n">
        <f aca="false">I12*U12/L12</f>
        <v>6013.15068493151</v>
      </c>
      <c r="W12" s="141" t="n">
        <f aca="false">IF(F12&lt;$W$2,31,$W$2-F12)</f>
        <v>31</v>
      </c>
      <c r="X12" s="132" t="n">
        <f aca="false">I12/12</f>
        <v>5900</v>
      </c>
      <c r="Y12" s="131" t="n">
        <f aca="false">I12*W12/L12</f>
        <v>6013.15068493151</v>
      </c>
      <c r="Z12" s="141" t="n">
        <f aca="false">IF(F12&lt;$Z$2,30,$Z$2-I12)</f>
        <v>30</v>
      </c>
      <c r="AA12" s="147" t="n">
        <f aca="false">I12/12</f>
        <v>5900</v>
      </c>
      <c r="AB12" s="147" t="n">
        <f aca="false">I12*Z12/L12</f>
        <v>5819.17808219178</v>
      </c>
      <c r="AC12" s="143"/>
      <c r="AD12" s="144"/>
      <c r="AE12" s="144"/>
    </row>
    <row r="13" customFormat="false" ht="15" hidden="false" customHeight="true" outlineLevel="0" collapsed="false">
      <c r="A13" s="138" t="n">
        <v>0</v>
      </c>
      <c r="B13" s="139" t="n">
        <v>45748</v>
      </c>
      <c r="C13" s="128" t="s">
        <v>140</v>
      </c>
      <c r="D13" s="128" t="s">
        <v>141</v>
      </c>
      <c r="E13" s="128" t="s">
        <v>118</v>
      </c>
      <c r="F13" s="140" t="n">
        <v>45755</v>
      </c>
      <c r="G13" s="140" t="n">
        <v>45815</v>
      </c>
      <c r="H13" s="128" t="s">
        <v>21</v>
      </c>
      <c r="I13" s="131" t="n">
        <v>7080</v>
      </c>
      <c r="J13" s="132" t="n">
        <v>3540</v>
      </c>
      <c r="K13" s="132" t="n">
        <f aca="false">I13/2</f>
        <v>3540</v>
      </c>
      <c r="L13" s="127" t="n">
        <f aca="false">G13-F13+1</f>
        <v>61</v>
      </c>
      <c r="M13" s="128" t="n">
        <f aca="false">$H$1-F13+1</f>
        <v>23</v>
      </c>
      <c r="N13" s="132" t="n">
        <f aca="false">I13/L13*M13</f>
        <v>2669.50819672131</v>
      </c>
      <c r="O13" s="132" t="n">
        <f aca="false">IF(F13&lt;$O$1,31,$O$1-F13)</f>
        <v>31</v>
      </c>
      <c r="P13" s="131" t="n">
        <f aca="false">O13*I13/L13</f>
        <v>3598.03278688525</v>
      </c>
      <c r="Q13" s="128"/>
      <c r="R13" s="128" t="n">
        <v>7</v>
      </c>
      <c r="S13" s="147" t="n">
        <f aca="false">R13*I13/L13</f>
        <v>812.459016393443</v>
      </c>
      <c r="T13" s="128"/>
      <c r="U13" s="132" t="n">
        <f aca="false">IF(F14&lt;$U$2,31,$U$2-F14)</f>
        <v>31</v>
      </c>
      <c r="V13" s="128"/>
      <c r="W13" s="141" t="n">
        <v>0</v>
      </c>
      <c r="X13" s="132" t="n">
        <v>0</v>
      </c>
      <c r="Y13" s="128" t="n">
        <v>0</v>
      </c>
      <c r="Z13" s="128"/>
      <c r="AA13" s="128"/>
      <c r="AB13" s="128"/>
      <c r="AC13" s="136"/>
      <c r="AD13" s="136"/>
      <c r="AE13" s="136"/>
    </row>
    <row r="14" customFormat="false" ht="15" hidden="false" customHeight="true" outlineLevel="0" collapsed="false">
      <c r="A14" s="138" t="n">
        <v>0</v>
      </c>
      <c r="B14" s="139" t="n">
        <v>45748</v>
      </c>
      <c r="C14" s="128" t="s">
        <v>142</v>
      </c>
      <c r="D14" s="128" t="s">
        <v>143</v>
      </c>
      <c r="E14" s="128" t="s">
        <v>118</v>
      </c>
      <c r="F14" s="140" t="n">
        <v>45755</v>
      </c>
      <c r="G14" s="140" t="n">
        <v>45815</v>
      </c>
      <c r="H14" s="128" t="s">
        <v>21</v>
      </c>
      <c r="I14" s="131" t="n">
        <v>4720</v>
      </c>
      <c r="J14" s="132" t="n">
        <v>2360</v>
      </c>
      <c r="K14" s="132" t="n">
        <v>2360</v>
      </c>
      <c r="L14" s="127" t="n">
        <f aca="false">G14-F14+1</f>
        <v>61</v>
      </c>
      <c r="M14" s="128" t="n">
        <f aca="false">$H$1-F14+1</f>
        <v>23</v>
      </c>
      <c r="N14" s="132" t="n">
        <f aca="false">I14/L14*M14</f>
        <v>1779.67213114754</v>
      </c>
      <c r="O14" s="132" t="n">
        <f aca="false">IF(F14&lt;$O$1,31,$O$1-F14)</f>
        <v>31</v>
      </c>
      <c r="P14" s="131" t="n">
        <f aca="false">O14*I14/L14</f>
        <v>2398.68852459016</v>
      </c>
      <c r="Q14" s="128"/>
      <c r="R14" s="128" t="n">
        <v>7</v>
      </c>
      <c r="S14" s="147" t="n">
        <f aca="false">R14*I14/L14</f>
        <v>541.639344262295</v>
      </c>
      <c r="T14" s="128"/>
      <c r="U14" s="132" t="n">
        <f aca="false">IF(F15&lt;$U$2,31,$U$2-F15)</f>
        <v>31</v>
      </c>
      <c r="V14" s="128"/>
      <c r="W14" s="141" t="n">
        <v>0</v>
      </c>
      <c r="X14" s="132" t="n">
        <v>0</v>
      </c>
      <c r="Y14" s="128" t="n">
        <v>0</v>
      </c>
      <c r="Z14" s="128"/>
      <c r="AA14" s="128"/>
      <c r="AB14" s="128"/>
      <c r="AC14" s="136"/>
      <c r="AD14" s="136"/>
      <c r="AE14" s="136"/>
    </row>
    <row r="15" customFormat="false" ht="16.5" hidden="false" customHeight="true" outlineLevel="0" collapsed="false">
      <c r="A15" s="138" t="n">
        <v>0</v>
      </c>
      <c r="B15" s="139" t="s">
        <v>144</v>
      </c>
      <c r="C15" s="128" t="s">
        <v>145</v>
      </c>
      <c r="D15" s="128" t="s">
        <v>146</v>
      </c>
      <c r="E15" s="128" t="s">
        <v>118</v>
      </c>
      <c r="F15" s="140" t="n">
        <v>45658</v>
      </c>
      <c r="G15" s="140" t="n">
        <v>46022</v>
      </c>
      <c r="H15" s="149" t="s">
        <v>8</v>
      </c>
      <c r="I15" s="131" t="n">
        <f aca="false">80000*4</f>
        <v>320000</v>
      </c>
      <c r="J15" s="132" t="n">
        <v>26666.6666666667</v>
      </c>
      <c r="K15" s="132" t="n">
        <f aca="false">I15/12</f>
        <v>26666.6666666667</v>
      </c>
      <c r="L15" s="127" t="n">
        <f aca="false">G15-F15+1</f>
        <v>365</v>
      </c>
      <c r="M15" s="128" t="n">
        <f aca="false">IF(F17&lt;$H$1,30,$H$1-F17)</f>
        <v>30</v>
      </c>
      <c r="N15" s="132" t="n">
        <f aca="false">I15/L15*M15</f>
        <v>26301.3698630137</v>
      </c>
      <c r="O15" s="132" t="n">
        <f aca="false">IF(F15&lt;$O$1,31,$O$1-F15)</f>
        <v>31</v>
      </c>
      <c r="P15" s="131" t="n">
        <f aca="false">O15*I15/L15</f>
        <v>27178.0821917808</v>
      </c>
      <c r="Q15" s="147" t="n">
        <f aca="false">I15/12</f>
        <v>26666.6666666667</v>
      </c>
      <c r="R15" s="128" t="n">
        <f aca="false">IF(F15&lt;$R$2,30,$R$2-F15)</f>
        <v>30</v>
      </c>
      <c r="S15" s="146" t="n">
        <f aca="false">R15*I15/L15</f>
        <v>26301.3698630137</v>
      </c>
      <c r="T15" s="146" t="n">
        <f aca="false">I15/12</f>
        <v>26666.6666666667</v>
      </c>
      <c r="U15" s="132" t="n">
        <f aca="false">IF(F16&lt;$U$2,31,$U$2-F16)</f>
        <v>31</v>
      </c>
      <c r="V15" s="131" t="n">
        <f aca="false">I15*U15/L15</f>
        <v>27178.0821917808</v>
      </c>
      <c r="W15" s="141" t="n">
        <f aca="false">IF(F15&lt;$W$2,31,$W$2-F15)</f>
        <v>31</v>
      </c>
      <c r="X15" s="132" t="n">
        <f aca="false">I15/12</f>
        <v>26666.6666666667</v>
      </c>
      <c r="Y15" s="131" t="n">
        <f aca="false">I15*W15/L15</f>
        <v>27178.0821917808</v>
      </c>
      <c r="Z15" s="141" t="n">
        <f aca="false">IF(F15&lt;$Z$2,30,$Z$2-I15)</f>
        <v>30</v>
      </c>
      <c r="AA15" s="147" t="n">
        <f aca="false">I15/12</f>
        <v>26666.6666666667</v>
      </c>
      <c r="AB15" s="147" t="n">
        <f aca="false">I15*Z15/L15</f>
        <v>26301.3698630137</v>
      </c>
      <c r="AC15" s="143"/>
      <c r="AD15" s="144"/>
      <c r="AE15" s="144"/>
    </row>
    <row r="16" s="137" customFormat="true" ht="15" hidden="false" customHeight="true" outlineLevel="0" collapsed="false">
      <c r="A16" s="125" t="s">
        <v>119</v>
      </c>
      <c r="B16" s="126" t="n">
        <v>45748</v>
      </c>
      <c r="C16" s="127" t="s">
        <v>147</v>
      </c>
      <c r="D16" s="127" t="s">
        <v>148</v>
      </c>
      <c r="E16" s="128" t="s">
        <v>118</v>
      </c>
      <c r="F16" s="129" t="n">
        <v>45757</v>
      </c>
      <c r="G16" s="129" t="n">
        <v>45786</v>
      </c>
      <c r="H16" s="142" t="s">
        <v>19</v>
      </c>
      <c r="I16" s="131" t="n">
        <v>24780</v>
      </c>
      <c r="J16" s="132" t="n">
        <v>24780</v>
      </c>
      <c r="K16" s="132"/>
      <c r="L16" s="127" t="n">
        <f aca="false">G16-F16+1</f>
        <v>30</v>
      </c>
      <c r="M16" s="127" t="n">
        <f aca="false">$H$1-F16+1</f>
        <v>21</v>
      </c>
      <c r="N16" s="132" t="n">
        <f aca="false">I16/L16*M16</f>
        <v>17346</v>
      </c>
      <c r="O16" s="132" t="n">
        <f aca="false">L16-M16</f>
        <v>9</v>
      </c>
      <c r="P16" s="131" t="n">
        <f aca="false">O16*I16/L16</f>
        <v>7434</v>
      </c>
      <c r="Q16" s="127"/>
      <c r="R16" s="127" t="n">
        <f aca="false">IF(F16&lt;$R$2,30,$R$2-F16)</f>
        <v>30</v>
      </c>
      <c r="S16" s="127"/>
      <c r="T16" s="127"/>
      <c r="U16" s="132" t="n">
        <f aca="false">IF(F17&lt;$U$2,31,$U$2-F17)</f>
        <v>31</v>
      </c>
      <c r="V16" s="127"/>
      <c r="W16" s="135" t="n">
        <v>0</v>
      </c>
      <c r="X16" s="132" t="n">
        <v>0</v>
      </c>
      <c r="Y16" s="127" t="n">
        <v>0</v>
      </c>
      <c r="Z16" s="127"/>
      <c r="AA16" s="127"/>
      <c r="AB16" s="127"/>
      <c r="AC16" s="136"/>
      <c r="AD16" s="136"/>
      <c r="AE16" s="136"/>
    </row>
    <row r="17" s="137" customFormat="true" ht="15" hidden="false" customHeight="true" outlineLevel="0" collapsed="false">
      <c r="A17" s="125" t="n">
        <v>0</v>
      </c>
      <c r="B17" s="126" t="n">
        <v>45748</v>
      </c>
      <c r="C17" s="127" t="s">
        <v>149</v>
      </c>
      <c r="D17" s="127" t="s">
        <v>150</v>
      </c>
      <c r="E17" s="128" t="s">
        <v>118</v>
      </c>
      <c r="F17" s="129" t="n">
        <v>45716</v>
      </c>
      <c r="G17" s="129" t="n">
        <v>45896</v>
      </c>
      <c r="H17" s="142" t="s">
        <v>29</v>
      </c>
      <c r="I17" s="131" t="n">
        <v>100890</v>
      </c>
      <c r="J17" s="132" t="n">
        <v>16815</v>
      </c>
      <c r="K17" s="132" t="n">
        <f aca="false">I17/6</f>
        <v>16815</v>
      </c>
      <c r="L17" s="127" t="n">
        <f aca="false">G17-F17+1</f>
        <v>181</v>
      </c>
      <c r="M17" s="127" t="n">
        <f aca="false">IF(F17&lt;H1,30,H1-F17)</f>
        <v>30</v>
      </c>
      <c r="N17" s="132" t="n">
        <f aca="false">I17/L17*M17</f>
        <v>16722.0994475138</v>
      </c>
      <c r="O17" s="132" t="n">
        <f aca="false">IF(F17&lt;$O$1,31,$O$1-F17)</f>
        <v>31</v>
      </c>
      <c r="P17" s="131" t="n">
        <f aca="false">O17*I17/L17</f>
        <v>17279.5027624309</v>
      </c>
      <c r="Q17" s="133" t="n">
        <f aca="false">I17/6</f>
        <v>16815</v>
      </c>
      <c r="R17" s="127" t="n">
        <f aca="false">IF(F17&lt;$R$2,30,$R$2-F17)</f>
        <v>30</v>
      </c>
      <c r="S17" s="133" t="n">
        <f aca="false">R17*I17/L17</f>
        <v>16722.0994475138</v>
      </c>
      <c r="T17" s="133" t="n">
        <f aca="false">I17/6</f>
        <v>16815</v>
      </c>
      <c r="U17" s="132" t="n">
        <f aca="false">IF(F18&lt;$U$2,31,$U$2-F18)</f>
        <v>31</v>
      </c>
      <c r="V17" s="131" t="n">
        <f aca="false">I17*U17/L17</f>
        <v>17279.5027624309</v>
      </c>
      <c r="W17" s="135" t="n">
        <f aca="false">G17-$W$1+1</f>
        <v>27</v>
      </c>
      <c r="X17" s="132" t="n">
        <v>0</v>
      </c>
      <c r="Y17" s="131" t="n">
        <f aca="false">I17*W17/L17</f>
        <v>15049.8895027624</v>
      </c>
      <c r="Z17" s="127"/>
      <c r="AA17" s="127"/>
      <c r="AB17" s="127"/>
      <c r="AC17" s="136"/>
      <c r="AD17" s="136"/>
      <c r="AE17" s="136"/>
    </row>
    <row r="18" s="137" customFormat="true" ht="15" hidden="false" customHeight="true" outlineLevel="0" collapsed="false">
      <c r="A18" s="125" t="n">
        <v>0</v>
      </c>
      <c r="B18" s="126" t="s">
        <v>151</v>
      </c>
      <c r="C18" s="127" t="s">
        <v>152</v>
      </c>
      <c r="D18" s="127" t="s">
        <v>153</v>
      </c>
      <c r="E18" s="128" t="s">
        <v>118</v>
      </c>
      <c r="F18" s="129" t="n">
        <v>45725</v>
      </c>
      <c r="G18" s="129" t="n">
        <v>45786</v>
      </c>
      <c r="H18" s="142" t="s">
        <v>20</v>
      </c>
      <c r="I18" s="131" t="n">
        <f aca="false">11800*4-11800*2</f>
        <v>23600</v>
      </c>
      <c r="J18" s="132" t="n">
        <v>11800</v>
      </c>
      <c r="K18" s="132"/>
      <c r="L18" s="127" t="n">
        <f aca="false">G18-F18+1</f>
        <v>62</v>
      </c>
      <c r="M18" s="127" t="n">
        <f aca="false">IF(F18&lt;H3,30,H3-F18)</f>
        <v>30</v>
      </c>
      <c r="N18" s="132" t="n">
        <f aca="false">I18/L18*M18</f>
        <v>11419.3548387097</v>
      </c>
      <c r="O18" s="132" t="n">
        <v>9</v>
      </c>
      <c r="P18" s="131" t="n">
        <f aca="false">O18*I18/L18</f>
        <v>3425.8064516129</v>
      </c>
      <c r="Q18" s="133"/>
      <c r="R18" s="127" t="n">
        <f aca="false">30</f>
        <v>30</v>
      </c>
      <c r="S18" s="134"/>
      <c r="T18" s="127"/>
      <c r="U18" s="132" t="n">
        <f aca="false">IF(F19&lt;$U$2,31,$U$2-F19)</f>
        <v>31</v>
      </c>
      <c r="V18" s="127"/>
      <c r="W18" s="135" t="n">
        <v>0</v>
      </c>
      <c r="X18" s="132" t="n">
        <v>0</v>
      </c>
      <c r="Y18" s="127" t="n">
        <v>0</v>
      </c>
      <c r="Z18" s="127"/>
      <c r="AA18" s="127"/>
      <c r="AB18" s="127"/>
      <c r="AC18" s="136"/>
      <c r="AD18" s="136"/>
      <c r="AE18" s="136"/>
    </row>
    <row r="19" customFormat="false" ht="15" hidden="false" customHeight="true" outlineLevel="0" collapsed="false">
      <c r="A19" s="138" t="n">
        <v>0</v>
      </c>
      <c r="B19" s="139" t="n">
        <v>45748</v>
      </c>
      <c r="C19" s="128" t="s">
        <v>154</v>
      </c>
      <c r="D19" s="128" t="s">
        <v>155</v>
      </c>
      <c r="E19" s="128" t="s">
        <v>118</v>
      </c>
      <c r="F19" s="140" t="n">
        <v>45757</v>
      </c>
      <c r="G19" s="140" t="n">
        <v>46121</v>
      </c>
      <c r="H19" s="145" t="s">
        <v>9</v>
      </c>
      <c r="I19" s="131" t="n">
        <v>177015</v>
      </c>
      <c r="J19" s="132" t="n">
        <v>14751.25</v>
      </c>
      <c r="K19" s="132" t="n">
        <f aca="false">I19/12</f>
        <v>14751.25</v>
      </c>
      <c r="L19" s="127" t="n">
        <f aca="false">G19-F19+1</f>
        <v>365</v>
      </c>
      <c r="M19" s="128" t="n">
        <f aca="false">$H$1-F19+1</f>
        <v>21</v>
      </c>
      <c r="N19" s="132" t="n">
        <f aca="false">I19/L19*M19</f>
        <v>10184.4246575342</v>
      </c>
      <c r="O19" s="132" t="n">
        <f aca="false">IF(F19&lt;$O$1,31,$O$1-F19)</f>
        <v>31</v>
      </c>
      <c r="P19" s="131" t="n">
        <f aca="false">O19*I19/L19</f>
        <v>15034.1506849315</v>
      </c>
      <c r="Q19" s="146" t="n">
        <f aca="false">I19/12</f>
        <v>14751.25</v>
      </c>
      <c r="R19" s="128" t="n">
        <f aca="false">IF(F19&lt;$R$2,30,$R$2-F19)</f>
        <v>30</v>
      </c>
      <c r="S19" s="146" t="n">
        <f aca="false">R19*I19/L19</f>
        <v>14549.1780821918</v>
      </c>
      <c r="T19" s="146" t="n">
        <f aca="false">I19/12</f>
        <v>14751.25</v>
      </c>
      <c r="U19" s="132" t="n">
        <f aca="false">IF(F20&lt;$U$2,31,$U$2-F20)</f>
        <v>31</v>
      </c>
      <c r="V19" s="131" t="n">
        <f aca="false">I19*U19/L19</f>
        <v>15034.1506849315</v>
      </c>
      <c r="W19" s="141" t="n">
        <f aca="false">IF(F19&lt;$W$2,31,$W$2-F19)</f>
        <v>31</v>
      </c>
      <c r="X19" s="132" t="n">
        <f aca="false">I19/12</f>
        <v>14751.25</v>
      </c>
      <c r="Y19" s="131" t="n">
        <f aca="false">I19*W19/L19</f>
        <v>15034.1506849315</v>
      </c>
      <c r="Z19" s="141" t="n">
        <f aca="false">IF(F19&lt;$Z$2,30,$Z$2-I19)</f>
        <v>30</v>
      </c>
      <c r="AA19" s="147" t="n">
        <f aca="false">I19/12</f>
        <v>14751.25</v>
      </c>
      <c r="AB19" s="147" t="n">
        <f aca="false">I19*Z19/L19</f>
        <v>14549.1780821918</v>
      </c>
      <c r="AC19" s="143"/>
      <c r="AD19" s="144"/>
      <c r="AE19" s="144"/>
    </row>
    <row r="20" s="137" customFormat="true" ht="15" hidden="false" customHeight="true" outlineLevel="0" collapsed="false">
      <c r="A20" s="125" t="n">
        <v>0</v>
      </c>
      <c r="B20" s="126" t="s">
        <v>156</v>
      </c>
      <c r="C20" s="127" t="s">
        <v>157</v>
      </c>
      <c r="D20" s="127" t="s">
        <v>158</v>
      </c>
      <c r="E20" s="128" t="s">
        <v>118</v>
      </c>
      <c r="F20" s="129" t="n">
        <v>45757</v>
      </c>
      <c r="G20" s="129" t="n">
        <v>45878</v>
      </c>
      <c r="H20" s="142" t="s">
        <v>25</v>
      </c>
      <c r="I20" s="131" t="n">
        <f aca="false">11800*4</f>
        <v>47200</v>
      </c>
      <c r="J20" s="132" t="n">
        <v>11800</v>
      </c>
      <c r="K20" s="132" t="n">
        <v>11800</v>
      </c>
      <c r="L20" s="127" t="n">
        <f aca="false">G20-F20+1</f>
        <v>122</v>
      </c>
      <c r="M20" s="127" t="n">
        <f aca="false">$H$1-F20+1</f>
        <v>21</v>
      </c>
      <c r="N20" s="132" t="n">
        <f aca="false">I20/L20*M20</f>
        <v>8124.59016393443</v>
      </c>
      <c r="O20" s="132" t="n">
        <f aca="false">IF(F20&lt;$O$1,31,$O$1-F20)</f>
        <v>31</v>
      </c>
      <c r="P20" s="131" t="n">
        <f aca="false">O20*I20/L20</f>
        <v>11993.4426229508</v>
      </c>
      <c r="Q20" s="133" t="n">
        <f aca="false">I20/4</f>
        <v>11800</v>
      </c>
      <c r="R20" s="127" t="n">
        <f aca="false">IF(F20&lt;$R$2,30,$R$2-F20)</f>
        <v>30</v>
      </c>
      <c r="S20" s="133" t="n">
        <f aca="false">R20*I20/L20</f>
        <v>11606.5573770492</v>
      </c>
      <c r="T20" s="133" t="n">
        <f aca="false">I20/4</f>
        <v>11800</v>
      </c>
      <c r="U20" s="132" t="n">
        <f aca="false">IF(F21&lt;$U$2,31,$U$2-F21)</f>
        <v>31</v>
      </c>
      <c r="V20" s="131" t="n">
        <f aca="false">I20*U20/L20</f>
        <v>11993.4426229508</v>
      </c>
      <c r="W20" s="135" t="n">
        <f aca="false">G20-$W$1+1</f>
        <v>9</v>
      </c>
      <c r="X20" s="132"/>
      <c r="Y20" s="131" t="n">
        <f aca="false">W20*I20/L20</f>
        <v>3481.96721311475</v>
      </c>
      <c r="Z20" s="127"/>
      <c r="AA20" s="127"/>
      <c r="AB20" s="127"/>
      <c r="AC20" s="136"/>
      <c r="AD20" s="136"/>
      <c r="AE20" s="136"/>
    </row>
    <row r="21" customFormat="false" ht="15" hidden="false" customHeight="true" outlineLevel="0" collapsed="false">
      <c r="A21" s="138" t="n">
        <v>0</v>
      </c>
      <c r="B21" s="139" t="n">
        <v>45748</v>
      </c>
      <c r="C21" s="128" t="s">
        <v>159</v>
      </c>
      <c r="D21" s="128" t="s">
        <v>160</v>
      </c>
      <c r="E21" s="128" t="s">
        <v>118</v>
      </c>
      <c r="F21" s="140" t="n">
        <v>45758</v>
      </c>
      <c r="G21" s="140" t="n">
        <v>45848</v>
      </c>
      <c r="H21" s="150" t="s">
        <v>24</v>
      </c>
      <c r="I21" s="131" t="n">
        <v>35400</v>
      </c>
      <c r="J21" s="132" t="n">
        <v>11800</v>
      </c>
      <c r="K21" s="132" t="n">
        <f aca="false">I21/3</f>
        <v>11800</v>
      </c>
      <c r="L21" s="127" t="n">
        <f aca="false">G21-F21+1</f>
        <v>91</v>
      </c>
      <c r="M21" s="128" t="n">
        <f aca="false">$H$1-F21+1</f>
        <v>20</v>
      </c>
      <c r="N21" s="132" t="n">
        <f aca="false">I21/L21*M21</f>
        <v>7780.21978021978</v>
      </c>
      <c r="O21" s="132" t="n">
        <f aca="false">IF(F21&lt;$O$1,31,$O$1-F21)</f>
        <v>31</v>
      </c>
      <c r="P21" s="131" t="n">
        <f aca="false">O21*I21/L21</f>
        <v>12059.3406593407</v>
      </c>
      <c r="Q21" s="146" t="n">
        <f aca="false">I21/3</f>
        <v>11800</v>
      </c>
      <c r="R21" s="128" t="n">
        <f aca="false">IF(F21&lt;$R$2,30,$R$2-F21)</f>
        <v>30</v>
      </c>
      <c r="S21" s="146" t="n">
        <f aca="false">R21*I21/L21</f>
        <v>11670.3296703297</v>
      </c>
      <c r="T21" s="128"/>
      <c r="U21" s="132" t="n">
        <f aca="false">G21-$R$2</f>
        <v>10</v>
      </c>
      <c r="V21" s="132" t="n">
        <f aca="false">U21*I21/L21</f>
        <v>3890.10989010989</v>
      </c>
      <c r="W21" s="141" t="n">
        <v>0</v>
      </c>
      <c r="X21" s="132" t="n">
        <v>0</v>
      </c>
      <c r="Y21" s="128" t="n">
        <v>0</v>
      </c>
      <c r="Z21" s="128"/>
      <c r="AA21" s="128"/>
      <c r="AB21" s="128"/>
      <c r="AC21" s="136"/>
      <c r="AD21" s="136"/>
      <c r="AE21" s="136"/>
    </row>
    <row r="22" customFormat="false" ht="15" hidden="false" customHeight="true" outlineLevel="0" collapsed="false">
      <c r="A22" s="138" t="n">
        <v>0</v>
      </c>
      <c r="B22" s="139" t="s">
        <v>161</v>
      </c>
      <c r="C22" s="128" t="s">
        <v>162</v>
      </c>
      <c r="D22" s="128" t="s">
        <v>163</v>
      </c>
      <c r="E22" s="128" t="s">
        <v>118</v>
      </c>
      <c r="F22" s="140" t="n">
        <v>45695</v>
      </c>
      <c r="G22" s="140" t="n">
        <v>46059</v>
      </c>
      <c r="H22" s="151" t="s">
        <v>10</v>
      </c>
      <c r="I22" s="131" t="n">
        <f aca="false">20000*12</f>
        <v>240000</v>
      </c>
      <c r="J22" s="132" t="n">
        <v>20000</v>
      </c>
      <c r="K22" s="132" t="n">
        <f aca="false">I22/12</f>
        <v>20000</v>
      </c>
      <c r="L22" s="127" t="n">
        <f aca="false">G22-F22+1</f>
        <v>365</v>
      </c>
      <c r="M22" s="128" t="n">
        <f aca="false">IF(F22&lt;H7,30,H7-F22)</f>
        <v>30</v>
      </c>
      <c r="N22" s="132" t="n">
        <f aca="false">I22/L22*M22</f>
        <v>19726.0273972603</v>
      </c>
      <c r="O22" s="132" t="n">
        <f aca="false">IF(F22&lt;$O$1,31,$O$1-F22)</f>
        <v>31</v>
      </c>
      <c r="P22" s="131" t="n">
        <f aca="false">O22*I22/L22</f>
        <v>20383.5616438356</v>
      </c>
      <c r="Q22" s="146" t="n">
        <f aca="false">I22/12</f>
        <v>20000</v>
      </c>
      <c r="R22" s="128" t="n">
        <f aca="false">IF(F22&lt;$R$2,30,$R$2-F22)</f>
        <v>30</v>
      </c>
      <c r="S22" s="146" t="n">
        <f aca="false">R22*I22/L22</f>
        <v>19726.0273972603</v>
      </c>
      <c r="T22" s="146" t="n">
        <f aca="false">I22/12</f>
        <v>20000</v>
      </c>
      <c r="U22" s="132" t="n">
        <f aca="false">IF(F23&lt;$U$2,31,$U$2-F23)</f>
        <v>31</v>
      </c>
      <c r="V22" s="131" t="n">
        <f aca="false">I22*U22/L22</f>
        <v>20383.5616438356</v>
      </c>
      <c r="W22" s="141" t="n">
        <f aca="false">IF(F22&lt;$W$2,31,$W$2-F22)</f>
        <v>31</v>
      </c>
      <c r="X22" s="132" t="n">
        <f aca="false">I22/12</f>
        <v>20000</v>
      </c>
      <c r="Y22" s="131" t="n">
        <f aca="false">I22*W22/L22</f>
        <v>20383.5616438356</v>
      </c>
      <c r="Z22" s="141" t="n">
        <f aca="false">IF(F22&lt;$Z$2,30,$Z$2-I22)</f>
        <v>30</v>
      </c>
      <c r="AA22" s="147" t="n">
        <f aca="false">I22/12</f>
        <v>20000</v>
      </c>
      <c r="AB22" s="147" t="n">
        <f aca="false">I22*Z22/L22</f>
        <v>19726.0273972603</v>
      </c>
      <c r="AC22" s="143"/>
      <c r="AD22" s="144"/>
      <c r="AE22" s="144"/>
    </row>
    <row r="23" s="137" customFormat="true" ht="15" hidden="false" customHeight="true" outlineLevel="0" collapsed="false">
      <c r="A23" s="125" t="n">
        <v>0</v>
      </c>
      <c r="B23" s="126" t="n">
        <v>45748</v>
      </c>
      <c r="C23" s="127" t="s">
        <v>164</v>
      </c>
      <c r="D23" s="127" t="s">
        <v>165</v>
      </c>
      <c r="E23" s="128" t="s">
        <v>118</v>
      </c>
      <c r="F23" s="129" t="n">
        <v>45758</v>
      </c>
      <c r="G23" s="129" t="n">
        <v>45848</v>
      </c>
      <c r="H23" s="130" t="s">
        <v>24</v>
      </c>
      <c r="I23" s="131" t="n">
        <v>17700</v>
      </c>
      <c r="J23" s="132" t="n">
        <v>5900</v>
      </c>
      <c r="K23" s="132" t="n">
        <f aca="false">I23/3</f>
        <v>5900</v>
      </c>
      <c r="L23" s="127" t="n">
        <f aca="false">G23-F23+1</f>
        <v>91</v>
      </c>
      <c r="M23" s="127" t="n">
        <f aca="false">$H$1-F23+1</f>
        <v>20</v>
      </c>
      <c r="N23" s="132" t="n">
        <f aca="false">I23/L23*M23</f>
        <v>3890.10989010989</v>
      </c>
      <c r="O23" s="132" t="n">
        <f aca="false">IF(F23&lt;$O$1,31,$O$1-F23)</f>
        <v>31</v>
      </c>
      <c r="P23" s="131" t="n">
        <f aca="false">O23*I23/L23</f>
        <v>6029.67032967033</v>
      </c>
      <c r="Q23" s="133" t="n">
        <f aca="false">I23/3</f>
        <v>5900</v>
      </c>
      <c r="R23" s="127" t="n">
        <f aca="false">IF(F23&lt;$R$2,30,$R$2-F23)</f>
        <v>30</v>
      </c>
      <c r="S23" s="133" t="n">
        <f aca="false">R23*I23/L23</f>
        <v>5835.16483516484</v>
      </c>
      <c r="T23" s="127"/>
      <c r="U23" s="132" t="n">
        <f aca="false">G23-$R$2</f>
        <v>10</v>
      </c>
      <c r="V23" s="132" t="n">
        <f aca="false">U23*I23/L23</f>
        <v>1945.05494505495</v>
      </c>
      <c r="W23" s="135" t="n">
        <v>0</v>
      </c>
      <c r="X23" s="132" t="n">
        <v>0</v>
      </c>
      <c r="Y23" s="127" t="n">
        <v>0</v>
      </c>
      <c r="Z23" s="127"/>
      <c r="AA23" s="127"/>
      <c r="AB23" s="127"/>
      <c r="AC23" s="136"/>
      <c r="AD23" s="136"/>
      <c r="AE23" s="136"/>
    </row>
    <row r="24" customFormat="false" ht="15" hidden="false" customHeight="true" outlineLevel="0" collapsed="false">
      <c r="A24" s="138" t="s">
        <v>119</v>
      </c>
      <c r="B24" s="139" t="n">
        <v>45748</v>
      </c>
      <c r="C24" s="128" t="s">
        <v>166</v>
      </c>
      <c r="D24" s="128" t="s">
        <v>167</v>
      </c>
      <c r="E24" s="128" t="s">
        <v>118</v>
      </c>
      <c r="F24" s="140" t="n">
        <v>45759</v>
      </c>
      <c r="G24" s="140" t="n">
        <v>45788</v>
      </c>
      <c r="H24" s="145" t="s">
        <v>19</v>
      </c>
      <c r="I24" s="131" t="n">
        <v>5900</v>
      </c>
      <c r="J24" s="132" t="n">
        <v>5900</v>
      </c>
      <c r="K24" s="132"/>
      <c r="L24" s="127" t="n">
        <f aca="false">G24-F24+1</f>
        <v>30</v>
      </c>
      <c r="M24" s="128" t="n">
        <f aca="false">$H$1-F24+1</f>
        <v>19</v>
      </c>
      <c r="N24" s="132" t="n">
        <f aca="false">I24/L24*M24</f>
        <v>3736.66666666667</v>
      </c>
      <c r="O24" s="132" t="n">
        <f aca="false">L24-M24</f>
        <v>11</v>
      </c>
      <c r="P24" s="131" t="n">
        <f aca="false">O24*I24/L24</f>
        <v>2163.33333333333</v>
      </c>
      <c r="Q24" s="128"/>
      <c r="R24" s="128" t="n">
        <f aca="false">IF(F24&lt;$R$2,30,$R$2-F24)</f>
        <v>30</v>
      </c>
      <c r="S24" s="128"/>
      <c r="T24" s="128"/>
      <c r="U24" s="132" t="n">
        <f aca="false">IF(F25&lt;$U$2,31,$U$2-F25)</f>
        <v>31</v>
      </c>
      <c r="V24" s="128"/>
      <c r="W24" s="141" t="n">
        <v>0</v>
      </c>
      <c r="X24" s="132" t="n">
        <v>0</v>
      </c>
      <c r="Y24" s="128" t="n">
        <v>0</v>
      </c>
      <c r="Z24" s="128"/>
      <c r="AA24" s="128"/>
      <c r="AB24" s="128"/>
      <c r="AC24" s="136"/>
      <c r="AD24" s="136"/>
      <c r="AE24" s="136"/>
    </row>
    <row r="25" s="137" customFormat="true" ht="15" hidden="false" customHeight="true" outlineLevel="0" collapsed="false">
      <c r="A25" s="125" t="s">
        <v>119</v>
      </c>
      <c r="B25" s="126" t="n">
        <v>45748</v>
      </c>
      <c r="C25" s="127" t="s">
        <v>168</v>
      </c>
      <c r="D25" s="127" t="s">
        <v>169</v>
      </c>
      <c r="E25" s="128" t="s">
        <v>118</v>
      </c>
      <c r="F25" s="129" t="n">
        <v>45759</v>
      </c>
      <c r="G25" s="129" t="n">
        <v>45788</v>
      </c>
      <c r="H25" s="142" t="s">
        <v>19</v>
      </c>
      <c r="I25" s="131" t="n">
        <v>7080</v>
      </c>
      <c r="J25" s="132" t="n">
        <v>7080</v>
      </c>
      <c r="K25" s="132"/>
      <c r="L25" s="127" t="n">
        <f aca="false">G25-F25+1</f>
        <v>30</v>
      </c>
      <c r="M25" s="127" t="n">
        <f aca="false">$H$1-F25+1</f>
        <v>19</v>
      </c>
      <c r="N25" s="132" t="n">
        <f aca="false">I25/L25*M25</f>
        <v>4484</v>
      </c>
      <c r="O25" s="132" t="n">
        <f aca="false">L25-M25</f>
        <v>11</v>
      </c>
      <c r="P25" s="131" t="n">
        <f aca="false">O25*I25/L25</f>
        <v>2596</v>
      </c>
      <c r="Q25" s="127"/>
      <c r="R25" s="127" t="n">
        <f aca="false">IF(F25&lt;$R$2,30,$R$2-F25)</f>
        <v>30</v>
      </c>
      <c r="S25" s="127"/>
      <c r="T25" s="127"/>
      <c r="U25" s="132" t="n">
        <f aca="false">IF(F26&lt;$U$2,31,$U$2-F26)</f>
        <v>31</v>
      </c>
      <c r="V25" s="127"/>
      <c r="W25" s="135" t="n">
        <v>0</v>
      </c>
      <c r="X25" s="132" t="n">
        <v>0</v>
      </c>
      <c r="Y25" s="127" t="n">
        <v>0</v>
      </c>
      <c r="Z25" s="127"/>
      <c r="AA25" s="127"/>
      <c r="AB25" s="127"/>
      <c r="AC25" s="136"/>
      <c r="AD25" s="136"/>
      <c r="AE25" s="136"/>
    </row>
    <row r="26" customFormat="false" ht="15" hidden="false" customHeight="true" outlineLevel="0" collapsed="false">
      <c r="A26" s="138" t="s">
        <v>119</v>
      </c>
      <c r="B26" s="139" t="n">
        <v>45748</v>
      </c>
      <c r="C26" s="128" t="s">
        <v>170</v>
      </c>
      <c r="D26" s="128" t="s">
        <v>171</v>
      </c>
      <c r="E26" s="128" t="s">
        <v>118</v>
      </c>
      <c r="F26" s="140" t="n">
        <v>45759</v>
      </c>
      <c r="G26" s="140" t="n">
        <v>45788</v>
      </c>
      <c r="H26" s="145" t="s">
        <v>19</v>
      </c>
      <c r="I26" s="131" t="n">
        <v>5900</v>
      </c>
      <c r="J26" s="132" t="n">
        <v>5900</v>
      </c>
      <c r="K26" s="132"/>
      <c r="L26" s="127" t="n">
        <f aca="false">G26-F26+1</f>
        <v>30</v>
      </c>
      <c r="M26" s="128" t="n">
        <f aca="false">$H$1-F26+1</f>
        <v>19</v>
      </c>
      <c r="N26" s="132" t="n">
        <f aca="false">I26/L26*M26</f>
        <v>3736.66666666667</v>
      </c>
      <c r="O26" s="132" t="n">
        <f aca="false">L26-M26</f>
        <v>11</v>
      </c>
      <c r="P26" s="131" t="n">
        <f aca="false">O26*I26/L26</f>
        <v>2163.33333333333</v>
      </c>
      <c r="Q26" s="128"/>
      <c r="R26" s="128" t="n">
        <f aca="false">IF(F26&lt;$R$2,30,$R$2-F26)</f>
        <v>30</v>
      </c>
      <c r="S26" s="128"/>
      <c r="T26" s="128"/>
      <c r="U26" s="132" t="n">
        <f aca="false">IF(F27&lt;$U$2,31,$U$2-F27)</f>
        <v>31</v>
      </c>
      <c r="V26" s="128"/>
      <c r="W26" s="141" t="n">
        <v>0</v>
      </c>
      <c r="X26" s="132" t="n">
        <v>0</v>
      </c>
      <c r="Y26" s="128" t="n">
        <v>0</v>
      </c>
      <c r="Z26" s="128"/>
      <c r="AA26" s="128"/>
      <c r="AB26" s="128"/>
      <c r="AC26" s="136"/>
      <c r="AD26" s="136"/>
      <c r="AE26" s="136"/>
    </row>
    <row r="27" customFormat="false" ht="15" hidden="false" customHeight="true" outlineLevel="0" collapsed="false">
      <c r="A27" s="138" t="s">
        <v>119</v>
      </c>
      <c r="B27" s="139" t="n">
        <v>45748</v>
      </c>
      <c r="C27" s="128" t="s">
        <v>172</v>
      </c>
      <c r="D27" s="128" t="s">
        <v>173</v>
      </c>
      <c r="E27" s="128" t="s">
        <v>118</v>
      </c>
      <c r="F27" s="140" t="n">
        <v>45760</v>
      </c>
      <c r="G27" s="140" t="n">
        <v>45789</v>
      </c>
      <c r="H27" s="145" t="s">
        <v>19</v>
      </c>
      <c r="I27" s="131" t="n">
        <v>5900</v>
      </c>
      <c r="J27" s="132" t="n">
        <v>5900</v>
      </c>
      <c r="K27" s="132"/>
      <c r="L27" s="127" t="n">
        <f aca="false">G27-F27+1</f>
        <v>30</v>
      </c>
      <c r="M27" s="128" t="n">
        <f aca="false">$H$1-F27+1</f>
        <v>18</v>
      </c>
      <c r="N27" s="132" t="n">
        <f aca="false">I27/L27*M27</f>
        <v>3540</v>
      </c>
      <c r="O27" s="132" t="n">
        <f aca="false">L27-M27</f>
        <v>12</v>
      </c>
      <c r="P27" s="131" t="n">
        <f aca="false">O27*I27/L27</f>
        <v>2360</v>
      </c>
      <c r="Q27" s="128"/>
      <c r="R27" s="128" t="n">
        <f aca="false">IF(F27&lt;$R$2,30,$R$2-F27)</f>
        <v>30</v>
      </c>
      <c r="S27" s="128"/>
      <c r="T27" s="128"/>
      <c r="U27" s="132" t="n">
        <f aca="false">IF(F28&lt;$U$2,31,$U$2-F28)</f>
        <v>31</v>
      </c>
      <c r="V27" s="128"/>
      <c r="W27" s="141" t="n">
        <v>0</v>
      </c>
      <c r="X27" s="132" t="n">
        <v>0</v>
      </c>
      <c r="Y27" s="128" t="n">
        <v>0</v>
      </c>
      <c r="Z27" s="128"/>
      <c r="AA27" s="128"/>
      <c r="AB27" s="128"/>
      <c r="AC27" s="136"/>
      <c r="AD27" s="136"/>
      <c r="AE27" s="136"/>
    </row>
    <row r="28" customFormat="false" ht="15" hidden="false" customHeight="true" outlineLevel="0" collapsed="false">
      <c r="A28" s="138" t="n">
        <v>0</v>
      </c>
      <c r="B28" s="139" t="n">
        <v>45748</v>
      </c>
      <c r="C28" s="128" t="s">
        <v>174</v>
      </c>
      <c r="D28" s="128" t="s">
        <v>175</v>
      </c>
      <c r="E28" s="128" t="s">
        <v>118</v>
      </c>
      <c r="F28" s="140" t="n">
        <v>45761</v>
      </c>
      <c r="G28" s="140" t="n">
        <v>46125</v>
      </c>
      <c r="H28" s="145" t="s">
        <v>9</v>
      </c>
      <c r="I28" s="131" t="n">
        <v>259600</v>
      </c>
      <c r="J28" s="132" t="n">
        <v>21633.3333333333</v>
      </c>
      <c r="K28" s="132" t="n">
        <f aca="false">I28/12</f>
        <v>21633.3333333333</v>
      </c>
      <c r="L28" s="127" t="n">
        <f aca="false">G28-F28+1</f>
        <v>365</v>
      </c>
      <c r="M28" s="128" t="n">
        <f aca="false">$H$1-F28+1</f>
        <v>17</v>
      </c>
      <c r="N28" s="132" t="n">
        <f aca="false">I28/L28*M28</f>
        <v>12090.9589041096</v>
      </c>
      <c r="O28" s="132" t="n">
        <f aca="false">IF(F28&lt;$O$1,31,$O$1-F28)</f>
        <v>31</v>
      </c>
      <c r="P28" s="131" t="n">
        <f aca="false">O28*I28/L28</f>
        <v>22048.2191780822</v>
      </c>
      <c r="Q28" s="146" t="n">
        <f aca="false">I28/12</f>
        <v>21633.3333333333</v>
      </c>
      <c r="R28" s="128" t="n">
        <f aca="false">IF(F28&lt;$R$2,30,$R$2-F28)</f>
        <v>30</v>
      </c>
      <c r="S28" s="146" t="n">
        <f aca="false">R28*I28/L28</f>
        <v>21336.9863013699</v>
      </c>
      <c r="T28" s="146" t="n">
        <f aca="false">I28/12</f>
        <v>21633.3333333333</v>
      </c>
      <c r="U28" s="132" t="n">
        <f aca="false">IF(F29&lt;$U$2,31,$U$2-F29)</f>
        <v>31</v>
      </c>
      <c r="V28" s="131" t="n">
        <f aca="false">I28*U28/L28</f>
        <v>22048.2191780822</v>
      </c>
      <c r="W28" s="141" t="n">
        <f aca="false">IF(F28&lt;$W$2,31,$W$2-F28)</f>
        <v>31</v>
      </c>
      <c r="X28" s="132" t="n">
        <f aca="false">I28/12</f>
        <v>21633.3333333333</v>
      </c>
      <c r="Y28" s="131" t="n">
        <f aca="false">I28*W28/L28</f>
        <v>22048.2191780822</v>
      </c>
      <c r="Z28" s="141" t="n">
        <f aca="false">IF(F28&lt;$Z$2,30,$Z$2-I28)</f>
        <v>30</v>
      </c>
      <c r="AA28" s="147" t="n">
        <f aca="false">I28/12</f>
        <v>21633.3333333333</v>
      </c>
      <c r="AB28" s="147" t="n">
        <f aca="false">I28*Z28/L28</f>
        <v>21336.9863013699</v>
      </c>
      <c r="AC28" s="143"/>
      <c r="AD28" s="144"/>
      <c r="AE28" s="144"/>
    </row>
    <row r="29" s="137" customFormat="true" ht="15" hidden="false" customHeight="true" outlineLevel="0" collapsed="false">
      <c r="A29" s="125" t="n">
        <v>0</v>
      </c>
      <c r="B29" s="126" t="s">
        <v>176</v>
      </c>
      <c r="C29" s="127" t="s">
        <v>177</v>
      </c>
      <c r="D29" s="127" t="s">
        <v>178</v>
      </c>
      <c r="E29" s="128" t="s">
        <v>118</v>
      </c>
      <c r="F29" s="129" t="n">
        <v>45762</v>
      </c>
      <c r="G29" s="129" t="n">
        <v>45852</v>
      </c>
      <c r="H29" s="142" t="s">
        <v>23</v>
      </c>
      <c r="I29" s="131" t="n">
        <f aca="false">177000*3</f>
        <v>531000</v>
      </c>
      <c r="J29" s="132" t="n">
        <v>177000</v>
      </c>
      <c r="K29" s="132" t="n">
        <f aca="false">I29/3</f>
        <v>177000</v>
      </c>
      <c r="L29" s="127" t="n">
        <f aca="false">G29-F29+1</f>
        <v>91</v>
      </c>
      <c r="M29" s="127" t="n">
        <v>16</v>
      </c>
      <c r="N29" s="132" t="n">
        <f aca="false">I29/L29*M29</f>
        <v>93362.6373626374</v>
      </c>
      <c r="O29" s="132" t="n">
        <f aca="false">IF(F29&lt;$O$1,31,$O$1-F29)</f>
        <v>31</v>
      </c>
      <c r="P29" s="131" t="n">
        <f aca="false">O29*I29/L29</f>
        <v>180890.10989011</v>
      </c>
      <c r="Q29" s="133" t="n">
        <f aca="false">I29/3</f>
        <v>177000</v>
      </c>
      <c r="R29" s="127" t="n">
        <f aca="false">IF(F29&lt;$R$2,30,$R$2-F29)</f>
        <v>30</v>
      </c>
      <c r="S29" s="133" t="n">
        <f aca="false">R29*I29/L29</f>
        <v>175054.945054945</v>
      </c>
      <c r="T29" s="133"/>
      <c r="U29" s="132" t="n">
        <v>14</v>
      </c>
      <c r="V29" s="131" t="n">
        <f aca="false">I29*U29/L29</f>
        <v>81692.3076923077</v>
      </c>
      <c r="W29" s="135" t="n">
        <v>0</v>
      </c>
      <c r="X29" s="132" t="n">
        <v>0</v>
      </c>
      <c r="Y29" s="127" t="n">
        <v>0</v>
      </c>
      <c r="Z29" s="127"/>
      <c r="AA29" s="127"/>
      <c r="AB29" s="127"/>
      <c r="AC29" s="136"/>
      <c r="AD29" s="136"/>
      <c r="AE29" s="136"/>
    </row>
    <row r="30" customFormat="false" ht="15" hidden="false" customHeight="true" outlineLevel="0" collapsed="false">
      <c r="A30" s="138" t="n">
        <v>0</v>
      </c>
      <c r="B30" s="139" t="n">
        <v>45748</v>
      </c>
      <c r="C30" s="128" t="s">
        <v>179</v>
      </c>
      <c r="D30" s="128" t="s">
        <v>180</v>
      </c>
      <c r="E30" s="128" t="s">
        <v>118</v>
      </c>
      <c r="F30" s="140" t="n">
        <v>45762</v>
      </c>
      <c r="G30" s="140" t="n">
        <v>45944</v>
      </c>
      <c r="H30" s="145" t="s">
        <v>29</v>
      </c>
      <c r="I30" s="131" t="n">
        <v>42480</v>
      </c>
      <c r="J30" s="132" t="n">
        <v>7080</v>
      </c>
      <c r="K30" s="132" t="n">
        <f aca="false">I30/6</f>
        <v>7080</v>
      </c>
      <c r="L30" s="127" t="n">
        <f aca="false">G30-F30+1</f>
        <v>183</v>
      </c>
      <c r="M30" s="128" t="n">
        <f aca="false">$H$1-F30+1</f>
        <v>16</v>
      </c>
      <c r="N30" s="132" t="n">
        <f aca="false">I30/L30*M30</f>
        <v>3714.09836065574</v>
      </c>
      <c r="O30" s="132" t="n">
        <f aca="false">IF(F30&lt;$O$1,31,$O$1-F30)</f>
        <v>31</v>
      </c>
      <c r="P30" s="131" t="n">
        <f aca="false">O30*I30/L30</f>
        <v>7196.06557377049</v>
      </c>
      <c r="Q30" s="146" t="n">
        <f aca="false">I30/6</f>
        <v>7080</v>
      </c>
      <c r="R30" s="128" t="n">
        <f aca="false">IF(F30&lt;$R$2,30,$R$2-F30)</f>
        <v>30</v>
      </c>
      <c r="S30" s="146" t="n">
        <f aca="false">R30*I30/L30</f>
        <v>6963.93442622951</v>
      </c>
      <c r="T30" s="146" t="n">
        <f aca="false">I30/6</f>
        <v>7080</v>
      </c>
      <c r="U30" s="132" t="n">
        <f aca="false">IF(F31&lt;$U$2,31,$U$2-F31)</f>
        <v>31</v>
      </c>
      <c r="V30" s="131" t="n">
        <f aca="false">I30*U30/L30</f>
        <v>7196.06557377049</v>
      </c>
      <c r="W30" s="141" t="n">
        <f aca="false">IF(F30&lt;$W$2,31,$W$2-F30)</f>
        <v>31</v>
      </c>
      <c r="X30" s="132" t="n">
        <f aca="false">I30/6</f>
        <v>7080</v>
      </c>
      <c r="Y30" s="131" t="n">
        <f aca="false">I30*W30/L30</f>
        <v>7196.06557377049</v>
      </c>
      <c r="Z30" s="141" t="n">
        <f aca="false">IF(F30&lt;$Z$2,30,$Z$2-I30)</f>
        <v>30</v>
      </c>
      <c r="AA30" s="147" t="n">
        <f aca="false">I30/6</f>
        <v>7080</v>
      </c>
      <c r="AB30" s="147" t="n">
        <f aca="false">Z30*I30/L30</f>
        <v>6963.93442622951</v>
      </c>
      <c r="AC30" s="143"/>
      <c r="AD30" s="136"/>
      <c r="AE30" s="144"/>
    </row>
    <row r="31" s="137" customFormat="true" ht="15" hidden="false" customHeight="true" outlineLevel="0" collapsed="false">
      <c r="A31" s="125" t="n">
        <v>0</v>
      </c>
      <c r="B31" s="126" t="n">
        <v>45748</v>
      </c>
      <c r="C31" s="127" t="s">
        <v>181</v>
      </c>
      <c r="D31" s="127" t="s">
        <v>182</v>
      </c>
      <c r="E31" s="128" t="s">
        <v>118</v>
      </c>
      <c r="F31" s="129" t="n">
        <v>45762</v>
      </c>
      <c r="G31" s="129" t="n">
        <v>45823</v>
      </c>
      <c r="H31" s="127" t="s">
        <v>21</v>
      </c>
      <c r="I31" s="131" t="n">
        <v>23600</v>
      </c>
      <c r="J31" s="132" t="n">
        <v>11800</v>
      </c>
      <c r="K31" s="132" t="n">
        <f aca="false">I31/2</f>
        <v>11800</v>
      </c>
      <c r="L31" s="127" t="n">
        <f aca="false">G31-F31+1</f>
        <v>62</v>
      </c>
      <c r="M31" s="127" t="n">
        <f aca="false">$H$1-F31+1</f>
        <v>16</v>
      </c>
      <c r="N31" s="132" t="n">
        <f aca="false">I31/L31*M31</f>
        <v>6090.32258064516</v>
      </c>
      <c r="O31" s="132" t="n">
        <f aca="false">IF(F31&lt;$O$1,31,$O$1-F31)</f>
        <v>31</v>
      </c>
      <c r="P31" s="131" t="n">
        <f aca="false">O31*I31/L31</f>
        <v>11800</v>
      </c>
      <c r="Q31" s="127"/>
      <c r="R31" s="127" t="n">
        <v>15</v>
      </c>
      <c r="S31" s="134" t="n">
        <f aca="false">R31*I31/L31</f>
        <v>5709.67741935484</v>
      </c>
      <c r="T31" s="127"/>
      <c r="U31" s="132" t="n">
        <f aca="false">IF(F32&lt;$U$2,31,$U$2-F32)</f>
        <v>31</v>
      </c>
      <c r="V31" s="127"/>
      <c r="W31" s="135" t="n">
        <v>0</v>
      </c>
      <c r="X31" s="132" t="n">
        <v>0</v>
      </c>
      <c r="Y31" s="127" t="n">
        <v>0</v>
      </c>
      <c r="Z31" s="127"/>
      <c r="AA31" s="127"/>
      <c r="AB31" s="127"/>
      <c r="AC31" s="136"/>
      <c r="AD31" s="136"/>
      <c r="AE31" s="136"/>
    </row>
    <row r="32" customFormat="false" ht="15" hidden="false" customHeight="true" outlineLevel="0" collapsed="false">
      <c r="A32" s="138" t="n">
        <v>0</v>
      </c>
      <c r="B32" s="139" t="s">
        <v>183</v>
      </c>
      <c r="C32" s="128" t="s">
        <v>184</v>
      </c>
      <c r="D32" s="128" t="s">
        <v>185</v>
      </c>
      <c r="E32" s="128" t="s">
        <v>118</v>
      </c>
      <c r="F32" s="140" t="n">
        <v>45762</v>
      </c>
      <c r="G32" s="140" t="n">
        <v>46126</v>
      </c>
      <c r="H32" s="145" t="s">
        <v>10</v>
      </c>
      <c r="I32" s="131" t="n">
        <f aca="false">20000*12</f>
        <v>240000</v>
      </c>
      <c r="J32" s="132" t="n">
        <v>20000</v>
      </c>
      <c r="K32" s="132" t="n">
        <v>20000</v>
      </c>
      <c r="L32" s="127" t="n">
        <f aca="false">G32-F32+1</f>
        <v>365</v>
      </c>
      <c r="M32" s="128" t="n">
        <f aca="false">$H$1-F32+1</f>
        <v>16</v>
      </c>
      <c r="N32" s="132" t="n">
        <f aca="false">I32/L32*M32</f>
        <v>10520.5479452055</v>
      </c>
      <c r="O32" s="132" t="n">
        <f aca="false">IF(F32&lt;$O$1,31,$O$1-F32)</f>
        <v>31</v>
      </c>
      <c r="P32" s="131" t="n">
        <f aca="false">O32*I32/L32</f>
        <v>20383.5616438356</v>
      </c>
      <c r="Q32" s="146" t="n">
        <f aca="false">I32/12</f>
        <v>20000</v>
      </c>
      <c r="R32" s="128" t="n">
        <f aca="false">IF(F32&lt;$R$2,30,$R$2-F32)</f>
        <v>30</v>
      </c>
      <c r="S32" s="146" t="n">
        <f aca="false">R32*I32/L32</f>
        <v>19726.0273972603</v>
      </c>
      <c r="T32" s="146" t="n">
        <f aca="false">I32/12</f>
        <v>20000</v>
      </c>
      <c r="U32" s="132" t="n">
        <f aca="false">IF(F33&lt;$U$2,31,$U$2-F33)</f>
        <v>31</v>
      </c>
      <c r="V32" s="131" t="n">
        <f aca="false">I32*U32/L32</f>
        <v>20383.5616438356</v>
      </c>
      <c r="W32" s="141" t="n">
        <f aca="false">IF(F32&lt;$W$2,31,$W$2-F32)</f>
        <v>31</v>
      </c>
      <c r="X32" s="132" t="n">
        <f aca="false">I32/12</f>
        <v>20000</v>
      </c>
      <c r="Y32" s="131" t="n">
        <f aca="false">I32*W32/L32</f>
        <v>20383.5616438356</v>
      </c>
      <c r="Z32" s="141" t="n">
        <f aca="false">IF(F32&lt;$Z$2,30,$Z$2-I32)</f>
        <v>30</v>
      </c>
      <c r="AA32" s="147" t="n">
        <f aca="false">I32/12</f>
        <v>20000</v>
      </c>
      <c r="AB32" s="147" t="n">
        <f aca="false">I32*Z32/L32</f>
        <v>19726.0273972603</v>
      </c>
      <c r="AC32" s="143"/>
      <c r="AD32" s="144"/>
      <c r="AE32" s="144"/>
    </row>
    <row r="33" s="137" customFormat="true" ht="15" hidden="false" customHeight="true" outlineLevel="0" collapsed="false">
      <c r="A33" s="125" t="n">
        <v>0</v>
      </c>
      <c r="B33" s="126" t="s">
        <v>186</v>
      </c>
      <c r="C33" s="152" t="s">
        <v>187</v>
      </c>
      <c r="D33" s="127" t="s">
        <v>188</v>
      </c>
      <c r="E33" s="128" t="s">
        <v>118</v>
      </c>
      <c r="F33" s="129" t="n">
        <v>45763</v>
      </c>
      <c r="G33" s="129" t="n">
        <v>45792</v>
      </c>
      <c r="H33" s="142" t="s">
        <v>19</v>
      </c>
      <c r="I33" s="131" t="n">
        <f aca="false">11800*3-11800*2</f>
        <v>11800</v>
      </c>
      <c r="J33" s="132" t="n">
        <v>11800</v>
      </c>
      <c r="K33" s="132"/>
      <c r="L33" s="127" t="n">
        <f aca="false">G33-F33+1</f>
        <v>30</v>
      </c>
      <c r="M33" s="127" t="n">
        <f aca="false">$H$1-F33+1</f>
        <v>15</v>
      </c>
      <c r="N33" s="132" t="n">
        <f aca="false">I33/L33*M33</f>
        <v>5900</v>
      </c>
      <c r="O33" s="132" t="n">
        <f aca="false">G33-N1+1</f>
        <v>15</v>
      </c>
      <c r="P33" s="131" t="n">
        <f aca="false">O33*I33/L33</f>
        <v>5900</v>
      </c>
      <c r="Q33" s="133" t="n">
        <v>0</v>
      </c>
      <c r="R33" s="127" t="n">
        <f aca="false">IF(F33&lt;$R$2,30,$R$2-F33)</f>
        <v>30</v>
      </c>
      <c r="S33" s="133" t="n">
        <v>0</v>
      </c>
      <c r="T33" s="133" t="n">
        <v>0</v>
      </c>
      <c r="U33" s="132" t="n">
        <f aca="false">IF(F34&lt;$U$2,31,$U$2-F34)</f>
        <v>31</v>
      </c>
      <c r="V33" s="131" t="n">
        <v>0</v>
      </c>
      <c r="W33" s="135" t="n">
        <v>0</v>
      </c>
      <c r="X33" s="132" t="n">
        <v>0</v>
      </c>
      <c r="Y33" s="127" t="n">
        <v>0</v>
      </c>
      <c r="Z33" s="127"/>
      <c r="AA33" s="127"/>
      <c r="AB33" s="127"/>
      <c r="AC33" s="136"/>
      <c r="AD33" s="136"/>
      <c r="AE33" s="136"/>
    </row>
    <row r="34" s="137" customFormat="true" ht="15" hidden="false" customHeight="true" outlineLevel="0" collapsed="false">
      <c r="A34" s="125" t="s">
        <v>119</v>
      </c>
      <c r="B34" s="126" t="n">
        <v>45748</v>
      </c>
      <c r="C34" s="127" t="s">
        <v>189</v>
      </c>
      <c r="D34" s="127" t="s">
        <v>190</v>
      </c>
      <c r="E34" s="128" t="s">
        <v>118</v>
      </c>
      <c r="F34" s="129" t="n">
        <v>45763</v>
      </c>
      <c r="G34" s="129" t="n">
        <v>45792</v>
      </c>
      <c r="H34" s="142" t="s">
        <v>19</v>
      </c>
      <c r="I34" s="131" t="n">
        <v>17700</v>
      </c>
      <c r="J34" s="132" t="n">
        <v>17700</v>
      </c>
      <c r="K34" s="132"/>
      <c r="L34" s="127" t="n">
        <f aca="false">G34-F34+1</f>
        <v>30</v>
      </c>
      <c r="M34" s="127" t="n">
        <f aca="false">$H$1-F34+1</f>
        <v>15</v>
      </c>
      <c r="N34" s="132" t="n">
        <f aca="false">I34/L34*M34</f>
        <v>8850</v>
      </c>
      <c r="O34" s="132" t="n">
        <f aca="false">L34-M34</f>
        <v>15</v>
      </c>
      <c r="P34" s="131" t="n">
        <f aca="false">O34*I34/L34</f>
        <v>8850</v>
      </c>
      <c r="Q34" s="127"/>
      <c r="R34" s="127" t="n">
        <f aca="false">IF(F34&lt;$R$2,30,$R$2-F34)</f>
        <v>30</v>
      </c>
      <c r="S34" s="127"/>
      <c r="T34" s="127"/>
      <c r="U34" s="132" t="n">
        <f aca="false">IF(F35&lt;$U$2,31,$U$2-F35)</f>
        <v>31</v>
      </c>
      <c r="V34" s="127"/>
      <c r="W34" s="135" t="n">
        <v>0</v>
      </c>
      <c r="X34" s="132" t="n">
        <v>0</v>
      </c>
      <c r="Y34" s="127" t="n">
        <v>0</v>
      </c>
      <c r="Z34" s="127"/>
      <c r="AA34" s="127"/>
      <c r="AB34" s="127"/>
      <c r="AC34" s="136"/>
      <c r="AD34" s="136"/>
      <c r="AE34" s="136"/>
    </row>
    <row r="35" customFormat="false" ht="15" hidden="false" customHeight="true" outlineLevel="0" collapsed="false">
      <c r="A35" s="138" t="n">
        <v>0</v>
      </c>
      <c r="B35" s="139" t="n">
        <v>45748</v>
      </c>
      <c r="C35" s="128" t="s">
        <v>191</v>
      </c>
      <c r="D35" s="128" t="s">
        <v>192</v>
      </c>
      <c r="E35" s="128" t="s">
        <v>118</v>
      </c>
      <c r="F35" s="140" t="n">
        <v>45778</v>
      </c>
      <c r="G35" s="140" t="n">
        <v>46142</v>
      </c>
      <c r="H35" s="145" t="s">
        <v>9</v>
      </c>
      <c r="I35" s="131" t="n">
        <v>80240</v>
      </c>
      <c r="J35" s="132"/>
      <c r="K35" s="132" t="n">
        <f aca="false">I35/12</f>
        <v>6686.66666666667</v>
      </c>
      <c r="L35" s="127" t="n">
        <f aca="false">G35-F35+1</f>
        <v>365</v>
      </c>
      <c r="M35" s="128" t="n">
        <f aca="false">$H$1-F35+1</f>
        <v>0</v>
      </c>
      <c r="N35" s="132" t="n">
        <f aca="false">I35/L35*M35</f>
        <v>0</v>
      </c>
      <c r="O35" s="132" t="n">
        <f aca="false">$O$1-F35+1</f>
        <v>31</v>
      </c>
      <c r="P35" s="131" t="n">
        <f aca="false">O35*I35/L35</f>
        <v>6814.90410958904</v>
      </c>
      <c r="Q35" s="146" t="n">
        <f aca="false">I35/12</f>
        <v>6686.66666666667</v>
      </c>
      <c r="R35" s="128" t="n">
        <f aca="false">IF(F35&lt;$R$2,30,$R$2-F35)</f>
        <v>30</v>
      </c>
      <c r="S35" s="146" t="n">
        <f aca="false">R35*I35/L35</f>
        <v>6595.06849315069</v>
      </c>
      <c r="T35" s="146" t="n">
        <f aca="false">I35/12</f>
        <v>6686.66666666667</v>
      </c>
      <c r="U35" s="132" t="n">
        <f aca="false">IF(F36&lt;$U$2,31,$U$2-F36)</f>
        <v>31</v>
      </c>
      <c r="V35" s="131" t="n">
        <f aca="false">I35*U35/L35</f>
        <v>6814.90410958904</v>
      </c>
      <c r="W35" s="141" t="n">
        <f aca="false">IF(F35&lt;$W$2,31,$W$2-F35)</f>
        <v>31</v>
      </c>
      <c r="X35" s="132" t="n">
        <f aca="false">I35/12</f>
        <v>6686.66666666667</v>
      </c>
      <c r="Y35" s="131" t="n">
        <f aca="false">I35*W35/L35</f>
        <v>6814.90410958904</v>
      </c>
      <c r="Z35" s="141" t="n">
        <f aca="false">IF(F35&lt;$Z$2,30,$Z$2-I35)</f>
        <v>30</v>
      </c>
      <c r="AA35" s="147" t="n">
        <f aca="false">I35/12</f>
        <v>6686.66666666667</v>
      </c>
      <c r="AB35" s="147" t="n">
        <f aca="false">I35*Z35/L35</f>
        <v>6595.06849315069</v>
      </c>
      <c r="AC35" s="143"/>
      <c r="AD35" s="144"/>
      <c r="AE35" s="144"/>
    </row>
    <row r="36" customFormat="false" ht="15.75" hidden="false" customHeight="true" outlineLevel="0" collapsed="false">
      <c r="A36" s="138" t="s">
        <v>119</v>
      </c>
      <c r="B36" s="139" t="n">
        <v>45748</v>
      </c>
      <c r="C36" s="128" t="s">
        <v>193</v>
      </c>
      <c r="D36" s="128" t="s">
        <v>194</v>
      </c>
      <c r="E36" s="128" t="s">
        <v>118</v>
      </c>
      <c r="F36" s="140" t="n">
        <v>45765</v>
      </c>
      <c r="G36" s="140" t="n">
        <v>45795</v>
      </c>
      <c r="H36" s="145" t="s">
        <v>19</v>
      </c>
      <c r="I36" s="131" t="n">
        <v>5900</v>
      </c>
      <c r="J36" s="132" t="n">
        <v>5900</v>
      </c>
      <c r="K36" s="132"/>
      <c r="L36" s="127" t="n">
        <f aca="false">G36-F36+1</f>
        <v>31</v>
      </c>
      <c r="M36" s="128" t="n">
        <f aca="false">$H$1-F36+1</f>
        <v>13</v>
      </c>
      <c r="N36" s="132" t="n">
        <f aca="false">I36/L36*M36</f>
        <v>2474.1935483871</v>
      </c>
      <c r="O36" s="132" t="n">
        <f aca="false">L36-M36</f>
        <v>18</v>
      </c>
      <c r="P36" s="131" t="n">
        <f aca="false">O36*I36/L36</f>
        <v>3425.8064516129</v>
      </c>
      <c r="Q36" s="128"/>
      <c r="R36" s="128" t="n">
        <f aca="false">IF(F36&lt;$R$2,30,$R$2-F36)</f>
        <v>30</v>
      </c>
      <c r="S36" s="128"/>
      <c r="T36" s="128"/>
      <c r="U36" s="132" t="n">
        <f aca="false">IF(F37&lt;$U$2,31,$U$2-F37)</f>
        <v>31</v>
      </c>
      <c r="V36" s="128"/>
      <c r="W36" s="141" t="n">
        <v>0</v>
      </c>
      <c r="X36" s="132" t="n">
        <v>0</v>
      </c>
      <c r="Y36" s="128" t="n">
        <v>0</v>
      </c>
      <c r="Z36" s="128"/>
      <c r="AA36" s="128"/>
      <c r="AB36" s="128"/>
      <c r="AC36" s="136"/>
      <c r="AD36" s="136"/>
      <c r="AE36" s="136"/>
    </row>
    <row r="37" s="137" customFormat="true" ht="15.75" hidden="false" customHeight="true" outlineLevel="0" collapsed="false">
      <c r="A37" s="125" t="s">
        <v>119</v>
      </c>
      <c r="B37" s="126" t="n">
        <v>45748</v>
      </c>
      <c r="C37" s="127" t="s">
        <v>195</v>
      </c>
      <c r="D37" s="127" t="s">
        <v>196</v>
      </c>
      <c r="E37" s="128" t="s">
        <v>118</v>
      </c>
      <c r="F37" s="129" t="n">
        <v>45761</v>
      </c>
      <c r="G37" s="129" t="n">
        <v>45791</v>
      </c>
      <c r="H37" s="142" t="s">
        <v>19</v>
      </c>
      <c r="I37" s="131" t="n">
        <v>23600</v>
      </c>
      <c r="J37" s="132" t="n">
        <v>23600</v>
      </c>
      <c r="K37" s="132"/>
      <c r="L37" s="127" t="n">
        <f aca="false">G37-F37+1</f>
        <v>31</v>
      </c>
      <c r="M37" s="127" t="n">
        <f aca="false">$H$1-F37+1</f>
        <v>17</v>
      </c>
      <c r="N37" s="132" t="n">
        <f aca="false">I37/L37*M37</f>
        <v>12941.935483871</v>
      </c>
      <c r="O37" s="132" t="n">
        <f aca="false">L37-M37</f>
        <v>14</v>
      </c>
      <c r="P37" s="131" t="n">
        <f aca="false">O37*I37/L37</f>
        <v>10658.064516129</v>
      </c>
      <c r="Q37" s="127"/>
      <c r="R37" s="127" t="n">
        <f aca="false">IF(F37&lt;$R$2,30,$R$2-F37)</f>
        <v>30</v>
      </c>
      <c r="S37" s="127"/>
      <c r="T37" s="127"/>
      <c r="U37" s="132" t="n">
        <f aca="false">IF(F38&lt;$U$2,31,$U$2-F38)</f>
        <v>31</v>
      </c>
      <c r="V37" s="127"/>
      <c r="W37" s="135" t="n">
        <v>0</v>
      </c>
      <c r="X37" s="132" t="n">
        <v>0</v>
      </c>
      <c r="Y37" s="127" t="n">
        <v>0</v>
      </c>
      <c r="Z37" s="127"/>
      <c r="AA37" s="127"/>
      <c r="AB37" s="127"/>
      <c r="AC37" s="136"/>
      <c r="AD37" s="136"/>
      <c r="AE37" s="136"/>
    </row>
    <row r="38" customFormat="false" ht="15.75" hidden="false" customHeight="true" outlineLevel="0" collapsed="false">
      <c r="A38" s="138" t="n">
        <v>0</v>
      </c>
      <c r="B38" s="139" t="n">
        <v>45748</v>
      </c>
      <c r="C38" s="128" t="s">
        <v>197</v>
      </c>
      <c r="D38" s="128" t="s">
        <v>198</v>
      </c>
      <c r="E38" s="128" t="s">
        <v>118</v>
      </c>
      <c r="F38" s="140" t="n">
        <v>45769</v>
      </c>
      <c r="G38" s="140" t="n">
        <v>46133</v>
      </c>
      <c r="H38" s="145" t="s">
        <v>9</v>
      </c>
      <c r="I38" s="131" t="n">
        <v>175000</v>
      </c>
      <c r="J38" s="132" t="n">
        <v>14583.3333333333</v>
      </c>
      <c r="K38" s="132" t="n">
        <f aca="false">I38/12</f>
        <v>14583.3333333333</v>
      </c>
      <c r="L38" s="127" t="n">
        <f aca="false">G38-F38+1</f>
        <v>365</v>
      </c>
      <c r="M38" s="128" t="n">
        <f aca="false">$H$1-F38+1</f>
        <v>9</v>
      </c>
      <c r="N38" s="132" t="n">
        <f aca="false">I38/L38*M38</f>
        <v>4315.06849315069</v>
      </c>
      <c r="O38" s="132" t="n">
        <f aca="false">IF(F38&lt;$O$1,31,$O$1-F38)</f>
        <v>31</v>
      </c>
      <c r="P38" s="131" t="n">
        <f aca="false">O38*I38/L38</f>
        <v>14863.0136986301</v>
      </c>
      <c r="Q38" s="146" t="n">
        <f aca="false">I38/12</f>
        <v>14583.3333333333</v>
      </c>
      <c r="R38" s="128" t="n">
        <f aca="false">IF(F38&lt;$R$2,30,$R$2-F38)</f>
        <v>30</v>
      </c>
      <c r="S38" s="146" t="n">
        <f aca="false">R38*I38/L38</f>
        <v>14383.5616438356</v>
      </c>
      <c r="T38" s="146" t="n">
        <f aca="false">I38/12</f>
        <v>14583.3333333333</v>
      </c>
      <c r="U38" s="132" t="n">
        <f aca="false">IF(F39&lt;$U$2,31,$U$2-F39)</f>
        <v>31</v>
      </c>
      <c r="V38" s="131" t="n">
        <f aca="false">I38*U38/L38</f>
        <v>14863.0136986301</v>
      </c>
      <c r="W38" s="141" t="n">
        <f aca="false">IF(F38&lt;$W$2,31,$W$2-F38)</f>
        <v>31</v>
      </c>
      <c r="X38" s="132" t="n">
        <f aca="false">I38/12</f>
        <v>14583.3333333333</v>
      </c>
      <c r="Y38" s="131" t="n">
        <f aca="false">I38*W38/L38</f>
        <v>14863.0136986301</v>
      </c>
      <c r="Z38" s="141" t="n">
        <f aca="false">IF(F38&lt;$Z$2,30,$Z$2-I38)</f>
        <v>30</v>
      </c>
      <c r="AA38" s="147" t="n">
        <f aca="false">I38/12</f>
        <v>14583.3333333333</v>
      </c>
      <c r="AB38" s="147" t="n">
        <f aca="false">I38*Z38/L38</f>
        <v>14383.5616438356</v>
      </c>
      <c r="AC38" s="143"/>
      <c r="AD38" s="144"/>
      <c r="AE38" s="144"/>
    </row>
    <row r="39" s="137" customFormat="true" ht="15.75" hidden="false" customHeight="true" outlineLevel="0" collapsed="false">
      <c r="A39" s="125" t="n">
        <v>0</v>
      </c>
      <c r="B39" s="126" t="n">
        <v>45748</v>
      </c>
      <c r="C39" s="127" t="s">
        <v>199</v>
      </c>
      <c r="D39" s="127" t="s">
        <v>200</v>
      </c>
      <c r="E39" s="128" t="s">
        <v>118</v>
      </c>
      <c r="F39" s="129" t="n">
        <v>45771</v>
      </c>
      <c r="G39" s="129" t="n">
        <v>45860</v>
      </c>
      <c r="H39" s="130" t="s">
        <v>24</v>
      </c>
      <c r="I39" s="131" t="n">
        <v>28320</v>
      </c>
      <c r="J39" s="132" t="n">
        <v>9440</v>
      </c>
      <c r="K39" s="132" t="n">
        <f aca="false">I39/3</f>
        <v>9440</v>
      </c>
      <c r="L39" s="127" t="n">
        <f aca="false">G39-F39+1</f>
        <v>90</v>
      </c>
      <c r="M39" s="127" t="n">
        <f aca="false">$H$1-F39+1</f>
        <v>7</v>
      </c>
      <c r="N39" s="132" t="n">
        <f aca="false">I39/L39*M39</f>
        <v>2202.66666666667</v>
      </c>
      <c r="O39" s="132" t="n">
        <f aca="false">IF(F39&lt;$O$1,31,$O$1-F39)</f>
        <v>31</v>
      </c>
      <c r="P39" s="131" t="n">
        <f aca="false">O39*I39/L39</f>
        <v>9754.66666666667</v>
      </c>
      <c r="Q39" s="133" t="n">
        <f aca="false">I39/3</f>
        <v>9440</v>
      </c>
      <c r="R39" s="127" t="n">
        <f aca="false">IF(F39&lt;$R$2,30,$R$2-F39)</f>
        <v>30</v>
      </c>
      <c r="S39" s="133" t="n">
        <f aca="false">R39*I39/L39</f>
        <v>9440</v>
      </c>
      <c r="T39" s="127"/>
      <c r="U39" s="132" t="n">
        <f aca="false">G39-$R$2</f>
        <v>22</v>
      </c>
      <c r="V39" s="132" t="n">
        <f aca="false">U39*I39/L39</f>
        <v>6922.66666666667</v>
      </c>
      <c r="W39" s="135" t="n">
        <v>0</v>
      </c>
      <c r="X39" s="132" t="n">
        <v>0</v>
      </c>
      <c r="Y39" s="127" t="n">
        <v>0</v>
      </c>
      <c r="Z39" s="127"/>
      <c r="AA39" s="127"/>
      <c r="AB39" s="127"/>
      <c r="AC39" s="136"/>
      <c r="AD39" s="136"/>
      <c r="AE39" s="136"/>
    </row>
    <row r="40" customFormat="false" ht="15.75" hidden="false" customHeight="true" outlineLevel="0" collapsed="false">
      <c r="A40" s="138" t="s">
        <v>135</v>
      </c>
      <c r="B40" s="139" t="s">
        <v>176</v>
      </c>
      <c r="C40" s="128" t="s">
        <v>201</v>
      </c>
      <c r="D40" s="128" t="s">
        <v>202</v>
      </c>
      <c r="E40" s="128" t="s">
        <v>118</v>
      </c>
      <c r="F40" s="140" t="n">
        <v>45770</v>
      </c>
      <c r="G40" s="140" t="n">
        <v>45799</v>
      </c>
      <c r="H40" s="145" t="s">
        <v>19</v>
      </c>
      <c r="I40" s="131" t="n">
        <f aca="false">17700</f>
        <v>17700</v>
      </c>
      <c r="J40" s="132" t="n">
        <v>17700</v>
      </c>
      <c r="K40" s="132"/>
      <c r="L40" s="127" t="n">
        <f aca="false">G40-F40+1</f>
        <v>30</v>
      </c>
      <c r="M40" s="128" t="n">
        <f aca="false">$H$1-F40+1</f>
        <v>8</v>
      </c>
      <c r="N40" s="132" t="n">
        <f aca="false">I40/L40*M40</f>
        <v>4720</v>
      </c>
      <c r="O40" s="132" t="n">
        <f aca="false">G40-N1+1</f>
        <v>22</v>
      </c>
      <c r="P40" s="131" t="n">
        <f aca="false">O40*I40/L40</f>
        <v>12980</v>
      </c>
      <c r="Q40" s="146"/>
      <c r="R40" s="128"/>
      <c r="S40" s="146"/>
      <c r="T40" s="146"/>
      <c r="U40" s="132"/>
      <c r="V40" s="131"/>
      <c r="W40" s="141" t="n">
        <v>0</v>
      </c>
      <c r="X40" s="132" t="n">
        <v>0</v>
      </c>
      <c r="Y40" s="128" t="n">
        <v>0</v>
      </c>
      <c r="Z40" s="128"/>
      <c r="AA40" s="128"/>
      <c r="AB40" s="128"/>
      <c r="AC40" s="136"/>
      <c r="AD40" s="136"/>
      <c r="AE40" s="136"/>
    </row>
    <row r="41" customFormat="false" ht="15.75" hidden="false" customHeight="true" outlineLevel="0" collapsed="false">
      <c r="A41" s="138" t="s">
        <v>119</v>
      </c>
      <c r="B41" s="139" t="n">
        <v>45748</v>
      </c>
      <c r="C41" s="128" t="s">
        <v>203</v>
      </c>
      <c r="D41" s="128" t="s">
        <v>204</v>
      </c>
      <c r="E41" s="128" t="s">
        <v>118</v>
      </c>
      <c r="F41" s="140" t="n">
        <v>45771</v>
      </c>
      <c r="G41" s="140" t="n">
        <v>45800</v>
      </c>
      <c r="H41" s="145" t="s">
        <v>19</v>
      </c>
      <c r="I41" s="131" t="n">
        <v>11800</v>
      </c>
      <c r="J41" s="132" t="n">
        <v>11800</v>
      </c>
      <c r="K41" s="132"/>
      <c r="L41" s="127" t="n">
        <f aca="false">G41-F41+1</f>
        <v>30</v>
      </c>
      <c r="M41" s="128" t="n">
        <f aca="false">$H$1-F41+1</f>
        <v>7</v>
      </c>
      <c r="N41" s="132" t="n">
        <f aca="false">I41/L41*M41</f>
        <v>2753.33333333333</v>
      </c>
      <c r="O41" s="132" t="n">
        <f aca="false">L41-M41</f>
        <v>23</v>
      </c>
      <c r="P41" s="131" t="n">
        <f aca="false">O41*I41/L41</f>
        <v>9046.66666666667</v>
      </c>
      <c r="Q41" s="128"/>
      <c r="R41" s="128" t="n">
        <f aca="false">IF(F41&lt;$R$2,30,$R$2-F41)</f>
        <v>30</v>
      </c>
      <c r="S41" s="128"/>
      <c r="T41" s="128"/>
      <c r="U41" s="132" t="n">
        <f aca="false">IF(F42&lt;$U$2,31,$U$2-F42)</f>
        <v>31</v>
      </c>
      <c r="V41" s="128"/>
      <c r="W41" s="141" t="n">
        <v>0</v>
      </c>
      <c r="X41" s="132" t="n">
        <v>0</v>
      </c>
      <c r="Y41" s="128" t="n">
        <v>0</v>
      </c>
      <c r="Z41" s="128"/>
      <c r="AA41" s="128"/>
      <c r="AB41" s="128"/>
      <c r="AC41" s="136"/>
      <c r="AD41" s="136"/>
      <c r="AE41" s="136"/>
    </row>
    <row r="42" customFormat="false" ht="15.75" hidden="false" customHeight="true" outlineLevel="0" collapsed="false">
      <c r="A42" s="138" t="n">
        <v>0</v>
      </c>
      <c r="B42" s="139" t="n">
        <v>45748</v>
      </c>
      <c r="C42" s="128" t="s">
        <v>205</v>
      </c>
      <c r="D42" s="128" t="s">
        <v>206</v>
      </c>
      <c r="E42" s="128" t="s">
        <v>118</v>
      </c>
      <c r="F42" s="140" t="n">
        <v>45771</v>
      </c>
      <c r="G42" s="140" t="n">
        <v>45862</v>
      </c>
      <c r="H42" s="150" t="s">
        <v>24</v>
      </c>
      <c r="I42" s="131" t="n">
        <f aca="false">35400</f>
        <v>35400</v>
      </c>
      <c r="J42" s="132" t="n">
        <v>11800</v>
      </c>
      <c r="K42" s="132" t="n">
        <f aca="false">I42/3</f>
        <v>11800</v>
      </c>
      <c r="L42" s="127" t="n">
        <f aca="false">G42-F42+1</f>
        <v>92</v>
      </c>
      <c r="M42" s="128" t="n">
        <f aca="false">$H$1-F42+1</f>
        <v>7</v>
      </c>
      <c r="N42" s="132" t="n">
        <f aca="false">I42/L42*M42</f>
        <v>2693.47826086957</v>
      </c>
      <c r="O42" s="132" t="n">
        <f aca="false">IF(F42&lt;$O$1,31,$O$1-F42)</f>
        <v>31</v>
      </c>
      <c r="P42" s="131" t="n">
        <f aca="false">O42*I42/L42</f>
        <v>11928.2608695652</v>
      </c>
      <c r="Q42" s="146" t="n">
        <f aca="false">I42/3</f>
        <v>11800</v>
      </c>
      <c r="R42" s="128" t="n">
        <f aca="false">IF(F42&lt;$R$2,30,$R$2-F42)</f>
        <v>30</v>
      </c>
      <c r="S42" s="146" t="n">
        <f aca="false">R42*I42/L42</f>
        <v>11543.4782608696</v>
      </c>
      <c r="T42" s="128"/>
      <c r="U42" s="132" t="n">
        <f aca="false">G42-$R$2</f>
        <v>24</v>
      </c>
      <c r="V42" s="132" t="n">
        <f aca="false">U42*I42/L42</f>
        <v>9234.78260869565</v>
      </c>
      <c r="W42" s="141" t="n">
        <v>0</v>
      </c>
      <c r="X42" s="132" t="n">
        <v>0</v>
      </c>
      <c r="Y42" s="128" t="n">
        <v>0</v>
      </c>
      <c r="Z42" s="128"/>
      <c r="AA42" s="128"/>
      <c r="AB42" s="128"/>
      <c r="AC42" s="136"/>
      <c r="AD42" s="136"/>
      <c r="AE42" s="136"/>
    </row>
    <row r="43" s="137" customFormat="true" ht="15.75" hidden="false" customHeight="true" outlineLevel="0" collapsed="false">
      <c r="A43" s="125" t="n">
        <v>0</v>
      </c>
      <c r="B43" s="126" t="n">
        <v>45748</v>
      </c>
      <c r="C43" s="127" t="s">
        <v>207</v>
      </c>
      <c r="D43" s="127" t="s">
        <v>208</v>
      </c>
      <c r="E43" s="128" t="s">
        <v>118</v>
      </c>
      <c r="F43" s="129" t="n">
        <v>45774</v>
      </c>
      <c r="G43" s="129" t="n">
        <v>46138</v>
      </c>
      <c r="H43" s="142" t="s">
        <v>9</v>
      </c>
      <c r="I43" s="131" t="n">
        <v>177000</v>
      </c>
      <c r="J43" s="132" t="n">
        <v>14750</v>
      </c>
      <c r="K43" s="132" t="n">
        <f aca="false">I43/12</f>
        <v>14750</v>
      </c>
      <c r="L43" s="127" t="n">
        <f aca="false">G43-F43+1</f>
        <v>365</v>
      </c>
      <c r="M43" s="127" t="n">
        <f aca="false">$H$1-F43+1</f>
        <v>4</v>
      </c>
      <c r="N43" s="132" t="n">
        <f aca="false">I43/L43*M43</f>
        <v>1939.72602739726</v>
      </c>
      <c r="O43" s="132" t="n">
        <f aca="false">IF(F43&lt;$O$1,31,$O$1-F43)</f>
        <v>31</v>
      </c>
      <c r="P43" s="131" t="n">
        <f aca="false">O43*I43/L43</f>
        <v>15032.8767123288</v>
      </c>
      <c r="Q43" s="133" t="n">
        <f aca="false">I43/12</f>
        <v>14750</v>
      </c>
      <c r="R43" s="127" t="n">
        <f aca="false">IF(F43&lt;$R$2,30,$R$2-F43)</f>
        <v>30</v>
      </c>
      <c r="S43" s="133" t="n">
        <f aca="false">R43*I43/L43</f>
        <v>14547.9452054795</v>
      </c>
      <c r="T43" s="133" t="n">
        <f aca="false">I43/12</f>
        <v>14750</v>
      </c>
      <c r="U43" s="132" t="n">
        <f aca="false">IF(F44&lt;$U$2,31,$U$2-F44)</f>
        <v>31</v>
      </c>
      <c r="V43" s="131" t="n">
        <f aca="false">I43*U43/L43</f>
        <v>15032.8767123288</v>
      </c>
      <c r="W43" s="135" t="n">
        <f aca="false">IF(F43&lt;$W$2,31,$W$2-F43)</f>
        <v>31</v>
      </c>
      <c r="X43" s="132" t="n">
        <f aca="false">I43/12</f>
        <v>14750</v>
      </c>
      <c r="Y43" s="131" t="n">
        <f aca="false">I43*W43/L43</f>
        <v>15032.8767123288</v>
      </c>
      <c r="Z43" s="135" t="n">
        <f aca="false">IF(F43&lt;$Z$2,30,$Z$2-I43)</f>
        <v>30</v>
      </c>
      <c r="AA43" s="134" t="n">
        <f aca="false">I43/12</f>
        <v>14750</v>
      </c>
      <c r="AB43" s="134" t="n">
        <f aca="false">I43*Z43/L43</f>
        <v>14547.9452054795</v>
      </c>
      <c r="AC43" s="143"/>
      <c r="AD43" s="144"/>
      <c r="AE43" s="144"/>
    </row>
    <row r="44" s="137" customFormat="true" ht="15.75" hidden="false" customHeight="true" outlineLevel="0" collapsed="false">
      <c r="A44" s="125" t="n">
        <v>0</v>
      </c>
      <c r="B44" s="126" t="n">
        <v>45748</v>
      </c>
      <c r="C44" s="152" t="s">
        <v>209</v>
      </c>
      <c r="D44" s="127" t="s">
        <v>210</v>
      </c>
      <c r="E44" s="128" t="s">
        <v>118</v>
      </c>
      <c r="F44" s="148" t="n">
        <v>45772</v>
      </c>
      <c r="G44" s="129" t="n">
        <v>46136</v>
      </c>
      <c r="H44" s="142" t="s">
        <v>9</v>
      </c>
      <c r="I44" s="153" t="n">
        <v>203904</v>
      </c>
      <c r="J44" s="132" t="n">
        <v>16992</v>
      </c>
      <c r="K44" s="132" t="n">
        <f aca="false">I44/12</f>
        <v>16992</v>
      </c>
      <c r="L44" s="127" t="n">
        <f aca="false">G44-F44+1</f>
        <v>365</v>
      </c>
      <c r="M44" s="127" t="n">
        <f aca="false">$H$1-F44+1</f>
        <v>6</v>
      </c>
      <c r="N44" s="132" t="n">
        <f aca="false">I44/L44*M44</f>
        <v>3351.84657534247</v>
      </c>
      <c r="O44" s="132" t="n">
        <f aca="false">IF(F44&lt;$O$1,31,$O$1-F44)</f>
        <v>31</v>
      </c>
      <c r="P44" s="131" t="n">
        <f aca="false">O44*I44/L44</f>
        <v>17317.8739726027</v>
      </c>
      <c r="Q44" s="133" t="n">
        <f aca="false">I44/12</f>
        <v>16992</v>
      </c>
      <c r="R44" s="127" t="n">
        <f aca="false">IF(F44&lt;$R$2,30,$R$2-F44)</f>
        <v>30</v>
      </c>
      <c r="S44" s="133" t="n">
        <f aca="false">R44*I44/L44</f>
        <v>16759.2328767123</v>
      </c>
      <c r="T44" s="133" t="n">
        <f aca="false">I44/12</f>
        <v>16992</v>
      </c>
      <c r="U44" s="132" t="n">
        <f aca="false">IF(F45&lt;$U$2,31,$U$2-F45)</f>
        <v>31</v>
      </c>
      <c r="V44" s="131" t="n">
        <f aca="false">I44*U44/L44</f>
        <v>17317.8739726027</v>
      </c>
      <c r="W44" s="135" t="n">
        <f aca="false">IF(F44&lt;$W$2,31,$W$2-F44)</f>
        <v>31</v>
      </c>
      <c r="X44" s="132" t="n">
        <f aca="false">I44/12</f>
        <v>16992</v>
      </c>
      <c r="Y44" s="131" t="n">
        <f aca="false">I44*W44/L44</f>
        <v>17317.8739726027</v>
      </c>
      <c r="Z44" s="135" t="n">
        <f aca="false">IF(F44&lt;$Z$2,30,$Z$2-I44)</f>
        <v>30</v>
      </c>
      <c r="AA44" s="134" t="n">
        <f aca="false">I44/12</f>
        <v>16992</v>
      </c>
      <c r="AB44" s="134" t="n">
        <f aca="false">I44*Z44/L44</f>
        <v>16759.2328767123</v>
      </c>
      <c r="AC44" s="143"/>
      <c r="AD44" s="144"/>
      <c r="AE44" s="144"/>
    </row>
    <row r="45" customFormat="false" ht="15.75" hidden="false" customHeight="true" outlineLevel="0" collapsed="false">
      <c r="A45" s="138" t="n">
        <v>0</v>
      </c>
      <c r="B45" s="139" t="n">
        <v>45748</v>
      </c>
      <c r="C45" s="128" t="s">
        <v>211</v>
      </c>
      <c r="D45" s="128" t="s">
        <v>212</v>
      </c>
      <c r="E45" s="128" t="s">
        <v>118</v>
      </c>
      <c r="F45" s="154" t="n">
        <v>45772</v>
      </c>
      <c r="G45" s="140" t="n">
        <v>46136</v>
      </c>
      <c r="H45" s="145" t="s">
        <v>9</v>
      </c>
      <c r="I45" s="153" t="n">
        <v>25488</v>
      </c>
      <c r="J45" s="132" t="n">
        <v>2124</v>
      </c>
      <c r="K45" s="132" t="n">
        <f aca="false">I45/12</f>
        <v>2124</v>
      </c>
      <c r="L45" s="127" t="n">
        <f aca="false">G45-F45+1</f>
        <v>365</v>
      </c>
      <c r="M45" s="128" t="n">
        <f aca="false">$H$1-F45+1</f>
        <v>6</v>
      </c>
      <c r="N45" s="132" t="n">
        <f aca="false">I45/L45*M45</f>
        <v>418.980821917808</v>
      </c>
      <c r="O45" s="132" t="n">
        <f aca="false">IF(F45&lt;$O$1,31,$O$1-F45)</f>
        <v>31</v>
      </c>
      <c r="P45" s="131" t="n">
        <f aca="false">O45*I45/L45</f>
        <v>2164.73424657534</v>
      </c>
      <c r="Q45" s="146" t="n">
        <f aca="false">I45/12</f>
        <v>2124</v>
      </c>
      <c r="R45" s="128" t="n">
        <f aca="false">IF(F45&lt;$R$2,30,$R$2-F45)</f>
        <v>30</v>
      </c>
      <c r="S45" s="146" t="n">
        <f aca="false">R45*I45/L45</f>
        <v>2094.90410958904</v>
      </c>
      <c r="T45" s="146" t="n">
        <f aca="false">I45/12</f>
        <v>2124</v>
      </c>
      <c r="U45" s="132" t="n">
        <f aca="false">IF(F46&lt;$U$2,31,$U$2-F46)</f>
        <v>31</v>
      </c>
      <c r="V45" s="131" t="n">
        <f aca="false">I45*U45/L45</f>
        <v>2164.73424657534</v>
      </c>
      <c r="W45" s="141" t="n">
        <f aca="false">IF(F45&lt;$W$2,31,$W$2-F45)</f>
        <v>31</v>
      </c>
      <c r="X45" s="132" t="n">
        <f aca="false">I45/12</f>
        <v>2124</v>
      </c>
      <c r="Y45" s="131" t="n">
        <f aca="false">I45*W45/L45</f>
        <v>2164.73424657534</v>
      </c>
      <c r="Z45" s="141" t="n">
        <f aca="false">IF(F45&lt;$Z$2,30,$Z$2-I45)</f>
        <v>30</v>
      </c>
      <c r="AA45" s="147" t="n">
        <f aca="false">I45/12</f>
        <v>2124</v>
      </c>
      <c r="AB45" s="147" t="n">
        <f aca="false">I45*Z45/L45</f>
        <v>2094.90410958904</v>
      </c>
      <c r="AC45" s="143"/>
      <c r="AD45" s="144"/>
      <c r="AE45" s="144"/>
    </row>
    <row r="46" customFormat="false" ht="15.75" hidden="false" customHeight="true" outlineLevel="0" collapsed="false">
      <c r="A46" s="138" t="n">
        <v>0</v>
      </c>
      <c r="B46" s="139" t="n">
        <v>45748</v>
      </c>
      <c r="C46" s="128" t="s">
        <v>213</v>
      </c>
      <c r="D46" s="128" t="s">
        <v>214</v>
      </c>
      <c r="E46" s="128" t="s">
        <v>118</v>
      </c>
      <c r="F46" s="154" t="n">
        <v>45772</v>
      </c>
      <c r="G46" s="140" t="n">
        <v>46136</v>
      </c>
      <c r="H46" s="145" t="s">
        <v>9</v>
      </c>
      <c r="I46" s="153" t="n">
        <v>25488</v>
      </c>
      <c r="J46" s="132" t="n">
        <v>2124</v>
      </c>
      <c r="K46" s="132" t="n">
        <f aca="false">I46/12</f>
        <v>2124</v>
      </c>
      <c r="L46" s="127" t="n">
        <f aca="false">G46-F46+1</f>
        <v>365</v>
      </c>
      <c r="M46" s="128" t="n">
        <f aca="false">$H$1-F46+1</f>
        <v>6</v>
      </c>
      <c r="N46" s="132" t="n">
        <f aca="false">I46/L46*M46</f>
        <v>418.980821917808</v>
      </c>
      <c r="O46" s="132" t="n">
        <f aca="false">IF(F46&lt;$O$1,31,$O$1-F46)</f>
        <v>31</v>
      </c>
      <c r="P46" s="131" t="n">
        <f aca="false">O46*I46/L46</f>
        <v>2164.73424657534</v>
      </c>
      <c r="Q46" s="146" t="n">
        <f aca="false">I46/12</f>
        <v>2124</v>
      </c>
      <c r="R46" s="128" t="n">
        <f aca="false">IF(F46&lt;$R$2,30,$R$2-F46)</f>
        <v>30</v>
      </c>
      <c r="S46" s="146" t="n">
        <f aca="false">R46*I46/L46</f>
        <v>2094.90410958904</v>
      </c>
      <c r="T46" s="146" t="n">
        <f aca="false">I46/12</f>
        <v>2124</v>
      </c>
      <c r="U46" s="132" t="n">
        <f aca="false">IF(F47&lt;$U$2,31,$U$2-F47)</f>
        <v>31</v>
      </c>
      <c r="V46" s="131" t="n">
        <f aca="false">I46*U46/L46</f>
        <v>2164.73424657534</v>
      </c>
      <c r="W46" s="141" t="n">
        <f aca="false">IF(F46&lt;$W$2,31,$W$2-F46)</f>
        <v>31</v>
      </c>
      <c r="X46" s="132" t="n">
        <f aca="false">I46/12</f>
        <v>2124</v>
      </c>
      <c r="Y46" s="131" t="n">
        <f aca="false">I46*W46/L46</f>
        <v>2164.73424657534</v>
      </c>
      <c r="Z46" s="141" t="n">
        <f aca="false">IF(F46&lt;$Z$2,30,$Z$2-I46)</f>
        <v>30</v>
      </c>
      <c r="AA46" s="147" t="n">
        <f aca="false">I46/12</f>
        <v>2124</v>
      </c>
      <c r="AB46" s="147" t="n">
        <f aca="false">I46*Z46/L46</f>
        <v>2094.90410958904</v>
      </c>
      <c r="AC46" s="143"/>
      <c r="AD46" s="144"/>
      <c r="AE46" s="144"/>
    </row>
    <row r="47" customFormat="false" ht="15.75" hidden="false" customHeight="true" outlineLevel="0" collapsed="false">
      <c r="A47" s="138" t="n">
        <v>0</v>
      </c>
      <c r="B47" s="139" t="n">
        <v>45748</v>
      </c>
      <c r="C47" s="128" t="s">
        <v>215</v>
      </c>
      <c r="D47" s="128" t="s">
        <v>216</v>
      </c>
      <c r="E47" s="128" t="s">
        <v>118</v>
      </c>
      <c r="F47" s="154" t="n">
        <v>45772</v>
      </c>
      <c r="G47" s="140" t="n">
        <v>46136</v>
      </c>
      <c r="H47" s="145" t="s">
        <v>9</v>
      </c>
      <c r="I47" s="153" t="n">
        <v>25488</v>
      </c>
      <c r="J47" s="132" t="n">
        <v>2124</v>
      </c>
      <c r="K47" s="132" t="n">
        <f aca="false">I47/12</f>
        <v>2124</v>
      </c>
      <c r="L47" s="127" t="n">
        <f aca="false">G47-F47+1</f>
        <v>365</v>
      </c>
      <c r="M47" s="128" t="n">
        <f aca="false">$H$1-F47+1</f>
        <v>6</v>
      </c>
      <c r="N47" s="132" t="n">
        <f aca="false">I47/L47*M47</f>
        <v>418.980821917808</v>
      </c>
      <c r="O47" s="132" t="n">
        <f aca="false">IF(F47&lt;$O$1,31,$O$1-F47)</f>
        <v>31</v>
      </c>
      <c r="P47" s="131" t="n">
        <f aca="false">O47*I47/L47</f>
        <v>2164.73424657534</v>
      </c>
      <c r="Q47" s="146" t="n">
        <f aca="false">I47/12</f>
        <v>2124</v>
      </c>
      <c r="R47" s="128" t="n">
        <f aca="false">IF(F47&lt;$R$2,30,$R$2-F47)</f>
        <v>30</v>
      </c>
      <c r="S47" s="146" t="n">
        <f aca="false">R47*I47/L47</f>
        <v>2094.90410958904</v>
      </c>
      <c r="T47" s="146" t="n">
        <f aca="false">I47/12</f>
        <v>2124</v>
      </c>
      <c r="U47" s="132" t="n">
        <f aca="false">IF(F48&lt;$U$2,31,$U$2-F48)</f>
        <v>31</v>
      </c>
      <c r="V47" s="131" t="n">
        <f aca="false">I47*U47/L47</f>
        <v>2164.73424657534</v>
      </c>
      <c r="W47" s="141" t="n">
        <f aca="false">IF(F47&lt;$W$2,31,$W$2-F47)</f>
        <v>31</v>
      </c>
      <c r="X47" s="132" t="n">
        <f aca="false">I47/12</f>
        <v>2124</v>
      </c>
      <c r="Y47" s="131" t="n">
        <f aca="false">I47*W47/L47</f>
        <v>2164.73424657534</v>
      </c>
      <c r="Z47" s="141" t="n">
        <f aca="false">IF(F47&lt;$Z$2,30,$Z$2-I47)</f>
        <v>30</v>
      </c>
      <c r="AA47" s="147" t="n">
        <f aca="false">I47/12</f>
        <v>2124</v>
      </c>
      <c r="AB47" s="147" t="n">
        <f aca="false">I47*Z47/L47</f>
        <v>2094.90410958904</v>
      </c>
      <c r="AC47" s="143"/>
      <c r="AD47" s="144"/>
      <c r="AE47" s="144"/>
    </row>
    <row r="48" customFormat="false" ht="15.75" hidden="false" customHeight="true" outlineLevel="0" collapsed="false">
      <c r="A48" s="138" t="n">
        <v>0</v>
      </c>
      <c r="B48" s="139" t="n">
        <v>45748</v>
      </c>
      <c r="C48" s="128" t="s">
        <v>217</v>
      </c>
      <c r="D48" s="128" t="s">
        <v>218</v>
      </c>
      <c r="E48" s="128" t="s">
        <v>118</v>
      </c>
      <c r="F48" s="154" t="n">
        <v>45772</v>
      </c>
      <c r="G48" s="140" t="n">
        <v>46136</v>
      </c>
      <c r="H48" s="145" t="s">
        <v>9</v>
      </c>
      <c r="I48" s="153" t="n">
        <v>25488</v>
      </c>
      <c r="J48" s="132" t="n">
        <v>2124</v>
      </c>
      <c r="K48" s="132" t="n">
        <f aca="false">I48/12</f>
        <v>2124</v>
      </c>
      <c r="L48" s="127" t="n">
        <f aca="false">G48-F48+1</f>
        <v>365</v>
      </c>
      <c r="M48" s="128" t="n">
        <f aca="false">$H$1-F48+1</f>
        <v>6</v>
      </c>
      <c r="N48" s="132" t="n">
        <f aca="false">I48/L48*M48</f>
        <v>418.980821917808</v>
      </c>
      <c r="O48" s="132" t="n">
        <f aca="false">IF(F48&lt;$O$1,31,$O$1-F48)</f>
        <v>31</v>
      </c>
      <c r="P48" s="131" t="n">
        <f aca="false">O48*I48/L48</f>
        <v>2164.73424657534</v>
      </c>
      <c r="Q48" s="146" t="n">
        <f aca="false">I48/12</f>
        <v>2124</v>
      </c>
      <c r="R48" s="128" t="n">
        <f aca="false">IF(F48&lt;$R$2,30,$R$2-F48)</f>
        <v>30</v>
      </c>
      <c r="S48" s="146" t="n">
        <f aca="false">R48*I48/L48</f>
        <v>2094.90410958904</v>
      </c>
      <c r="T48" s="146" t="n">
        <f aca="false">I48/12</f>
        <v>2124</v>
      </c>
      <c r="U48" s="132" t="n">
        <f aca="false">IF(F49&lt;$U$2,31,$U$2-F49)</f>
        <v>31</v>
      </c>
      <c r="V48" s="131" t="n">
        <f aca="false">I48*U48/L48</f>
        <v>2164.73424657534</v>
      </c>
      <c r="W48" s="141" t="n">
        <f aca="false">IF(F48&lt;$W$2,31,$W$2-F48)</f>
        <v>31</v>
      </c>
      <c r="X48" s="132" t="n">
        <f aca="false">I48/12</f>
        <v>2124</v>
      </c>
      <c r="Y48" s="131" t="n">
        <f aca="false">I48*W48/L48</f>
        <v>2164.73424657534</v>
      </c>
      <c r="Z48" s="141" t="n">
        <f aca="false">IF(F48&lt;$Z$2,30,$Z$2-I48)</f>
        <v>30</v>
      </c>
      <c r="AA48" s="147" t="n">
        <f aca="false">I48/12</f>
        <v>2124</v>
      </c>
      <c r="AB48" s="147" t="n">
        <f aca="false">I48*Z48/L48</f>
        <v>2094.90410958904</v>
      </c>
      <c r="AC48" s="143"/>
      <c r="AD48" s="144"/>
      <c r="AE48" s="144"/>
    </row>
    <row r="49" customFormat="false" ht="15.75" hidden="false" customHeight="true" outlineLevel="0" collapsed="false">
      <c r="A49" s="138" t="n">
        <v>0</v>
      </c>
      <c r="B49" s="139" t="n">
        <v>45748</v>
      </c>
      <c r="C49" s="128" t="s">
        <v>219</v>
      </c>
      <c r="D49" s="128" t="s">
        <v>220</v>
      </c>
      <c r="E49" s="128" t="s">
        <v>118</v>
      </c>
      <c r="F49" s="154" t="n">
        <v>45772</v>
      </c>
      <c r="G49" s="140" t="n">
        <v>46136</v>
      </c>
      <c r="H49" s="145" t="s">
        <v>9</v>
      </c>
      <c r="I49" s="153" t="n">
        <v>25488</v>
      </c>
      <c r="J49" s="132" t="n">
        <v>2124</v>
      </c>
      <c r="K49" s="132" t="n">
        <f aca="false">I49/12</f>
        <v>2124</v>
      </c>
      <c r="L49" s="127" t="n">
        <f aca="false">G49-F49+1</f>
        <v>365</v>
      </c>
      <c r="M49" s="128" t="n">
        <f aca="false">$H$1-F49+1</f>
        <v>6</v>
      </c>
      <c r="N49" s="132" t="n">
        <f aca="false">I49/L49*M49</f>
        <v>418.980821917808</v>
      </c>
      <c r="O49" s="132" t="n">
        <f aca="false">IF(F49&lt;$O$1,31,$O$1-F49)</f>
        <v>31</v>
      </c>
      <c r="P49" s="131" t="n">
        <f aca="false">O49*I49/L49</f>
        <v>2164.73424657534</v>
      </c>
      <c r="Q49" s="146" t="n">
        <f aca="false">I49/12</f>
        <v>2124</v>
      </c>
      <c r="R49" s="128" t="n">
        <f aca="false">IF(F49&lt;$R$2,30,$R$2-F49)</f>
        <v>30</v>
      </c>
      <c r="S49" s="146" t="n">
        <f aca="false">R49*I49/L49</f>
        <v>2094.90410958904</v>
      </c>
      <c r="T49" s="146" t="n">
        <f aca="false">I49/12</f>
        <v>2124</v>
      </c>
      <c r="U49" s="132" t="n">
        <f aca="false">IF(F50&lt;$U$2,31,$U$2-F50)</f>
        <v>31</v>
      </c>
      <c r="V49" s="131" t="n">
        <f aca="false">I49*U49/L49</f>
        <v>2164.73424657534</v>
      </c>
      <c r="W49" s="141" t="n">
        <f aca="false">IF(F49&lt;$W$2,31,$W$2-F49)</f>
        <v>31</v>
      </c>
      <c r="X49" s="132" t="n">
        <f aca="false">I49/12</f>
        <v>2124</v>
      </c>
      <c r="Y49" s="131" t="n">
        <f aca="false">I49*W49/L49</f>
        <v>2164.73424657534</v>
      </c>
      <c r="Z49" s="141" t="n">
        <f aca="false">IF(F49&lt;$Z$2,30,$Z$2-I49)</f>
        <v>30</v>
      </c>
      <c r="AA49" s="147" t="n">
        <f aca="false">I49/12</f>
        <v>2124</v>
      </c>
      <c r="AB49" s="147" t="n">
        <f aca="false">I49*Z49/L49</f>
        <v>2094.90410958904</v>
      </c>
      <c r="AC49" s="143"/>
      <c r="AD49" s="144"/>
      <c r="AE49" s="144"/>
    </row>
    <row r="50" customFormat="false" ht="15.75" hidden="false" customHeight="true" outlineLevel="0" collapsed="false">
      <c r="A50" s="138" t="n">
        <v>0</v>
      </c>
      <c r="B50" s="139" t="n">
        <v>45748</v>
      </c>
      <c r="C50" s="128" t="s">
        <v>221</v>
      </c>
      <c r="D50" s="128" t="s">
        <v>222</v>
      </c>
      <c r="E50" s="128" t="s">
        <v>118</v>
      </c>
      <c r="F50" s="154" t="n">
        <v>45772</v>
      </c>
      <c r="G50" s="140" t="n">
        <v>46136</v>
      </c>
      <c r="H50" s="145" t="s">
        <v>9</v>
      </c>
      <c r="I50" s="153" t="n">
        <v>25488</v>
      </c>
      <c r="J50" s="132" t="n">
        <v>2124</v>
      </c>
      <c r="K50" s="132" t="n">
        <f aca="false">I50/12</f>
        <v>2124</v>
      </c>
      <c r="L50" s="127" t="n">
        <f aca="false">G50-F50+1</f>
        <v>365</v>
      </c>
      <c r="M50" s="128" t="n">
        <f aca="false">$H$1-F50+1</f>
        <v>6</v>
      </c>
      <c r="N50" s="132" t="n">
        <f aca="false">I50/L50*M50</f>
        <v>418.980821917808</v>
      </c>
      <c r="O50" s="132" t="n">
        <f aca="false">IF(F50&lt;$O$1,31,$O$1-F50)</f>
        <v>31</v>
      </c>
      <c r="P50" s="131" t="n">
        <f aca="false">O50*I50/L50</f>
        <v>2164.73424657534</v>
      </c>
      <c r="Q50" s="146" t="n">
        <f aca="false">I50/12</f>
        <v>2124</v>
      </c>
      <c r="R50" s="128" t="n">
        <f aca="false">IF(F50&lt;$R$2,30,$R$2-F50)</f>
        <v>30</v>
      </c>
      <c r="S50" s="146" t="n">
        <f aca="false">R50*I50/L50</f>
        <v>2094.90410958904</v>
      </c>
      <c r="T50" s="146" t="n">
        <f aca="false">I50/12</f>
        <v>2124</v>
      </c>
      <c r="U50" s="132" t="n">
        <f aca="false">IF(F51&lt;$U$2,31,$U$2-F51)</f>
        <v>31</v>
      </c>
      <c r="V50" s="131" t="n">
        <f aca="false">I50*U50/L50</f>
        <v>2164.73424657534</v>
      </c>
      <c r="W50" s="141" t="n">
        <f aca="false">IF(F50&lt;$W$2,31,$W$2-F50)</f>
        <v>31</v>
      </c>
      <c r="X50" s="132" t="n">
        <f aca="false">I50/12</f>
        <v>2124</v>
      </c>
      <c r="Y50" s="131" t="n">
        <f aca="false">I50*W50/L50</f>
        <v>2164.73424657534</v>
      </c>
      <c r="Z50" s="141" t="n">
        <f aca="false">IF(F50&lt;$Z$2,30,$Z$2-I50)</f>
        <v>30</v>
      </c>
      <c r="AA50" s="147" t="n">
        <f aca="false">I50/12</f>
        <v>2124</v>
      </c>
      <c r="AB50" s="147" t="n">
        <f aca="false">I50*Z50/L50</f>
        <v>2094.90410958904</v>
      </c>
      <c r="AC50" s="143"/>
      <c r="AD50" s="144"/>
      <c r="AE50" s="144"/>
    </row>
    <row r="51" customFormat="false" ht="15.75" hidden="false" customHeight="true" outlineLevel="0" collapsed="false">
      <c r="A51" s="138" t="n">
        <v>0</v>
      </c>
      <c r="B51" s="139" t="n">
        <v>45748</v>
      </c>
      <c r="C51" s="128" t="s">
        <v>223</v>
      </c>
      <c r="D51" s="128" t="s">
        <v>224</v>
      </c>
      <c r="E51" s="128" t="s">
        <v>118</v>
      </c>
      <c r="F51" s="154" t="n">
        <v>45772</v>
      </c>
      <c r="G51" s="140" t="n">
        <v>46136</v>
      </c>
      <c r="H51" s="145" t="s">
        <v>9</v>
      </c>
      <c r="I51" s="153" t="n">
        <v>25488</v>
      </c>
      <c r="J51" s="132" t="n">
        <v>2124</v>
      </c>
      <c r="K51" s="132" t="n">
        <f aca="false">I51/12</f>
        <v>2124</v>
      </c>
      <c r="L51" s="127" t="n">
        <f aca="false">G51-F51+1</f>
        <v>365</v>
      </c>
      <c r="M51" s="128" t="n">
        <f aca="false">$H$1-F51+1</f>
        <v>6</v>
      </c>
      <c r="N51" s="132" t="n">
        <f aca="false">I51/L51*M51</f>
        <v>418.980821917808</v>
      </c>
      <c r="O51" s="132" t="n">
        <f aca="false">IF(F51&lt;$O$1,31,$O$1-F51)</f>
        <v>31</v>
      </c>
      <c r="P51" s="131" t="n">
        <f aca="false">O51*I51/L51</f>
        <v>2164.73424657534</v>
      </c>
      <c r="Q51" s="146" t="n">
        <f aca="false">I51/12</f>
        <v>2124</v>
      </c>
      <c r="R51" s="128" t="n">
        <f aca="false">IF(F51&lt;$R$2,30,$R$2-F51)</f>
        <v>30</v>
      </c>
      <c r="S51" s="146" t="n">
        <f aca="false">R51*I51/L51</f>
        <v>2094.90410958904</v>
      </c>
      <c r="T51" s="146" t="n">
        <f aca="false">I51/12</f>
        <v>2124</v>
      </c>
      <c r="U51" s="132" t="n">
        <f aca="false">IF(F52&lt;$U$2,31,$U$2-F52)</f>
        <v>31</v>
      </c>
      <c r="V51" s="131" t="n">
        <f aca="false">I51*U51/L51</f>
        <v>2164.73424657534</v>
      </c>
      <c r="W51" s="141" t="n">
        <f aca="false">IF(F51&lt;$W$2,31,$W$2-F51)</f>
        <v>31</v>
      </c>
      <c r="X51" s="132" t="n">
        <f aca="false">I51/12</f>
        <v>2124</v>
      </c>
      <c r="Y51" s="131" t="n">
        <f aca="false">I51*W51/L51</f>
        <v>2164.73424657534</v>
      </c>
      <c r="Z51" s="141" t="n">
        <f aca="false">IF(F51&lt;$Z$2,30,$Z$2-I51)</f>
        <v>30</v>
      </c>
      <c r="AA51" s="147" t="n">
        <f aca="false">I51/12</f>
        <v>2124</v>
      </c>
      <c r="AB51" s="147" t="n">
        <f aca="false">I51*Z51/L51</f>
        <v>2094.90410958904</v>
      </c>
      <c r="AC51" s="143"/>
      <c r="AD51" s="144"/>
      <c r="AE51" s="144"/>
    </row>
    <row r="52" customFormat="false" ht="15.75" hidden="false" customHeight="true" outlineLevel="0" collapsed="false">
      <c r="A52" s="138" t="n">
        <v>0</v>
      </c>
      <c r="B52" s="139" t="n">
        <v>45748</v>
      </c>
      <c r="C52" s="128" t="s">
        <v>225</v>
      </c>
      <c r="D52" s="128" t="s">
        <v>226</v>
      </c>
      <c r="E52" s="128" t="s">
        <v>118</v>
      </c>
      <c r="F52" s="154" t="n">
        <v>45772</v>
      </c>
      <c r="G52" s="140" t="n">
        <v>46136</v>
      </c>
      <c r="H52" s="145" t="s">
        <v>9</v>
      </c>
      <c r="I52" s="153" t="n">
        <v>25488</v>
      </c>
      <c r="J52" s="132" t="n">
        <v>2124</v>
      </c>
      <c r="K52" s="132" t="n">
        <f aca="false">I52/12</f>
        <v>2124</v>
      </c>
      <c r="L52" s="127" t="n">
        <f aca="false">G52-F52+1</f>
        <v>365</v>
      </c>
      <c r="M52" s="128" t="n">
        <f aca="false">$H$1-F52+1</f>
        <v>6</v>
      </c>
      <c r="N52" s="132" t="n">
        <f aca="false">I52/L52*M52</f>
        <v>418.980821917808</v>
      </c>
      <c r="O52" s="132" t="n">
        <f aca="false">IF(F52&lt;$O$1,31,$O$1-F52)</f>
        <v>31</v>
      </c>
      <c r="P52" s="131" t="n">
        <f aca="false">O52*I52/L52</f>
        <v>2164.73424657534</v>
      </c>
      <c r="Q52" s="146" t="n">
        <f aca="false">I52/12</f>
        <v>2124</v>
      </c>
      <c r="R52" s="128" t="n">
        <f aca="false">IF(F52&lt;$R$2,30,$R$2-F52)</f>
        <v>30</v>
      </c>
      <c r="S52" s="146" t="n">
        <f aca="false">R52*I52/L52</f>
        <v>2094.90410958904</v>
      </c>
      <c r="T52" s="146" t="n">
        <f aca="false">I52/12</f>
        <v>2124</v>
      </c>
      <c r="U52" s="132" t="n">
        <f aca="false">IF(F53&lt;$U$2,31,$U$2-F53)</f>
        <v>31</v>
      </c>
      <c r="V52" s="131" t="n">
        <f aca="false">I52*U52/L52</f>
        <v>2164.73424657534</v>
      </c>
      <c r="W52" s="141" t="n">
        <f aca="false">IF(F52&lt;$W$2,31,$W$2-F52)</f>
        <v>31</v>
      </c>
      <c r="X52" s="132" t="n">
        <f aca="false">I52/12</f>
        <v>2124</v>
      </c>
      <c r="Y52" s="131" t="n">
        <f aca="false">I52*W52/L52</f>
        <v>2164.73424657534</v>
      </c>
      <c r="Z52" s="141" t="n">
        <f aca="false">IF(F52&lt;$Z$2,30,$Z$2-I52)</f>
        <v>30</v>
      </c>
      <c r="AA52" s="147" t="n">
        <f aca="false">I52/12</f>
        <v>2124</v>
      </c>
      <c r="AB52" s="147" t="n">
        <f aca="false">I52*Z52/L52</f>
        <v>2094.90410958904</v>
      </c>
      <c r="AC52" s="143"/>
      <c r="AD52" s="144"/>
      <c r="AE52" s="144"/>
    </row>
    <row r="53" customFormat="false" ht="15.75" hidden="false" customHeight="true" outlineLevel="0" collapsed="false">
      <c r="A53" s="138" t="n">
        <v>0</v>
      </c>
      <c r="B53" s="139" t="n">
        <v>45748</v>
      </c>
      <c r="C53" s="128" t="s">
        <v>227</v>
      </c>
      <c r="D53" s="128" t="s">
        <v>228</v>
      </c>
      <c r="E53" s="128" t="s">
        <v>118</v>
      </c>
      <c r="F53" s="154" t="n">
        <v>45772</v>
      </c>
      <c r="G53" s="140" t="n">
        <v>46136</v>
      </c>
      <c r="H53" s="145" t="s">
        <v>9</v>
      </c>
      <c r="I53" s="153" t="n">
        <v>25488</v>
      </c>
      <c r="J53" s="132" t="n">
        <v>2124</v>
      </c>
      <c r="K53" s="132" t="n">
        <f aca="false">I53/12</f>
        <v>2124</v>
      </c>
      <c r="L53" s="127" t="n">
        <f aca="false">G53-F53+1</f>
        <v>365</v>
      </c>
      <c r="M53" s="128" t="n">
        <f aca="false">$H$1-F53+1</f>
        <v>6</v>
      </c>
      <c r="N53" s="132" t="n">
        <f aca="false">I53/L53*M53</f>
        <v>418.980821917808</v>
      </c>
      <c r="O53" s="132" t="n">
        <f aca="false">IF(F53&lt;$O$1,31,$O$1-F53)</f>
        <v>31</v>
      </c>
      <c r="P53" s="131" t="n">
        <f aca="false">O53*I53/L53</f>
        <v>2164.73424657534</v>
      </c>
      <c r="Q53" s="146" t="n">
        <f aca="false">I53/12</f>
        <v>2124</v>
      </c>
      <c r="R53" s="128" t="n">
        <f aca="false">IF(F53&lt;$R$2,30,$R$2-F53)</f>
        <v>30</v>
      </c>
      <c r="S53" s="146" t="n">
        <f aca="false">R53*I53/L53</f>
        <v>2094.90410958904</v>
      </c>
      <c r="T53" s="146" t="n">
        <f aca="false">I53/12</f>
        <v>2124</v>
      </c>
      <c r="U53" s="132" t="n">
        <f aca="false">IF(F54&lt;$U$2,31,$U$2-F54)</f>
        <v>31</v>
      </c>
      <c r="V53" s="131" t="n">
        <f aca="false">I53*U53/L53</f>
        <v>2164.73424657534</v>
      </c>
      <c r="W53" s="141" t="n">
        <f aca="false">IF(F53&lt;$W$2,31,$W$2-F53)</f>
        <v>31</v>
      </c>
      <c r="X53" s="132" t="n">
        <f aca="false">I53/12</f>
        <v>2124</v>
      </c>
      <c r="Y53" s="131" t="n">
        <f aca="false">I53*W53/L53</f>
        <v>2164.73424657534</v>
      </c>
      <c r="Z53" s="141" t="n">
        <f aca="false">IF(F53&lt;$Z$2,30,$Z$2-I53)</f>
        <v>30</v>
      </c>
      <c r="AA53" s="147" t="n">
        <f aca="false">I53/12</f>
        <v>2124</v>
      </c>
      <c r="AB53" s="147" t="n">
        <f aca="false">I53*Z53/L53</f>
        <v>2094.90410958904</v>
      </c>
      <c r="AC53" s="143"/>
      <c r="AD53" s="144"/>
      <c r="AE53" s="144"/>
    </row>
    <row r="54" customFormat="false" ht="15.75" hidden="false" customHeight="true" outlineLevel="0" collapsed="false">
      <c r="A54" s="138" t="n">
        <v>0</v>
      </c>
      <c r="B54" s="139" t="s">
        <v>229</v>
      </c>
      <c r="C54" s="128" t="s">
        <v>230</v>
      </c>
      <c r="D54" s="128" t="s">
        <v>231</v>
      </c>
      <c r="E54" s="128" t="s">
        <v>118</v>
      </c>
      <c r="F54" s="154" t="n">
        <v>45772</v>
      </c>
      <c r="G54" s="140" t="n">
        <v>46136</v>
      </c>
      <c r="H54" s="145" t="s">
        <v>9</v>
      </c>
      <c r="I54" s="153" t="n">
        <f aca="false">25488-25488</f>
        <v>0</v>
      </c>
      <c r="J54" s="132" t="n">
        <v>0</v>
      </c>
      <c r="K54" s="132" t="n">
        <f aca="false">I54/12</f>
        <v>0</v>
      </c>
      <c r="L54" s="127" t="n">
        <f aca="false">G54-F54+1</f>
        <v>365</v>
      </c>
      <c r="M54" s="128" t="n">
        <f aca="false">$H$1-F54+1</f>
        <v>6</v>
      </c>
      <c r="N54" s="132" t="n">
        <f aca="false">I54/L54*M54</f>
        <v>0</v>
      </c>
      <c r="O54" s="132" t="n">
        <f aca="false">IF(F54&lt;$O$1,31,$O$1-F54)</f>
        <v>31</v>
      </c>
      <c r="P54" s="131" t="n">
        <f aca="false">O54*I54/L54</f>
        <v>0</v>
      </c>
      <c r="Q54" s="146" t="n">
        <f aca="false">I54/12</f>
        <v>0</v>
      </c>
      <c r="R54" s="128" t="n">
        <f aca="false">IF(F54&lt;$R$2,30,$R$2-F54)</f>
        <v>30</v>
      </c>
      <c r="S54" s="146" t="n">
        <f aca="false">R54*I54/L54</f>
        <v>0</v>
      </c>
      <c r="T54" s="146" t="n">
        <f aca="false">I54/12</f>
        <v>0</v>
      </c>
      <c r="U54" s="132" t="n">
        <f aca="false">IF(F55&lt;$U$2,31,$U$2-F55)</f>
        <v>31</v>
      </c>
      <c r="V54" s="131" t="n">
        <f aca="false">I54*U54/L54</f>
        <v>0</v>
      </c>
      <c r="W54" s="141" t="n">
        <f aca="false">IF(F54&lt;$W$2,31,$W$2-F54)</f>
        <v>31</v>
      </c>
      <c r="X54" s="132" t="n">
        <f aca="false">I54/12</f>
        <v>0</v>
      </c>
      <c r="Y54" s="131" t="n">
        <f aca="false">I54*W54/L54</f>
        <v>0</v>
      </c>
      <c r="Z54" s="141" t="n">
        <f aca="false">IF(F54&lt;$Z$2,30,$Z$2-I54)</f>
        <v>30</v>
      </c>
      <c r="AA54" s="147" t="n">
        <f aca="false">I54/12</f>
        <v>0</v>
      </c>
      <c r="AB54" s="147" t="n">
        <f aca="false">Z54*I54/L54</f>
        <v>0</v>
      </c>
      <c r="AC54" s="143"/>
      <c r="AD54" s="144"/>
      <c r="AE54" s="144"/>
    </row>
    <row r="55" s="137" customFormat="true" ht="15.75" hidden="false" customHeight="true" outlineLevel="0" collapsed="false">
      <c r="A55" s="125" t="n">
        <v>0</v>
      </c>
      <c r="B55" s="126" t="n">
        <v>45748</v>
      </c>
      <c r="C55" s="127" t="s">
        <v>232</v>
      </c>
      <c r="D55" s="127" t="s">
        <v>233</v>
      </c>
      <c r="E55" s="128" t="s">
        <v>118</v>
      </c>
      <c r="F55" s="148" t="n">
        <v>45775</v>
      </c>
      <c r="G55" s="129" t="n">
        <v>45865</v>
      </c>
      <c r="H55" s="130" t="s">
        <v>24</v>
      </c>
      <c r="I55" s="131" t="n">
        <v>88500</v>
      </c>
      <c r="J55" s="132" t="n">
        <v>29500</v>
      </c>
      <c r="K55" s="132" t="n">
        <f aca="false">I55/3</f>
        <v>29500</v>
      </c>
      <c r="L55" s="127" t="n">
        <f aca="false">G55-F55+1</f>
        <v>91</v>
      </c>
      <c r="M55" s="127" t="n">
        <f aca="false">$H$1-F55+1</f>
        <v>3</v>
      </c>
      <c r="N55" s="132" t="n">
        <f aca="false">I55/L55*M55</f>
        <v>2917.58241758242</v>
      </c>
      <c r="O55" s="132" t="n">
        <f aca="false">IF(F55&lt;$O$1,31,$O$1-F55)</f>
        <v>31</v>
      </c>
      <c r="P55" s="131" t="n">
        <f aca="false">O55*I55/L55</f>
        <v>30148.3516483516</v>
      </c>
      <c r="Q55" s="133" t="n">
        <f aca="false">I55/3</f>
        <v>29500</v>
      </c>
      <c r="R55" s="127" t="n">
        <f aca="false">IF(F55&lt;$R$2,30,$R$2-F55)</f>
        <v>30</v>
      </c>
      <c r="S55" s="133" t="n">
        <f aca="false">R55*I55/L55</f>
        <v>29175.8241758242</v>
      </c>
      <c r="T55" s="127"/>
      <c r="U55" s="132" t="n">
        <f aca="false">G55-$R$2</f>
        <v>27</v>
      </c>
      <c r="V55" s="132" t="n">
        <f aca="false">U55*I55/L55</f>
        <v>26258.2417582418</v>
      </c>
      <c r="W55" s="135" t="n">
        <v>0</v>
      </c>
      <c r="X55" s="132" t="n">
        <v>0</v>
      </c>
      <c r="Y55" s="127" t="n">
        <v>0</v>
      </c>
      <c r="Z55" s="127"/>
      <c r="AA55" s="127"/>
      <c r="AB55" s="127"/>
      <c r="AC55" s="136"/>
      <c r="AD55" s="136"/>
      <c r="AE55" s="136"/>
    </row>
    <row r="56" s="137" customFormat="true" ht="15.75" hidden="false" customHeight="true" outlineLevel="0" collapsed="false">
      <c r="A56" s="125" t="n">
        <v>0</v>
      </c>
      <c r="B56" s="126" t="n">
        <v>45748</v>
      </c>
      <c r="C56" s="155" t="s">
        <v>234</v>
      </c>
      <c r="D56" s="127" t="s">
        <v>235</v>
      </c>
      <c r="E56" s="128" t="s">
        <v>118</v>
      </c>
      <c r="F56" s="148" t="n">
        <v>45772</v>
      </c>
      <c r="G56" s="129" t="n">
        <v>45832</v>
      </c>
      <c r="H56" s="142" t="s">
        <v>21</v>
      </c>
      <c r="I56" s="131" t="n">
        <v>47200</v>
      </c>
      <c r="J56" s="131" t="n">
        <f aca="false">I56/2</f>
        <v>23600</v>
      </c>
      <c r="K56" s="131" t="n">
        <f aca="false">I56/2</f>
        <v>23600</v>
      </c>
      <c r="L56" s="127" t="n">
        <f aca="false">G56-F56+1</f>
        <v>61</v>
      </c>
      <c r="M56" s="127" t="n">
        <f aca="false">$H$1-F56+1</f>
        <v>6</v>
      </c>
      <c r="N56" s="131" t="n">
        <f aca="false">I56/L56*M56</f>
        <v>4642.62295081967</v>
      </c>
      <c r="O56" s="132" t="n">
        <f aca="false">IF(F56&lt;$O$1,31,$O$1-F56)</f>
        <v>31</v>
      </c>
      <c r="P56" s="131" t="n">
        <f aca="false">O56*I56/L56</f>
        <v>23986.8852459016</v>
      </c>
      <c r="Q56" s="134"/>
      <c r="R56" s="127" t="n">
        <v>24</v>
      </c>
      <c r="S56" s="133" t="n">
        <f aca="false">R56*I56/L56</f>
        <v>18570.4918032787</v>
      </c>
      <c r="T56" s="133"/>
      <c r="U56" s="132"/>
      <c r="V56" s="131"/>
      <c r="W56" s="135"/>
      <c r="X56" s="132"/>
      <c r="Y56" s="131"/>
      <c r="Z56" s="127"/>
      <c r="AA56" s="127"/>
      <c r="AB56" s="127"/>
      <c r="AC56" s="136"/>
      <c r="AD56" s="136"/>
      <c r="AE56" s="136"/>
    </row>
    <row r="57" s="137" customFormat="true" ht="15.75" hidden="false" customHeight="true" outlineLevel="0" collapsed="false">
      <c r="A57" s="125" t="s">
        <v>119</v>
      </c>
      <c r="B57" s="126" t="n">
        <v>45748</v>
      </c>
      <c r="C57" s="127" t="s">
        <v>236</v>
      </c>
      <c r="D57" s="127" t="s">
        <v>237</v>
      </c>
      <c r="E57" s="128" t="s">
        <v>118</v>
      </c>
      <c r="F57" s="129" t="n">
        <v>45773</v>
      </c>
      <c r="G57" s="129" t="n">
        <v>45803</v>
      </c>
      <c r="H57" s="142" t="s">
        <v>19</v>
      </c>
      <c r="I57" s="131" t="n">
        <v>11800</v>
      </c>
      <c r="J57" s="132" t="n">
        <v>11800</v>
      </c>
      <c r="K57" s="132"/>
      <c r="L57" s="127" t="n">
        <f aca="false">G57-F57+1</f>
        <v>31</v>
      </c>
      <c r="M57" s="127" t="n">
        <f aca="false">$H$1-F57+1</f>
        <v>5</v>
      </c>
      <c r="N57" s="132" t="n">
        <f aca="false">I57/L57*M57</f>
        <v>1903.22580645161</v>
      </c>
      <c r="O57" s="132" t="n">
        <f aca="false">L57-M57</f>
        <v>26</v>
      </c>
      <c r="P57" s="131" t="n">
        <f aca="false">O57*I57/L57</f>
        <v>9896.77419354839</v>
      </c>
      <c r="Q57" s="127"/>
      <c r="R57" s="127" t="n">
        <f aca="false">IF(F57&lt;$R$2,30,$R$2-F57)</f>
        <v>30</v>
      </c>
      <c r="S57" s="127"/>
      <c r="T57" s="127"/>
      <c r="U57" s="132" t="n">
        <f aca="false">IF(F58&lt;$U$2,31,$U$2-F58)</f>
        <v>31</v>
      </c>
      <c r="V57" s="127"/>
      <c r="W57" s="135" t="n">
        <v>0</v>
      </c>
      <c r="X57" s="132" t="n">
        <v>0</v>
      </c>
      <c r="Y57" s="127" t="n">
        <v>0</v>
      </c>
      <c r="Z57" s="127"/>
      <c r="AA57" s="127"/>
      <c r="AB57" s="127"/>
      <c r="AC57" s="136"/>
      <c r="AD57" s="136"/>
      <c r="AE57" s="136"/>
    </row>
    <row r="58" customFormat="false" ht="15.75" hidden="false" customHeight="true" outlineLevel="0" collapsed="false">
      <c r="A58" s="138"/>
      <c r="B58" s="139" t="s">
        <v>183</v>
      </c>
      <c r="C58" s="128" t="s">
        <v>238</v>
      </c>
      <c r="D58" s="128" t="s">
        <v>239</v>
      </c>
      <c r="E58" s="128" t="s">
        <v>118</v>
      </c>
      <c r="F58" s="154" t="n">
        <v>45773</v>
      </c>
      <c r="G58" s="140" t="n">
        <v>46137</v>
      </c>
      <c r="H58" s="145" t="s">
        <v>10</v>
      </c>
      <c r="I58" s="131" t="n">
        <f aca="false">14160*12</f>
        <v>169920</v>
      </c>
      <c r="J58" s="132" t="n">
        <v>14160</v>
      </c>
      <c r="K58" s="132" t="n">
        <f aca="false">J58</f>
        <v>14160</v>
      </c>
      <c r="L58" s="127" t="n">
        <f aca="false">G58-F58+1</f>
        <v>365</v>
      </c>
      <c r="M58" s="128" t="n">
        <f aca="false">$H$1-F58+1</f>
        <v>5</v>
      </c>
      <c r="N58" s="132" t="n">
        <f aca="false">I58/L58*M58</f>
        <v>2327.67123287671</v>
      </c>
      <c r="O58" s="132" t="n">
        <f aca="false">L58-M58</f>
        <v>360</v>
      </c>
      <c r="P58" s="131" t="n">
        <f aca="false">O58*I58/L58</f>
        <v>167592.328767123</v>
      </c>
      <c r="Q58" s="146" t="n">
        <f aca="false">I58/12</f>
        <v>14160</v>
      </c>
      <c r="R58" s="128" t="n">
        <f aca="false">IF(F58&lt;$R$2,30,$R$2-F58)</f>
        <v>30</v>
      </c>
      <c r="S58" s="146" t="n">
        <f aca="false">R58*I58/L58</f>
        <v>13966.0273972603</v>
      </c>
      <c r="T58" s="146" t="n">
        <f aca="false">I58/12</f>
        <v>14160</v>
      </c>
      <c r="U58" s="132" t="n">
        <f aca="false">IF(F59&lt;$U$2,31,$U$2-F59)</f>
        <v>31</v>
      </c>
      <c r="V58" s="131" t="n">
        <f aca="false">I58*U58/L58</f>
        <v>14431.5616438356</v>
      </c>
      <c r="W58" s="141" t="n">
        <f aca="false">IF(F58&lt;$W$2,31,$W$2-F58)</f>
        <v>31</v>
      </c>
      <c r="X58" s="132" t="n">
        <f aca="false">I58/12</f>
        <v>14160</v>
      </c>
      <c r="Y58" s="131" t="n">
        <f aca="false">I58*W58/L58</f>
        <v>14431.5616438356</v>
      </c>
      <c r="Z58" s="141" t="n">
        <f aca="false">IF(F58&lt;$Z$2,30,$Z$2-I58)</f>
        <v>30</v>
      </c>
      <c r="AA58" s="147" t="n">
        <f aca="false">I58/12</f>
        <v>14160</v>
      </c>
      <c r="AB58" s="147" t="n">
        <f aca="false">I58*Z58/L58</f>
        <v>13966.0273972603</v>
      </c>
      <c r="AC58" s="143"/>
      <c r="AD58" s="144"/>
      <c r="AE58" s="144"/>
    </row>
    <row r="59" customFormat="false" ht="15.75" hidden="false" customHeight="true" outlineLevel="0" collapsed="false">
      <c r="A59" s="138" t="n">
        <v>0</v>
      </c>
      <c r="B59" s="139" t="s">
        <v>240</v>
      </c>
      <c r="C59" s="128" t="s">
        <v>241</v>
      </c>
      <c r="D59" s="128" t="s">
        <v>242</v>
      </c>
      <c r="E59" s="128" t="s">
        <v>118</v>
      </c>
      <c r="F59" s="154" t="n">
        <v>45687</v>
      </c>
      <c r="G59" s="140" t="n">
        <v>46052</v>
      </c>
      <c r="H59" s="145" t="s">
        <v>40</v>
      </c>
      <c r="I59" s="131" t="n">
        <v>159000</v>
      </c>
      <c r="J59" s="132" t="n">
        <v>13250</v>
      </c>
      <c r="K59" s="132" t="n">
        <f aca="false">53000/4</f>
        <v>13250</v>
      </c>
      <c r="L59" s="127" t="n">
        <f aca="false">G59-F59+1</f>
        <v>366</v>
      </c>
      <c r="M59" s="128" t="n">
        <f aca="false">IF(F59&lt;H44,30,H44-F59)</f>
        <v>30</v>
      </c>
      <c r="N59" s="132" t="n">
        <f aca="false">I59/L59*M59</f>
        <v>13032.7868852459</v>
      </c>
      <c r="O59" s="132" t="n">
        <f aca="false">IF(F59&lt;$O$1,31,$O$1-F59)</f>
        <v>31</v>
      </c>
      <c r="P59" s="131" t="n">
        <f aca="false">O59*I59/L59</f>
        <v>13467.2131147541</v>
      </c>
      <c r="Q59" s="146" t="n">
        <f aca="false">I59/12</f>
        <v>13250</v>
      </c>
      <c r="R59" s="128" t="n">
        <f aca="false">IF(F59&lt;$R$2,30,$R$2-F59)</f>
        <v>30</v>
      </c>
      <c r="S59" s="146" t="n">
        <f aca="false">R59*I59/L59</f>
        <v>13032.7868852459</v>
      </c>
      <c r="T59" s="146" t="n">
        <f aca="false">I59/12</f>
        <v>13250</v>
      </c>
      <c r="U59" s="132" t="n">
        <f aca="false">IF(F60&lt;$U$2,31,$U$2-F60)</f>
        <v>31</v>
      </c>
      <c r="V59" s="131" t="n">
        <f aca="false">I59*U59/L59</f>
        <v>13467.2131147541</v>
      </c>
      <c r="W59" s="141" t="n">
        <f aca="false">IF(F59&lt;$W$2,31,$W$2-F59)</f>
        <v>31</v>
      </c>
      <c r="X59" s="132" t="n">
        <f aca="false">I59/12</f>
        <v>13250</v>
      </c>
      <c r="Y59" s="131" t="n">
        <f aca="false">I59*W59/L59</f>
        <v>13467.2131147541</v>
      </c>
      <c r="Z59" s="141" t="n">
        <f aca="false">IF(F59&lt;$Z$2,30,$Z$2-I59)</f>
        <v>30</v>
      </c>
      <c r="AA59" s="147" t="n">
        <f aca="false">I59/12</f>
        <v>13250</v>
      </c>
      <c r="AB59" s="147" t="n">
        <f aca="false">Z59*I59/L59</f>
        <v>13032.7868852459</v>
      </c>
      <c r="AC59" s="143"/>
      <c r="AD59" s="144"/>
      <c r="AE59" s="144"/>
    </row>
    <row r="60" customFormat="false" ht="15.75" hidden="false" customHeight="true" outlineLevel="0" collapsed="false">
      <c r="A60" s="138" t="n">
        <v>0</v>
      </c>
      <c r="B60" s="139" t="n">
        <v>45748</v>
      </c>
      <c r="C60" s="128" t="s">
        <v>243</v>
      </c>
      <c r="D60" s="128" t="s">
        <v>244</v>
      </c>
      <c r="E60" s="128" t="s">
        <v>118</v>
      </c>
      <c r="F60" s="154" t="n">
        <v>45744</v>
      </c>
      <c r="G60" s="140" t="n">
        <v>46109</v>
      </c>
      <c r="H60" s="145" t="s">
        <v>9</v>
      </c>
      <c r="I60" s="153" t="n">
        <v>203904</v>
      </c>
      <c r="J60" s="132" t="n">
        <v>16992</v>
      </c>
      <c r="K60" s="132" t="n">
        <f aca="false">I60/12</f>
        <v>16992</v>
      </c>
      <c r="L60" s="127" t="n">
        <f aca="false">G60-F60+1</f>
        <v>366</v>
      </c>
      <c r="M60" s="128" t="n">
        <f aca="false">IF(F60&lt;H45,30,H45-F60)</f>
        <v>30</v>
      </c>
      <c r="N60" s="132" t="n">
        <f aca="false">I60/L60*M60</f>
        <v>16713.4426229508</v>
      </c>
      <c r="O60" s="132" t="n">
        <f aca="false">IF(F60&lt;$O$1,31,$O$1-F60)</f>
        <v>31</v>
      </c>
      <c r="P60" s="131" t="n">
        <f aca="false">O60*I60/L60</f>
        <v>17270.5573770492</v>
      </c>
      <c r="Q60" s="146" t="n">
        <f aca="false">I60/12</f>
        <v>16992</v>
      </c>
      <c r="R60" s="128" t="n">
        <f aca="false">IF(F60&lt;$R$2,30,$R$2-F60)</f>
        <v>30</v>
      </c>
      <c r="S60" s="146" t="n">
        <f aca="false">R60*I60/L60</f>
        <v>16713.4426229508</v>
      </c>
      <c r="T60" s="146" t="n">
        <f aca="false">I60/12</f>
        <v>16992</v>
      </c>
      <c r="U60" s="132" t="n">
        <f aca="false">IF(F61&lt;$U$2,31,$U$2-F61)</f>
        <v>31</v>
      </c>
      <c r="V60" s="131" t="n">
        <f aca="false">I60*U60/L60</f>
        <v>17270.5573770492</v>
      </c>
      <c r="W60" s="141" t="n">
        <f aca="false">IF(F60&lt;$W$2,31,$W$2-F60)</f>
        <v>31</v>
      </c>
      <c r="X60" s="132" t="n">
        <f aca="false">I60/12</f>
        <v>16992</v>
      </c>
      <c r="Y60" s="131" t="n">
        <f aca="false">I60*W60/L60</f>
        <v>17270.5573770492</v>
      </c>
      <c r="Z60" s="141" t="n">
        <f aca="false">IF(F60&lt;$Z$2,30,$Z$2-I60)</f>
        <v>30</v>
      </c>
      <c r="AA60" s="147" t="n">
        <f aca="false">I60/12</f>
        <v>16992</v>
      </c>
      <c r="AB60" s="147" t="n">
        <f aca="false">I60*Z60/L60</f>
        <v>16713.4426229508</v>
      </c>
      <c r="AC60" s="143"/>
      <c r="AD60" s="144"/>
      <c r="AE60" s="144"/>
    </row>
    <row r="61" customFormat="false" ht="15.75" hidden="false" customHeight="true" outlineLevel="0" collapsed="false">
      <c r="A61" s="138" t="n">
        <v>0</v>
      </c>
      <c r="B61" s="139" t="n">
        <v>45748</v>
      </c>
      <c r="C61" s="128" t="s">
        <v>245</v>
      </c>
      <c r="D61" s="128" t="s">
        <v>246</v>
      </c>
      <c r="E61" s="128" t="s">
        <v>118</v>
      </c>
      <c r="F61" s="154" t="n">
        <v>45744</v>
      </c>
      <c r="G61" s="140" t="n">
        <v>46109</v>
      </c>
      <c r="H61" s="145" t="s">
        <v>9</v>
      </c>
      <c r="I61" s="131" t="n">
        <v>318600</v>
      </c>
      <c r="J61" s="132" t="n">
        <v>26550</v>
      </c>
      <c r="K61" s="132" t="n">
        <f aca="false">I61/12</f>
        <v>26550</v>
      </c>
      <c r="L61" s="127" t="n">
        <f aca="false">G61-F61+1</f>
        <v>366</v>
      </c>
      <c r="M61" s="128" t="n">
        <f aca="false">IF(F61&lt;H46,30,H46-F61)</f>
        <v>30</v>
      </c>
      <c r="N61" s="132" t="n">
        <f aca="false">I61/L61*M61</f>
        <v>26114.7540983607</v>
      </c>
      <c r="O61" s="132" t="n">
        <f aca="false">IF(F61&lt;$O$1,31,$O$1-F61)</f>
        <v>31</v>
      </c>
      <c r="P61" s="131" t="n">
        <f aca="false">O61*I61/L61</f>
        <v>26985.2459016393</v>
      </c>
      <c r="Q61" s="146" t="n">
        <f aca="false">I61/12</f>
        <v>26550</v>
      </c>
      <c r="R61" s="128" t="n">
        <f aca="false">IF(F61&lt;$R$2,30,$R$2-F61)</f>
        <v>30</v>
      </c>
      <c r="S61" s="146" t="n">
        <f aca="false">R61*I61/L61</f>
        <v>26114.7540983607</v>
      </c>
      <c r="T61" s="146" t="n">
        <f aca="false">I61/12</f>
        <v>26550</v>
      </c>
      <c r="U61" s="132" t="n">
        <f aca="false">IF(F62&lt;$U$2,31,$U$2-F62)</f>
        <v>31</v>
      </c>
      <c r="V61" s="131" t="n">
        <f aca="false">I61*U61/L61</f>
        <v>26985.2459016393</v>
      </c>
      <c r="W61" s="141" t="n">
        <f aca="false">IF(F61&lt;$W$2,31,$W$2-F61)</f>
        <v>31</v>
      </c>
      <c r="X61" s="132" t="n">
        <f aca="false">I61/12</f>
        <v>26550</v>
      </c>
      <c r="Y61" s="131" t="n">
        <f aca="false">I61*W61/L61</f>
        <v>26985.2459016393</v>
      </c>
      <c r="Z61" s="141" t="n">
        <f aca="false">IF(F61&lt;$Z$2,30,$Z$2-I61)</f>
        <v>30</v>
      </c>
      <c r="AA61" s="147" t="n">
        <f aca="false">I61/12</f>
        <v>26550</v>
      </c>
      <c r="AB61" s="147" t="n">
        <f aca="false">I61*Z61/L61</f>
        <v>26114.7540983607</v>
      </c>
      <c r="AC61" s="143"/>
      <c r="AD61" s="144"/>
      <c r="AE61" s="144"/>
    </row>
    <row r="62" s="137" customFormat="true" ht="15.75" hidden="false" customHeight="true" outlineLevel="0" collapsed="false">
      <c r="A62" s="125" t="s">
        <v>119</v>
      </c>
      <c r="B62" s="126" t="n">
        <v>45748</v>
      </c>
      <c r="C62" s="127" t="s">
        <v>247</v>
      </c>
      <c r="D62" s="127" t="s">
        <v>248</v>
      </c>
      <c r="E62" s="128" t="s">
        <v>118</v>
      </c>
      <c r="F62" s="148" t="n">
        <v>45776</v>
      </c>
      <c r="G62" s="129" t="n">
        <v>45805</v>
      </c>
      <c r="H62" s="142" t="s">
        <v>19</v>
      </c>
      <c r="I62" s="131" t="n">
        <v>4720</v>
      </c>
      <c r="J62" s="132" t="n">
        <v>4720</v>
      </c>
      <c r="K62" s="132"/>
      <c r="L62" s="127" t="n">
        <f aca="false">G62-F62+1</f>
        <v>30</v>
      </c>
      <c r="M62" s="127" t="n">
        <f aca="false">$H$1-F62+1</f>
        <v>2</v>
      </c>
      <c r="N62" s="132" t="n">
        <f aca="false">I62/L62*M62</f>
        <v>314.666666666667</v>
      </c>
      <c r="O62" s="132" t="n">
        <f aca="false">L62-M62</f>
        <v>28</v>
      </c>
      <c r="P62" s="131" t="n">
        <f aca="false">O62*I62/L62</f>
        <v>4405.33333333333</v>
      </c>
      <c r="Q62" s="127"/>
      <c r="R62" s="127" t="n">
        <f aca="false">IF(F62&lt;$R$2,30,$R$2-F62)</f>
        <v>30</v>
      </c>
      <c r="S62" s="127"/>
      <c r="T62" s="127"/>
      <c r="U62" s="132" t="n">
        <f aca="false">IF(F63&lt;$U$2,31,$U$2-F63)</f>
        <v>31</v>
      </c>
      <c r="V62" s="127"/>
      <c r="W62" s="135" t="n">
        <v>0</v>
      </c>
      <c r="X62" s="132" t="n">
        <v>0</v>
      </c>
      <c r="Y62" s="127" t="n">
        <v>0</v>
      </c>
      <c r="Z62" s="127"/>
      <c r="AA62" s="127"/>
      <c r="AB62" s="127"/>
      <c r="AC62" s="136"/>
      <c r="AD62" s="136"/>
      <c r="AE62" s="136"/>
    </row>
    <row r="63" customFormat="false" ht="15.75" hidden="false" customHeight="true" outlineLevel="0" collapsed="false">
      <c r="A63" s="138" t="n">
        <v>0</v>
      </c>
      <c r="B63" s="139" t="s">
        <v>183</v>
      </c>
      <c r="C63" s="128" t="s">
        <v>249</v>
      </c>
      <c r="D63" s="128" t="s">
        <v>250</v>
      </c>
      <c r="E63" s="128" t="s">
        <v>118</v>
      </c>
      <c r="F63" s="154" t="n">
        <v>45757</v>
      </c>
      <c r="G63" s="140" t="n">
        <v>46121</v>
      </c>
      <c r="H63" s="145" t="s">
        <v>10</v>
      </c>
      <c r="I63" s="131" t="n">
        <f aca="false">10300*12</f>
        <v>123600</v>
      </c>
      <c r="J63" s="132" t="n">
        <v>10300</v>
      </c>
      <c r="K63" s="132" t="n">
        <v>10300</v>
      </c>
      <c r="L63" s="127" t="n">
        <f aca="false">G63-F63+1</f>
        <v>365</v>
      </c>
      <c r="M63" s="128" t="n">
        <f aca="false">$H$1-F63+1</f>
        <v>21</v>
      </c>
      <c r="N63" s="132" t="n">
        <f aca="false">I63/L63*M63</f>
        <v>7111.23287671233</v>
      </c>
      <c r="O63" s="132" t="n">
        <f aca="false">IF(F63&lt;$O$1,31,$O$1-F63)</f>
        <v>31</v>
      </c>
      <c r="P63" s="131" t="n">
        <f aca="false">O63*I63/L63</f>
        <v>10497.5342465753</v>
      </c>
      <c r="Q63" s="146" t="n">
        <f aca="false">I63/12</f>
        <v>10300</v>
      </c>
      <c r="R63" s="128" t="n">
        <f aca="false">IF(F63&lt;$R$2,30,$R$2-F63)</f>
        <v>30</v>
      </c>
      <c r="S63" s="146" t="n">
        <f aca="false">R63*I63/L63</f>
        <v>10158.904109589</v>
      </c>
      <c r="T63" s="146" t="n">
        <f aca="false">I63/12</f>
        <v>10300</v>
      </c>
      <c r="U63" s="132" t="n">
        <f aca="false">IF(F64&lt;$U$2,31,$U$2-F64)</f>
        <v>31</v>
      </c>
      <c r="V63" s="131" t="n">
        <f aca="false">I63*U63/L63</f>
        <v>10497.5342465753</v>
      </c>
      <c r="W63" s="141" t="n">
        <f aca="false">IF(F63&lt;$W$2,31,$W$2-F63)</f>
        <v>31</v>
      </c>
      <c r="X63" s="132" t="n">
        <f aca="false">I63/12</f>
        <v>10300</v>
      </c>
      <c r="Y63" s="131" t="n">
        <f aca="false">I63*W63/L63</f>
        <v>10497.5342465753</v>
      </c>
      <c r="Z63" s="141" t="n">
        <f aca="false">IF(F63&lt;$Z$2,30,$Z$2-I63)</f>
        <v>30</v>
      </c>
      <c r="AA63" s="147" t="n">
        <f aca="false">I63/12</f>
        <v>10300</v>
      </c>
      <c r="AB63" s="147" t="n">
        <f aca="false">I63*Z63/L63</f>
        <v>10158.904109589</v>
      </c>
      <c r="AC63" s="143"/>
      <c r="AD63" s="144"/>
      <c r="AE63" s="144"/>
    </row>
    <row r="64" customFormat="false" ht="15.75" hidden="false" customHeight="true" outlineLevel="0" collapsed="false">
      <c r="A64" s="138" t="n">
        <v>0</v>
      </c>
      <c r="B64" s="139" t="s">
        <v>251</v>
      </c>
      <c r="C64" s="128" t="s">
        <v>252</v>
      </c>
      <c r="D64" s="128" t="s">
        <v>253</v>
      </c>
      <c r="E64" s="128" t="s">
        <v>118</v>
      </c>
      <c r="F64" s="154" t="n">
        <v>45776</v>
      </c>
      <c r="G64" s="140" t="n">
        <v>46140</v>
      </c>
      <c r="H64" s="145" t="s">
        <v>7</v>
      </c>
      <c r="I64" s="131" t="n">
        <v>80000</v>
      </c>
      <c r="J64" s="132" t="n">
        <v>6666.66666666667</v>
      </c>
      <c r="K64" s="132" t="n">
        <f aca="false">I64/12</f>
        <v>6666.66666666667</v>
      </c>
      <c r="L64" s="127" t="n">
        <f aca="false">G64-F64+1</f>
        <v>365</v>
      </c>
      <c r="M64" s="128" t="n">
        <f aca="false">$H$1-F64+1</f>
        <v>2</v>
      </c>
      <c r="N64" s="132" t="n">
        <f aca="false">I64/L64*M64</f>
        <v>438.356164383562</v>
      </c>
      <c r="O64" s="132" t="n">
        <f aca="false">IF(F64&lt;$O$1,31,$O$1-F64)</f>
        <v>31</v>
      </c>
      <c r="P64" s="131" t="n">
        <f aca="false">O64*I64/L64</f>
        <v>6794.52054794521</v>
      </c>
      <c r="Q64" s="147" t="n">
        <f aca="false">I64/12</f>
        <v>6666.66666666667</v>
      </c>
      <c r="R64" s="128" t="n">
        <f aca="false">IF(F64&lt;$R$2,30,$R$2-F64)</f>
        <v>30</v>
      </c>
      <c r="S64" s="146" t="n">
        <f aca="false">R64*I64/L64</f>
        <v>6575.34246575342</v>
      </c>
      <c r="T64" s="146" t="n">
        <f aca="false">I64/12</f>
        <v>6666.66666666667</v>
      </c>
      <c r="U64" s="132" t="n">
        <f aca="false">IF(F65&lt;$U$2,31,$U$2-F65)</f>
        <v>31</v>
      </c>
      <c r="V64" s="131" t="n">
        <f aca="false">I64*U64/L64</f>
        <v>6794.52054794521</v>
      </c>
      <c r="W64" s="141" t="n">
        <f aca="false">IF(F64&lt;$W$2,31,$W$2-F64)</f>
        <v>31</v>
      </c>
      <c r="X64" s="132" t="n">
        <f aca="false">I64/12</f>
        <v>6666.66666666667</v>
      </c>
      <c r="Y64" s="131" t="n">
        <f aca="false">I64*W64/L64</f>
        <v>6794.52054794521</v>
      </c>
      <c r="Z64" s="141" t="n">
        <f aca="false">IF(F64&lt;$Z$2,30,$Z$2-I64)</f>
        <v>30</v>
      </c>
      <c r="AA64" s="147" t="n">
        <f aca="false">I64/12</f>
        <v>6666.66666666667</v>
      </c>
      <c r="AB64" s="147" t="n">
        <f aca="false">I64*Z64/L64</f>
        <v>6575.34246575342</v>
      </c>
      <c r="AC64" s="143"/>
      <c r="AD64" s="144"/>
      <c r="AE64" s="144"/>
    </row>
    <row r="65" customFormat="false" ht="15.75" hidden="false" customHeight="true" outlineLevel="0" collapsed="false">
      <c r="A65" s="138" t="n">
        <v>0</v>
      </c>
      <c r="B65" s="139" t="n">
        <v>45748</v>
      </c>
      <c r="C65" s="128" t="s">
        <v>254</v>
      </c>
      <c r="D65" s="128" t="s">
        <v>255</v>
      </c>
      <c r="E65" s="128" t="s">
        <v>118</v>
      </c>
      <c r="F65" s="154" t="n">
        <v>45776</v>
      </c>
      <c r="G65" s="140" t="n">
        <v>46140</v>
      </c>
      <c r="H65" s="145" t="s">
        <v>9</v>
      </c>
      <c r="I65" s="131" t="n">
        <v>26000</v>
      </c>
      <c r="J65" s="132" t="n">
        <v>2166.66666666667</v>
      </c>
      <c r="K65" s="132" t="n">
        <f aca="false">I65/12</f>
        <v>2166.66666666667</v>
      </c>
      <c r="L65" s="127" t="n">
        <f aca="false">G65-F65+1</f>
        <v>365</v>
      </c>
      <c r="M65" s="128" t="n">
        <f aca="false">$H$1-F65+1</f>
        <v>2</v>
      </c>
      <c r="N65" s="132" t="n">
        <f aca="false">I65/L65*M65</f>
        <v>142.465753424658</v>
      </c>
      <c r="O65" s="132" t="n">
        <f aca="false">IF(F65&lt;$O$1,31,$O$1-F65)</f>
        <v>31</v>
      </c>
      <c r="P65" s="131" t="n">
        <f aca="false">O65*I65/L65</f>
        <v>2208.21917808219</v>
      </c>
      <c r="Q65" s="146" t="n">
        <f aca="false">I65/12</f>
        <v>2166.66666666667</v>
      </c>
      <c r="R65" s="128" t="n">
        <f aca="false">IF(F65&lt;$R$2,30,$R$2-F65)</f>
        <v>30</v>
      </c>
      <c r="S65" s="146" t="n">
        <f aca="false">R65*I65/L65</f>
        <v>2136.98630136986</v>
      </c>
      <c r="T65" s="146" t="n">
        <f aca="false">I65/12</f>
        <v>2166.66666666667</v>
      </c>
      <c r="U65" s="132" t="n">
        <f aca="false">IF(F66&lt;$U$2,31,$U$2-F66)</f>
        <v>31</v>
      </c>
      <c r="V65" s="131" t="n">
        <f aca="false">I65*U65/L65</f>
        <v>2208.21917808219</v>
      </c>
      <c r="W65" s="141" t="n">
        <f aca="false">IF(F65&lt;$W$2,31,$W$2-F65)</f>
        <v>31</v>
      </c>
      <c r="X65" s="132" t="n">
        <f aca="false">I65/12</f>
        <v>2166.66666666667</v>
      </c>
      <c r="Y65" s="131" t="n">
        <f aca="false">I65*W65/L65</f>
        <v>2208.21917808219</v>
      </c>
      <c r="Z65" s="141" t="n">
        <f aca="false">IF(F65&lt;$Z$2,30,$Z$2-I65)</f>
        <v>30</v>
      </c>
      <c r="AA65" s="147" t="n">
        <f aca="false">I65/12</f>
        <v>2166.66666666667</v>
      </c>
      <c r="AB65" s="147" t="n">
        <f aca="false">I65*Z65/L65</f>
        <v>2136.98630136986</v>
      </c>
      <c r="AC65" s="143"/>
      <c r="AD65" s="144"/>
      <c r="AE65" s="144"/>
    </row>
    <row r="66" customFormat="false" ht="15.75" hidden="false" customHeight="true" outlineLevel="0" collapsed="false">
      <c r="A66" s="138" t="n">
        <v>0</v>
      </c>
      <c r="B66" s="139" t="n">
        <v>45748</v>
      </c>
      <c r="C66" s="128" t="s">
        <v>256</v>
      </c>
      <c r="D66" s="128" t="s">
        <v>257</v>
      </c>
      <c r="E66" s="128" t="s">
        <v>118</v>
      </c>
      <c r="F66" s="154" t="n">
        <v>45776</v>
      </c>
      <c r="G66" s="140" t="n">
        <v>46140</v>
      </c>
      <c r="H66" s="145" t="s">
        <v>9</v>
      </c>
      <c r="I66" s="131" t="n">
        <v>26000</v>
      </c>
      <c r="J66" s="132" t="n">
        <v>2166.66666666667</v>
      </c>
      <c r="K66" s="132" t="n">
        <f aca="false">I66/12</f>
        <v>2166.66666666667</v>
      </c>
      <c r="L66" s="127" t="n">
        <f aca="false">G66-F66+1</f>
        <v>365</v>
      </c>
      <c r="M66" s="128" t="n">
        <f aca="false">$H$1-F66+1</f>
        <v>2</v>
      </c>
      <c r="N66" s="132" t="n">
        <f aca="false">I66/L66*M66</f>
        <v>142.465753424658</v>
      </c>
      <c r="O66" s="132" t="n">
        <f aca="false">IF(F66&lt;$O$1,31,$O$1-F66)</f>
        <v>31</v>
      </c>
      <c r="P66" s="131" t="n">
        <f aca="false">O66*I66/L66</f>
        <v>2208.21917808219</v>
      </c>
      <c r="Q66" s="146" t="n">
        <f aca="false">I66/12</f>
        <v>2166.66666666667</v>
      </c>
      <c r="R66" s="128" t="n">
        <f aca="false">IF(F66&lt;$R$2,30,$R$2-F66)</f>
        <v>30</v>
      </c>
      <c r="S66" s="146" t="n">
        <f aca="false">R66*I66/L66</f>
        <v>2136.98630136986</v>
      </c>
      <c r="T66" s="146" t="n">
        <f aca="false">I66/12</f>
        <v>2166.66666666667</v>
      </c>
      <c r="U66" s="132" t="n">
        <f aca="false">IF(F67&lt;$U$2,31,$U$2-F67)</f>
        <v>31</v>
      </c>
      <c r="V66" s="131" t="n">
        <f aca="false">I66*U66/L66</f>
        <v>2208.21917808219</v>
      </c>
      <c r="W66" s="141" t="n">
        <f aca="false">IF(F66&lt;$W$2,31,$W$2-F66)</f>
        <v>31</v>
      </c>
      <c r="X66" s="132" t="n">
        <f aca="false">I66/12</f>
        <v>2166.66666666667</v>
      </c>
      <c r="Y66" s="131" t="n">
        <f aca="false">I66*W66/L66</f>
        <v>2208.21917808219</v>
      </c>
      <c r="Z66" s="141" t="n">
        <f aca="false">IF(F66&lt;$Z$2,30,$Z$2-I66)</f>
        <v>30</v>
      </c>
      <c r="AA66" s="147" t="n">
        <f aca="false">I66/12</f>
        <v>2166.66666666667</v>
      </c>
      <c r="AB66" s="147" t="n">
        <f aca="false">I66*Z66/L66</f>
        <v>2136.98630136986</v>
      </c>
      <c r="AC66" s="143"/>
      <c r="AD66" s="144"/>
      <c r="AE66" s="144"/>
    </row>
    <row r="67" customFormat="false" ht="15.75" hidden="false" customHeight="true" outlineLevel="0" collapsed="false">
      <c r="A67" s="138" t="n">
        <v>0</v>
      </c>
      <c r="B67" s="139" t="n">
        <v>45748</v>
      </c>
      <c r="C67" s="128" t="s">
        <v>258</v>
      </c>
      <c r="D67" s="128" t="s">
        <v>259</v>
      </c>
      <c r="E67" s="128" t="s">
        <v>118</v>
      </c>
      <c r="F67" s="154" t="n">
        <v>45776</v>
      </c>
      <c r="G67" s="140" t="n">
        <v>46140</v>
      </c>
      <c r="H67" s="145" t="s">
        <v>9</v>
      </c>
      <c r="I67" s="131" t="n">
        <v>26000</v>
      </c>
      <c r="J67" s="132" t="n">
        <v>2166.66666666667</v>
      </c>
      <c r="K67" s="132" t="n">
        <f aca="false">I67/12</f>
        <v>2166.66666666667</v>
      </c>
      <c r="L67" s="127" t="n">
        <f aca="false">G67-F67+1</f>
        <v>365</v>
      </c>
      <c r="M67" s="128" t="n">
        <f aca="false">$H$1-F67+1</f>
        <v>2</v>
      </c>
      <c r="N67" s="132" t="n">
        <f aca="false">I67/L67*M67</f>
        <v>142.465753424658</v>
      </c>
      <c r="O67" s="132" t="n">
        <f aca="false">IF(F67&lt;$O$1,31,$O$1-F67)</f>
        <v>31</v>
      </c>
      <c r="P67" s="131" t="n">
        <f aca="false">O67*I67/L67</f>
        <v>2208.21917808219</v>
      </c>
      <c r="Q67" s="146" t="n">
        <f aca="false">I67/12</f>
        <v>2166.66666666667</v>
      </c>
      <c r="R67" s="128" t="n">
        <f aca="false">IF(F67&lt;$R$2,30,$R$2-F67)</f>
        <v>30</v>
      </c>
      <c r="S67" s="146" t="n">
        <f aca="false">R67*I67/L67</f>
        <v>2136.98630136986</v>
      </c>
      <c r="T67" s="146" t="n">
        <f aca="false">I67/12</f>
        <v>2166.66666666667</v>
      </c>
      <c r="U67" s="132" t="n">
        <f aca="false">IF(F68&lt;$U$2,31,$U$2-F68)</f>
        <v>31</v>
      </c>
      <c r="V67" s="131" t="n">
        <f aca="false">I67*U67/L67</f>
        <v>2208.21917808219</v>
      </c>
      <c r="W67" s="141" t="n">
        <f aca="false">IF(F67&lt;$W$2,31,$W$2-F67)</f>
        <v>31</v>
      </c>
      <c r="X67" s="132" t="n">
        <f aca="false">I67/12</f>
        <v>2166.66666666667</v>
      </c>
      <c r="Y67" s="131" t="n">
        <f aca="false">I67*W67/L67</f>
        <v>2208.21917808219</v>
      </c>
      <c r="Z67" s="141" t="n">
        <f aca="false">IF(F67&lt;$Z$2,30,$Z$2-I67)</f>
        <v>30</v>
      </c>
      <c r="AA67" s="147" t="n">
        <f aca="false">I67/12</f>
        <v>2166.66666666667</v>
      </c>
      <c r="AB67" s="147" t="n">
        <f aca="false">I67*Z67/L67</f>
        <v>2136.98630136986</v>
      </c>
      <c r="AC67" s="143"/>
      <c r="AD67" s="144"/>
      <c r="AE67" s="144"/>
    </row>
    <row r="68" customFormat="false" ht="15.75" hidden="false" customHeight="true" outlineLevel="0" collapsed="false">
      <c r="A68" s="138" t="n">
        <v>0</v>
      </c>
      <c r="B68" s="139" t="n">
        <v>45748</v>
      </c>
      <c r="C68" s="128" t="s">
        <v>260</v>
      </c>
      <c r="D68" s="128" t="s">
        <v>261</v>
      </c>
      <c r="E68" s="128" t="s">
        <v>118</v>
      </c>
      <c r="F68" s="154" t="n">
        <v>45776</v>
      </c>
      <c r="G68" s="140" t="n">
        <v>46140</v>
      </c>
      <c r="H68" s="145" t="s">
        <v>9</v>
      </c>
      <c r="I68" s="131" t="n">
        <v>26000</v>
      </c>
      <c r="J68" s="132" t="n">
        <v>2166.66666666667</v>
      </c>
      <c r="K68" s="132" t="n">
        <f aca="false">I68/12</f>
        <v>2166.66666666667</v>
      </c>
      <c r="L68" s="127" t="n">
        <f aca="false">G68-F68+1</f>
        <v>365</v>
      </c>
      <c r="M68" s="128" t="n">
        <f aca="false">$H$1-F68+1</f>
        <v>2</v>
      </c>
      <c r="N68" s="132" t="n">
        <f aca="false">I68/L68*M68</f>
        <v>142.465753424658</v>
      </c>
      <c r="O68" s="132" t="n">
        <f aca="false">IF(F68&lt;$O$1,31,$O$1-F68)</f>
        <v>31</v>
      </c>
      <c r="P68" s="131" t="n">
        <f aca="false">O68*I68/L68</f>
        <v>2208.21917808219</v>
      </c>
      <c r="Q68" s="146" t="n">
        <f aca="false">I68/12</f>
        <v>2166.66666666667</v>
      </c>
      <c r="R68" s="128" t="n">
        <f aca="false">IF(F68&lt;$R$2,30,$R$2-F68)</f>
        <v>30</v>
      </c>
      <c r="S68" s="146" t="n">
        <f aca="false">R68*I68/L68</f>
        <v>2136.98630136986</v>
      </c>
      <c r="T68" s="146" t="n">
        <f aca="false">I68/12</f>
        <v>2166.66666666667</v>
      </c>
      <c r="U68" s="132" t="n">
        <f aca="false">IF(F69&lt;$U$2,31,$U$2-F69)</f>
        <v>31</v>
      </c>
      <c r="V68" s="131" t="n">
        <f aca="false">I68*U68/L68</f>
        <v>2208.21917808219</v>
      </c>
      <c r="W68" s="141" t="n">
        <f aca="false">IF(F68&lt;$W$2,31,$W$2-F68)</f>
        <v>31</v>
      </c>
      <c r="X68" s="132" t="n">
        <f aca="false">I68/12</f>
        <v>2166.66666666667</v>
      </c>
      <c r="Y68" s="131" t="n">
        <f aca="false">I68*W68/L68</f>
        <v>2208.21917808219</v>
      </c>
      <c r="Z68" s="141" t="n">
        <f aca="false">IF(F68&lt;$Z$2,30,$Z$2-I68)</f>
        <v>30</v>
      </c>
      <c r="AA68" s="147" t="n">
        <f aca="false">I68/12</f>
        <v>2166.66666666667</v>
      </c>
      <c r="AB68" s="147" t="n">
        <f aca="false">I68*Z68/L68</f>
        <v>2136.98630136986</v>
      </c>
      <c r="AC68" s="143"/>
      <c r="AD68" s="144"/>
      <c r="AE68" s="144"/>
    </row>
    <row r="69" customFormat="false" ht="15.75" hidden="false" customHeight="true" outlineLevel="0" collapsed="false">
      <c r="A69" s="138" t="n">
        <v>0</v>
      </c>
      <c r="B69" s="139" t="n">
        <v>45748</v>
      </c>
      <c r="C69" s="128" t="s">
        <v>262</v>
      </c>
      <c r="D69" s="128" t="s">
        <v>263</v>
      </c>
      <c r="E69" s="128" t="s">
        <v>118</v>
      </c>
      <c r="F69" s="154" t="n">
        <v>45776</v>
      </c>
      <c r="G69" s="140" t="n">
        <v>46140</v>
      </c>
      <c r="H69" s="145" t="s">
        <v>9</v>
      </c>
      <c r="I69" s="131" t="n">
        <v>26000</v>
      </c>
      <c r="J69" s="132" t="n">
        <v>2166.66666666667</v>
      </c>
      <c r="K69" s="132" t="n">
        <f aca="false">I69/12</f>
        <v>2166.66666666667</v>
      </c>
      <c r="L69" s="127" t="n">
        <f aca="false">G69-F69+1</f>
        <v>365</v>
      </c>
      <c r="M69" s="128" t="n">
        <f aca="false">$H$1-F69+1</f>
        <v>2</v>
      </c>
      <c r="N69" s="132" t="n">
        <f aca="false">I69/L69*M69</f>
        <v>142.465753424658</v>
      </c>
      <c r="O69" s="132" t="n">
        <f aca="false">IF(F69&lt;$O$1,31,$O$1-F69)</f>
        <v>31</v>
      </c>
      <c r="P69" s="131" t="n">
        <f aca="false">O69*I69/L69</f>
        <v>2208.21917808219</v>
      </c>
      <c r="Q69" s="146" t="n">
        <f aca="false">I69/12</f>
        <v>2166.66666666667</v>
      </c>
      <c r="R69" s="128" t="n">
        <f aca="false">IF(F69&lt;$R$2,30,$R$2-F69)</f>
        <v>30</v>
      </c>
      <c r="S69" s="146" t="n">
        <f aca="false">R69*I69/L69</f>
        <v>2136.98630136986</v>
      </c>
      <c r="T69" s="146" t="n">
        <f aca="false">I69/12</f>
        <v>2166.66666666667</v>
      </c>
      <c r="U69" s="132" t="n">
        <f aca="false">IF(F70&lt;$U$2,31,$U$2-F70)</f>
        <v>31</v>
      </c>
      <c r="V69" s="131" t="n">
        <f aca="false">I69*U69/L69</f>
        <v>2208.21917808219</v>
      </c>
      <c r="W69" s="141" t="n">
        <f aca="false">IF(F69&lt;$W$2,31,$W$2-F69)</f>
        <v>31</v>
      </c>
      <c r="X69" s="132" t="n">
        <f aca="false">I69/12</f>
        <v>2166.66666666667</v>
      </c>
      <c r="Y69" s="131" t="n">
        <f aca="false">I69*W69/L69</f>
        <v>2208.21917808219</v>
      </c>
      <c r="Z69" s="141" t="n">
        <f aca="false">IF(F69&lt;$Z$2,30,$Z$2-I69)</f>
        <v>30</v>
      </c>
      <c r="AA69" s="147" t="n">
        <f aca="false">I69/12</f>
        <v>2166.66666666667</v>
      </c>
      <c r="AB69" s="147" t="n">
        <f aca="false">I69*Z69/L69</f>
        <v>2136.98630136986</v>
      </c>
      <c r="AC69" s="143"/>
      <c r="AD69" s="144"/>
      <c r="AE69" s="144"/>
    </row>
    <row r="70" customFormat="false" ht="15.75" hidden="false" customHeight="true" outlineLevel="0" collapsed="false">
      <c r="A70" s="138" t="n">
        <v>0</v>
      </c>
      <c r="B70" s="139" t="n">
        <v>45748</v>
      </c>
      <c r="C70" s="128" t="s">
        <v>264</v>
      </c>
      <c r="D70" s="128" t="s">
        <v>265</v>
      </c>
      <c r="E70" s="128" t="s">
        <v>118</v>
      </c>
      <c r="F70" s="154" t="n">
        <v>45776</v>
      </c>
      <c r="G70" s="140" t="n">
        <v>46140</v>
      </c>
      <c r="H70" s="145" t="s">
        <v>9</v>
      </c>
      <c r="I70" s="131" t="n">
        <v>26000</v>
      </c>
      <c r="J70" s="132" t="n">
        <v>2166.66666666667</v>
      </c>
      <c r="K70" s="132" t="n">
        <f aca="false">I70/12</f>
        <v>2166.66666666667</v>
      </c>
      <c r="L70" s="127" t="n">
        <f aca="false">G70-F70+1</f>
        <v>365</v>
      </c>
      <c r="M70" s="128" t="n">
        <f aca="false">$H$1-F70+1</f>
        <v>2</v>
      </c>
      <c r="N70" s="132" t="n">
        <f aca="false">I70/L70*M70</f>
        <v>142.465753424658</v>
      </c>
      <c r="O70" s="132" t="n">
        <f aca="false">IF(F70&lt;$O$1,31,$O$1-F70)</f>
        <v>31</v>
      </c>
      <c r="P70" s="131" t="n">
        <f aca="false">O70*I70/L70</f>
        <v>2208.21917808219</v>
      </c>
      <c r="Q70" s="146" t="n">
        <f aca="false">I70/12</f>
        <v>2166.66666666667</v>
      </c>
      <c r="R70" s="128" t="n">
        <f aca="false">IF(F70&lt;$R$2,30,$R$2-F70)</f>
        <v>30</v>
      </c>
      <c r="S70" s="146" t="n">
        <f aca="false">R70*I70/L70</f>
        <v>2136.98630136986</v>
      </c>
      <c r="T70" s="146" t="n">
        <f aca="false">I70/12</f>
        <v>2166.66666666667</v>
      </c>
      <c r="U70" s="132" t="n">
        <f aca="false">IF(F71&lt;$U$2,31,$U$2-F71)</f>
        <v>31</v>
      </c>
      <c r="V70" s="131" t="n">
        <f aca="false">I70*U70/L70</f>
        <v>2208.21917808219</v>
      </c>
      <c r="W70" s="141" t="n">
        <f aca="false">IF(F70&lt;$W$2,31,$W$2-F70)</f>
        <v>31</v>
      </c>
      <c r="X70" s="132" t="n">
        <f aca="false">I70/12</f>
        <v>2166.66666666667</v>
      </c>
      <c r="Y70" s="131" t="n">
        <f aca="false">I70*W70/L70</f>
        <v>2208.21917808219</v>
      </c>
      <c r="Z70" s="141" t="n">
        <f aca="false">IF(F70&lt;$Z$2,30,$Z$2-I70)</f>
        <v>30</v>
      </c>
      <c r="AA70" s="147" t="n">
        <f aca="false">I70/12</f>
        <v>2166.66666666667</v>
      </c>
      <c r="AB70" s="147" t="n">
        <f aca="false">I70*Z70/L70</f>
        <v>2136.98630136986</v>
      </c>
      <c r="AC70" s="143"/>
      <c r="AD70" s="144"/>
      <c r="AE70" s="144"/>
    </row>
    <row r="71" customFormat="false" ht="15" hidden="false" customHeight="false" outlineLevel="0" collapsed="false">
      <c r="A71" s="138" t="n">
        <v>0</v>
      </c>
      <c r="B71" s="139" t="s">
        <v>266</v>
      </c>
      <c r="C71" s="128" t="s">
        <v>267</v>
      </c>
      <c r="D71" s="128" t="s">
        <v>268</v>
      </c>
      <c r="E71" s="128" t="s">
        <v>118</v>
      </c>
      <c r="F71" s="154" t="n">
        <v>45776</v>
      </c>
      <c r="G71" s="140" t="n">
        <v>46140</v>
      </c>
      <c r="H71" s="149" t="s">
        <v>8</v>
      </c>
      <c r="I71" s="131" t="n">
        <v>216000</v>
      </c>
      <c r="J71" s="132" t="n">
        <v>18000</v>
      </c>
      <c r="K71" s="132" t="n">
        <f aca="false">I71/12</f>
        <v>18000</v>
      </c>
      <c r="L71" s="127" t="n">
        <f aca="false">G71-F71+1</f>
        <v>365</v>
      </c>
      <c r="M71" s="128" t="n">
        <v>30</v>
      </c>
      <c r="N71" s="132" t="n">
        <f aca="false">I71/L71*M71</f>
        <v>17753.4246575342</v>
      </c>
      <c r="O71" s="132" t="n">
        <f aca="false">IF(F71&lt;$O$1,31,$O$1-F71)</f>
        <v>31</v>
      </c>
      <c r="P71" s="131" t="n">
        <f aca="false">O71*I71/L71</f>
        <v>18345.2054794521</v>
      </c>
      <c r="Q71" s="147" t="n">
        <f aca="false">I71/12</f>
        <v>18000</v>
      </c>
      <c r="R71" s="128" t="n">
        <f aca="false">IF(F71&lt;$R$2,30,$R$2-F71)</f>
        <v>30</v>
      </c>
      <c r="S71" s="146" t="n">
        <f aca="false">R71*I71/L71</f>
        <v>17753.4246575342</v>
      </c>
      <c r="T71" s="146" t="n">
        <f aca="false">I71/12</f>
        <v>18000</v>
      </c>
      <c r="U71" s="132" t="n">
        <f aca="false">IF(F72&lt;$U$2,31,$U$2-F72)</f>
        <v>31</v>
      </c>
      <c r="V71" s="131" t="n">
        <f aca="false">I71*U71/L71</f>
        <v>18345.2054794521</v>
      </c>
      <c r="W71" s="141" t="n">
        <f aca="false">IF(F71&lt;$W$2,31,$W$2-F71)</f>
        <v>31</v>
      </c>
      <c r="X71" s="132" t="n">
        <f aca="false">I71/12</f>
        <v>18000</v>
      </c>
      <c r="Y71" s="131" t="n">
        <f aca="false">I71*W71/L71</f>
        <v>18345.2054794521</v>
      </c>
      <c r="Z71" s="141" t="n">
        <f aca="false">IF(F71&lt;$Z$2,30,$Z$2-I71)</f>
        <v>30</v>
      </c>
      <c r="AA71" s="147" t="n">
        <f aca="false">I71/12</f>
        <v>18000</v>
      </c>
      <c r="AB71" s="147" t="n">
        <f aca="false">I71*Z71/L71</f>
        <v>17753.4246575342</v>
      </c>
      <c r="AC71" s="143"/>
      <c r="AD71" s="144"/>
      <c r="AE71" s="144"/>
    </row>
    <row r="72" customFormat="false" ht="15.75" hidden="false" customHeight="true" outlineLevel="0" collapsed="false">
      <c r="A72" s="138" t="n">
        <v>0</v>
      </c>
      <c r="B72" s="139" t="n">
        <v>45748</v>
      </c>
      <c r="C72" s="128" t="s">
        <v>269</v>
      </c>
      <c r="D72" s="128" t="s">
        <v>270</v>
      </c>
      <c r="E72" s="128" t="s">
        <v>118</v>
      </c>
      <c r="F72" s="154" t="n">
        <v>45776</v>
      </c>
      <c r="G72" s="140" t="n">
        <v>45958</v>
      </c>
      <c r="H72" s="145" t="s">
        <v>29</v>
      </c>
      <c r="I72" s="131" t="n">
        <v>42480</v>
      </c>
      <c r="J72" s="132" t="n">
        <v>7080</v>
      </c>
      <c r="K72" s="132" t="n">
        <f aca="false">I72/6</f>
        <v>7080</v>
      </c>
      <c r="L72" s="127" t="n">
        <f aca="false">G72-F72+1</f>
        <v>183</v>
      </c>
      <c r="M72" s="128" t="n">
        <f aca="false">$H$1-F72+1</f>
        <v>2</v>
      </c>
      <c r="N72" s="132" t="n">
        <f aca="false">I72/L72*M72</f>
        <v>464.262295081967</v>
      </c>
      <c r="O72" s="132" t="n">
        <f aca="false">IF(F72&lt;$O$1,31,$O$1-F72)</f>
        <v>31</v>
      </c>
      <c r="P72" s="131" t="n">
        <f aca="false">O72*I72/L72</f>
        <v>7196.06557377049</v>
      </c>
      <c r="Q72" s="146" t="n">
        <f aca="false">I72/6</f>
        <v>7080</v>
      </c>
      <c r="R72" s="128" t="n">
        <f aca="false">IF(F72&lt;$R$2,30,$R$2-F72)</f>
        <v>30</v>
      </c>
      <c r="S72" s="146" t="n">
        <f aca="false">R72*I72/L72</f>
        <v>6963.93442622951</v>
      </c>
      <c r="T72" s="146" t="n">
        <f aca="false">I72/6</f>
        <v>7080</v>
      </c>
      <c r="U72" s="132" t="n">
        <f aca="false">IF(F73&lt;$U$2,31,$U$2-F73)</f>
        <v>31</v>
      </c>
      <c r="V72" s="131" t="n">
        <f aca="false">I72*U72/L72</f>
        <v>7196.06557377049</v>
      </c>
      <c r="W72" s="141" t="n">
        <f aca="false">IF(F72&lt;$W$2,31,$W$2-F72)</f>
        <v>31</v>
      </c>
      <c r="X72" s="132" t="n">
        <f aca="false">I72/6</f>
        <v>7080</v>
      </c>
      <c r="Y72" s="131" t="n">
        <f aca="false">I72*W72/L72</f>
        <v>7196.06557377049</v>
      </c>
      <c r="Z72" s="141" t="n">
        <f aca="false">IF(F72&lt;$Z$2,30,$Z$2-I72)</f>
        <v>30</v>
      </c>
      <c r="AA72" s="147" t="n">
        <f aca="false">I72/6</f>
        <v>7080</v>
      </c>
      <c r="AB72" s="147" t="n">
        <f aca="false">Z72*I72/L72</f>
        <v>6963.93442622951</v>
      </c>
      <c r="AC72" s="143"/>
      <c r="AD72" s="136"/>
      <c r="AE72" s="144"/>
    </row>
    <row r="73" s="137" customFormat="true" ht="15.75" hidden="false" customHeight="true" outlineLevel="0" collapsed="false">
      <c r="A73" s="125" t="s">
        <v>119</v>
      </c>
      <c r="B73" s="126" t="n">
        <v>45748</v>
      </c>
      <c r="C73" s="127" t="s">
        <v>271</v>
      </c>
      <c r="D73" s="127" t="s">
        <v>272</v>
      </c>
      <c r="E73" s="128" t="s">
        <v>118</v>
      </c>
      <c r="F73" s="148" t="n">
        <v>45778</v>
      </c>
      <c r="G73" s="129" t="n">
        <v>45808</v>
      </c>
      <c r="H73" s="142" t="s">
        <v>19</v>
      </c>
      <c r="I73" s="131" t="n">
        <v>50150</v>
      </c>
      <c r="J73" s="132"/>
      <c r="K73" s="132" t="n">
        <f aca="false">I73</f>
        <v>50150</v>
      </c>
      <c r="L73" s="127" t="n">
        <f aca="false">G73-F73+1</f>
        <v>31</v>
      </c>
      <c r="M73" s="127" t="n">
        <f aca="false">$H$1-F73+1</f>
        <v>0</v>
      </c>
      <c r="N73" s="132" t="n">
        <f aca="false">I73/L73*M73</f>
        <v>0</v>
      </c>
      <c r="O73" s="132" t="n">
        <f aca="false">$O$1-F73+1</f>
        <v>31</v>
      </c>
      <c r="P73" s="131" t="n">
        <f aca="false">O73*I73/L73</f>
        <v>50150</v>
      </c>
      <c r="Q73" s="127"/>
      <c r="R73" s="127" t="n">
        <f aca="false">IF(F73&lt;$R$2,30,$R$2-F73)</f>
        <v>30</v>
      </c>
      <c r="S73" s="127"/>
      <c r="T73" s="127"/>
      <c r="U73" s="132" t="n">
        <f aca="false">IF(F74&lt;$U$2,31,$U$2-F74)</f>
        <v>31</v>
      </c>
      <c r="V73" s="127"/>
      <c r="W73" s="135" t="n">
        <v>0</v>
      </c>
      <c r="X73" s="132" t="n">
        <v>0</v>
      </c>
      <c r="Y73" s="127" t="n">
        <v>0</v>
      </c>
      <c r="Z73" s="127"/>
      <c r="AA73" s="127"/>
      <c r="AB73" s="127"/>
      <c r="AC73" s="136"/>
      <c r="AD73" s="136"/>
      <c r="AE73" s="136"/>
    </row>
    <row r="74" s="137" customFormat="true" ht="15.75" hidden="false" customHeight="true" outlineLevel="0" collapsed="false">
      <c r="A74" s="125" t="s">
        <v>119</v>
      </c>
      <c r="B74" s="126" t="n">
        <v>45748</v>
      </c>
      <c r="C74" s="127" t="s">
        <v>273</v>
      </c>
      <c r="D74" s="127" t="s">
        <v>274</v>
      </c>
      <c r="E74" s="128" t="s">
        <v>118</v>
      </c>
      <c r="F74" s="148" t="n">
        <v>45776</v>
      </c>
      <c r="G74" s="129" t="n">
        <v>45808</v>
      </c>
      <c r="H74" s="142" t="s">
        <v>19</v>
      </c>
      <c r="I74" s="131" t="n">
        <v>17700</v>
      </c>
      <c r="J74" s="132" t="n">
        <v>17700</v>
      </c>
      <c r="K74" s="132"/>
      <c r="L74" s="127" t="n">
        <f aca="false">G74-F74+1</f>
        <v>33</v>
      </c>
      <c r="M74" s="127" t="n">
        <f aca="false">$H$1-F74+1</f>
        <v>2</v>
      </c>
      <c r="N74" s="132" t="n">
        <f aca="false">I74/L74*M74</f>
        <v>1072.72727272727</v>
      </c>
      <c r="O74" s="132" t="n">
        <f aca="false">L74-M74</f>
        <v>31</v>
      </c>
      <c r="P74" s="131" t="n">
        <f aca="false">O74*I74/L74</f>
        <v>16627.2727272727</v>
      </c>
      <c r="Q74" s="127"/>
      <c r="R74" s="127" t="n">
        <f aca="false">IF(F74&lt;$R$2,30,$R$2-F74)</f>
        <v>30</v>
      </c>
      <c r="S74" s="127"/>
      <c r="T74" s="127"/>
      <c r="U74" s="132" t="n">
        <f aca="false">IF(F75&lt;$U$2,31,$U$2-F75)</f>
        <v>31</v>
      </c>
      <c r="V74" s="127"/>
      <c r="W74" s="135" t="n">
        <v>0</v>
      </c>
      <c r="X74" s="132" t="n">
        <v>0</v>
      </c>
      <c r="Y74" s="127" t="n">
        <v>0</v>
      </c>
      <c r="Z74" s="127"/>
      <c r="AA74" s="127"/>
      <c r="AB74" s="127"/>
      <c r="AC74" s="136"/>
      <c r="AD74" s="136"/>
      <c r="AE74" s="136"/>
    </row>
    <row r="75" customFormat="false" ht="15.75" hidden="false" customHeight="true" outlineLevel="0" collapsed="false">
      <c r="A75" s="138" t="n">
        <v>0</v>
      </c>
      <c r="B75" s="139" t="n">
        <v>45748</v>
      </c>
      <c r="C75" s="128" t="s">
        <v>275</v>
      </c>
      <c r="D75" s="128" t="s">
        <v>276</v>
      </c>
      <c r="E75" s="128" t="s">
        <v>118</v>
      </c>
      <c r="F75" s="154" t="n">
        <v>45778</v>
      </c>
      <c r="G75" s="140" t="n">
        <v>45838</v>
      </c>
      <c r="H75" s="128" t="s">
        <v>21</v>
      </c>
      <c r="I75" s="131" t="n">
        <v>18880</v>
      </c>
      <c r="J75" s="132"/>
      <c r="K75" s="132" t="n">
        <f aca="false">I75/2</f>
        <v>9440</v>
      </c>
      <c r="L75" s="127" t="n">
        <f aca="false">G75-F75+1</f>
        <v>61</v>
      </c>
      <c r="M75" s="128" t="n">
        <f aca="false">$H$1-F75+1</f>
        <v>0</v>
      </c>
      <c r="N75" s="132" t="n">
        <f aca="false">I75/L75*M75</f>
        <v>0</v>
      </c>
      <c r="O75" s="132" t="n">
        <f aca="false">$O$1-F75+1</f>
        <v>31</v>
      </c>
      <c r="P75" s="131" t="n">
        <f aca="false">O75*I75/L75</f>
        <v>9594.75409836066</v>
      </c>
      <c r="Q75" s="146" t="n">
        <f aca="false">I75/2</f>
        <v>9440</v>
      </c>
      <c r="R75" s="128" t="n">
        <v>30</v>
      </c>
      <c r="S75" s="147" t="n">
        <f aca="false">R75*I75/L75</f>
        <v>9285.24590163934</v>
      </c>
      <c r="T75" s="128"/>
      <c r="U75" s="132" t="n">
        <f aca="false">IF(F76&lt;$U$2,31,$U$2-F76)</f>
        <v>31</v>
      </c>
      <c r="V75" s="128"/>
      <c r="W75" s="141" t="n">
        <v>0</v>
      </c>
      <c r="X75" s="132" t="n">
        <v>0</v>
      </c>
      <c r="Y75" s="128" t="n">
        <v>0</v>
      </c>
      <c r="Z75" s="128"/>
      <c r="AA75" s="128"/>
      <c r="AB75" s="128"/>
      <c r="AC75" s="136"/>
      <c r="AD75" s="136"/>
      <c r="AE75" s="136"/>
    </row>
    <row r="76" customFormat="false" ht="15.75" hidden="false" customHeight="true" outlineLevel="0" collapsed="false">
      <c r="A76" s="138" t="n">
        <v>0</v>
      </c>
      <c r="B76" s="139" t="s">
        <v>277</v>
      </c>
      <c r="C76" s="128" t="s">
        <v>278</v>
      </c>
      <c r="D76" s="128" t="s">
        <v>279</v>
      </c>
      <c r="E76" s="128" t="s">
        <v>118</v>
      </c>
      <c r="F76" s="154" t="n">
        <v>45605</v>
      </c>
      <c r="G76" s="154" t="n">
        <v>45970</v>
      </c>
      <c r="H76" s="145" t="s">
        <v>10</v>
      </c>
      <c r="I76" s="131" t="n">
        <v>47988</v>
      </c>
      <c r="J76" s="132" t="n">
        <v>3999</v>
      </c>
      <c r="K76" s="132" t="n">
        <v>3999</v>
      </c>
      <c r="L76" s="127" t="n">
        <f aca="false">G76-F76+1</f>
        <v>366</v>
      </c>
      <c r="M76" s="128" t="n">
        <f aca="false">IF(F76&lt;H1,30,H1-G76)</f>
        <v>30</v>
      </c>
      <c r="N76" s="132" t="n">
        <f aca="false">I76/L76*M76</f>
        <v>3933.44262295082</v>
      </c>
      <c r="O76" s="132" t="n">
        <f aca="false">IF(F76&lt;$O$1,31,$O$1-F76)</f>
        <v>31</v>
      </c>
      <c r="P76" s="131" t="n">
        <f aca="false">O76*I76/L76</f>
        <v>4064.55737704918</v>
      </c>
      <c r="Q76" s="146" t="n">
        <f aca="false">I76/12</f>
        <v>3999</v>
      </c>
      <c r="R76" s="128" t="n">
        <f aca="false">IF(F76&lt;$R$2,30,$R$2-F76)</f>
        <v>30</v>
      </c>
      <c r="S76" s="146" t="n">
        <f aca="false">R76*I76/L76</f>
        <v>3933.44262295082</v>
      </c>
      <c r="T76" s="146" t="n">
        <f aca="false">I76/12</f>
        <v>3999</v>
      </c>
      <c r="U76" s="132" t="n">
        <f aca="false">IF(F77&lt;$U$2,31,$U$2-F77)</f>
        <v>31</v>
      </c>
      <c r="V76" s="131" t="n">
        <f aca="false">I76*U76/L76</f>
        <v>4064.55737704918</v>
      </c>
      <c r="W76" s="141" t="n">
        <f aca="false">IF(F76&lt;$W$2,31,$W$2-F76)</f>
        <v>31</v>
      </c>
      <c r="X76" s="132" t="n">
        <f aca="false">I76/12</f>
        <v>3999</v>
      </c>
      <c r="Y76" s="131" t="n">
        <f aca="false">I76*W76/L76</f>
        <v>4064.55737704918</v>
      </c>
      <c r="Z76" s="141" t="n">
        <f aca="false">IF(F76&lt;$Z$2,30,$Z$2-I76)</f>
        <v>30</v>
      </c>
      <c r="AA76" s="147" t="n">
        <f aca="false">I76/12</f>
        <v>3999</v>
      </c>
      <c r="AB76" s="147" t="n">
        <f aca="false">I76*Z76/L76</f>
        <v>3933.44262295082</v>
      </c>
      <c r="AC76" s="143"/>
      <c r="AD76" s="144"/>
      <c r="AE76" s="144"/>
    </row>
    <row r="77" customFormat="false" ht="15.75" hidden="false" customHeight="true" outlineLevel="0" collapsed="false">
      <c r="A77" s="138" t="n">
        <v>0</v>
      </c>
      <c r="B77" s="139" t="s">
        <v>280</v>
      </c>
      <c r="C77" s="128" t="s">
        <v>281</v>
      </c>
      <c r="D77" s="128" t="s">
        <v>282</v>
      </c>
      <c r="E77" s="128" t="s">
        <v>118</v>
      </c>
      <c r="F77" s="140" t="n">
        <v>45637</v>
      </c>
      <c r="G77" s="140" t="n">
        <v>46002</v>
      </c>
      <c r="H77" s="145" t="s">
        <v>10</v>
      </c>
      <c r="I77" s="131" t="n">
        <f aca="false">5000*12</f>
        <v>60000</v>
      </c>
      <c r="J77" s="132" t="n">
        <v>5000</v>
      </c>
      <c r="K77" s="132" t="n">
        <v>5000</v>
      </c>
      <c r="L77" s="127" t="n">
        <f aca="false">G77-F77+1</f>
        <v>366</v>
      </c>
      <c r="M77" s="128" t="n">
        <f aca="false">IF(F77&gt;1-4-2025,30,H1-F77)</f>
        <v>30</v>
      </c>
      <c r="N77" s="132" t="n">
        <f aca="false">I77/L77*M77</f>
        <v>4918.03278688525</v>
      </c>
      <c r="O77" s="132" t="n">
        <f aca="false">IF(F77&lt;$O$1,31,$O$1-F77)</f>
        <v>31</v>
      </c>
      <c r="P77" s="131" t="n">
        <f aca="false">O77*I77/L77</f>
        <v>5081.96721311475</v>
      </c>
      <c r="Q77" s="146" t="n">
        <f aca="false">I77/12</f>
        <v>5000</v>
      </c>
      <c r="R77" s="128" t="n">
        <f aca="false">IF(F77&lt;$R$2,30,$R$2-F77)</f>
        <v>30</v>
      </c>
      <c r="S77" s="146" t="n">
        <f aca="false">R77*I77/L77</f>
        <v>4918.03278688525</v>
      </c>
      <c r="T77" s="146" t="n">
        <f aca="false">I77/12</f>
        <v>5000</v>
      </c>
      <c r="U77" s="132" t="n">
        <f aca="false">IF(F78&lt;$U$2,31,$U$2-F78)</f>
        <v>31</v>
      </c>
      <c r="V77" s="131" t="n">
        <f aca="false">I77*U77/L77</f>
        <v>5081.96721311475</v>
      </c>
      <c r="W77" s="141" t="n">
        <f aca="false">IF(F77&lt;$W$2,31,$W$2-F77)</f>
        <v>31</v>
      </c>
      <c r="X77" s="132" t="n">
        <f aca="false">I77/12</f>
        <v>5000</v>
      </c>
      <c r="Y77" s="131" t="n">
        <f aca="false">I77*W77/L77</f>
        <v>5081.96721311475</v>
      </c>
      <c r="Z77" s="141" t="n">
        <f aca="false">IF(F77&lt;$Z$2,30,$Z$2-I77)</f>
        <v>30</v>
      </c>
      <c r="AA77" s="147" t="n">
        <f aca="false">I77/12</f>
        <v>5000</v>
      </c>
      <c r="AB77" s="147" t="n">
        <f aca="false">I77*Z77/L77</f>
        <v>4918.03278688525</v>
      </c>
      <c r="AC77" s="143"/>
      <c r="AD77" s="144"/>
      <c r="AE77" s="144"/>
    </row>
    <row r="78" customFormat="false" ht="15.75" hidden="false" customHeight="true" outlineLevel="0" collapsed="false">
      <c r="A78" s="138" t="n">
        <v>0</v>
      </c>
      <c r="B78" s="139" t="s">
        <v>283</v>
      </c>
      <c r="C78" s="128" t="s">
        <v>284</v>
      </c>
      <c r="D78" s="128" t="s">
        <v>285</v>
      </c>
      <c r="E78" s="128" t="s">
        <v>118</v>
      </c>
      <c r="F78" s="140" t="n">
        <v>45594</v>
      </c>
      <c r="G78" s="140" t="n">
        <v>45959</v>
      </c>
      <c r="H78" s="145" t="s">
        <v>10</v>
      </c>
      <c r="I78" s="131" t="n">
        <f aca="false">8000*12</f>
        <v>96000</v>
      </c>
      <c r="J78" s="132" t="n">
        <v>8000</v>
      </c>
      <c r="K78" s="132" t="n">
        <v>8000</v>
      </c>
      <c r="L78" s="127" t="n">
        <f aca="false">G78-F78+1</f>
        <v>366</v>
      </c>
      <c r="M78" s="128" t="n">
        <f aca="false">IF(F78&gt;1-4-2025,30,H3-F78)</f>
        <v>30</v>
      </c>
      <c r="N78" s="132" t="n">
        <f aca="false">I78/L78*M78</f>
        <v>7868.85245901639</v>
      </c>
      <c r="O78" s="132" t="n">
        <f aca="false">IF(F78&lt;$O$1,31,$O$1-F78)</f>
        <v>31</v>
      </c>
      <c r="P78" s="131" t="n">
        <f aca="false">O78*I78/L78</f>
        <v>8131.14754098361</v>
      </c>
      <c r="Q78" s="146" t="n">
        <f aca="false">I78/12</f>
        <v>8000</v>
      </c>
      <c r="R78" s="128" t="n">
        <f aca="false">IF(F78&lt;$R$2,30,$R$2-F78)</f>
        <v>30</v>
      </c>
      <c r="S78" s="146" t="n">
        <f aca="false">R78*I78/L78</f>
        <v>7868.85245901639</v>
      </c>
      <c r="T78" s="146" t="n">
        <f aca="false">I78/12</f>
        <v>8000</v>
      </c>
      <c r="U78" s="132" t="n">
        <f aca="false">IF(F79&lt;$U$2,31,$U$2-F79)</f>
        <v>31</v>
      </c>
      <c r="V78" s="131" t="n">
        <f aca="false">I78*U78/L78</f>
        <v>8131.14754098361</v>
      </c>
      <c r="W78" s="141" t="n">
        <f aca="false">IF(F78&lt;$W$2,31,$W$2-F78)</f>
        <v>31</v>
      </c>
      <c r="X78" s="132" t="n">
        <f aca="false">I78/12</f>
        <v>8000</v>
      </c>
      <c r="Y78" s="131" t="n">
        <f aca="false">I78*W78/L78</f>
        <v>8131.14754098361</v>
      </c>
      <c r="Z78" s="141" t="n">
        <f aca="false">IF(F78&lt;$Z$2,30,$Z$2-I78)</f>
        <v>30</v>
      </c>
      <c r="AA78" s="147" t="n">
        <f aca="false">I78/12</f>
        <v>8000</v>
      </c>
      <c r="AB78" s="147" t="n">
        <f aca="false">I78*Z78/L78</f>
        <v>7868.85245901639</v>
      </c>
      <c r="AC78" s="143"/>
      <c r="AD78" s="136"/>
      <c r="AE78" s="144"/>
    </row>
    <row r="79" s="137" customFormat="true" ht="15.75" hidden="false" customHeight="true" outlineLevel="0" collapsed="false">
      <c r="A79" s="125" t="n">
        <v>0</v>
      </c>
      <c r="B79" s="126" t="n">
        <v>45778</v>
      </c>
      <c r="C79" s="127" t="s">
        <v>286</v>
      </c>
      <c r="D79" s="127" t="s">
        <v>287</v>
      </c>
      <c r="E79" s="128" t="s">
        <v>132</v>
      </c>
      <c r="F79" s="129" t="n">
        <v>45779</v>
      </c>
      <c r="G79" s="129" t="n">
        <v>45809</v>
      </c>
      <c r="H79" s="142" t="s">
        <v>19</v>
      </c>
      <c r="I79" s="131" t="n">
        <v>11800</v>
      </c>
      <c r="J79" s="132"/>
      <c r="K79" s="132" t="n">
        <v>11800</v>
      </c>
      <c r="L79" s="127" t="n">
        <f aca="false">G79-F79+1</f>
        <v>31</v>
      </c>
      <c r="M79" s="127"/>
      <c r="N79" s="132"/>
      <c r="O79" s="132" t="n">
        <f aca="false">$O$1-F79+1</f>
        <v>30</v>
      </c>
      <c r="P79" s="131" t="n">
        <f aca="false">O79*I79/L79</f>
        <v>11419.3548387097</v>
      </c>
      <c r="Q79" s="127"/>
      <c r="R79" s="127" t="n">
        <v>1</v>
      </c>
      <c r="S79" s="134" t="n">
        <f aca="false">R79*I79/L79</f>
        <v>380.645161290323</v>
      </c>
      <c r="T79" s="127"/>
      <c r="U79" s="132" t="n">
        <f aca="false">IF(F80&lt;$U$2,31,$U$2-F80)</f>
        <v>31</v>
      </c>
      <c r="V79" s="127"/>
      <c r="W79" s="135" t="n">
        <v>0</v>
      </c>
      <c r="X79" s="132" t="n">
        <v>0</v>
      </c>
      <c r="Y79" s="127" t="n">
        <v>0</v>
      </c>
      <c r="Z79" s="127"/>
      <c r="AA79" s="127"/>
      <c r="AB79" s="127"/>
      <c r="AC79" s="136"/>
      <c r="AD79" s="136"/>
      <c r="AE79" s="136"/>
    </row>
    <row r="80" s="137" customFormat="true" ht="15.75" hidden="false" customHeight="true" outlineLevel="0" collapsed="false">
      <c r="A80" s="125" t="n">
        <v>0</v>
      </c>
      <c r="B80" s="126" t="n">
        <v>45778</v>
      </c>
      <c r="C80" s="127" t="s">
        <v>288</v>
      </c>
      <c r="D80" s="127" t="s">
        <v>289</v>
      </c>
      <c r="E80" s="128" t="s">
        <v>132</v>
      </c>
      <c r="F80" s="129" t="n">
        <v>45779</v>
      </c>
      <c r="G80" s="129" t="n">
        <v>45809</v>
      </c>
      <c r="H80" s="142" t="s">
        <v>19</v>
      </c>
      <c r="I80" s="131" t="n">
        <v>17700</v>
      </c>
      <c r="J80" s="132"/>
      <c r="K80" s="132" t="n">
        <v>17700</v>
      </c>
      <c r="L80" s="127" t="n">
        <f aca="false">G80-F80+1</f>
        <v>31</v>
      </c>
      <c r="M80" s="127"/>
      <c r="N80" s="132"/>
      <c r="O80" s="132" t="n">
        <f aca="false">$O$1-F80+1</f>
        <v>30</v>
      </c>
      <c r="P80" s="131" t="n">
        <f aca="false">O80*I80/L80</f>
        <v>17129.0322580645</v>
      </c>
      <c r="Q80" s="127"/>
      <c r="R80" s="127" t="n">
        <v>1</v>
      </c>
      <c r="S80" s="134" t="n">
        <f aca="false">R80*I80/L80</f>
        <v>570.967741935484</v>
      </c>
      <c r="T80" s="127"/>
      <c r="U80" s="132" t="n">
        <f aca="false">IF(F81&lt;$U$2,31,$U$2-F81)</f>
        <v>31</v>
      </c>
      <c r="V80" s="127"/>
      <c r="W80" s="135" t="n">
        <v>0</v>
      </c>
      <c r="X80" s="132" t="n">
        <v>0</v>
      </c>
      <c r="Y80" s="127" t="n">
        <v>0</v>
      </c>
      <c r="Z80" s="127"/>
      <c r="AA80" s="127"/>
      <c r="AB80" s="127"/>
      <c r="AC80" s="136"/>
      <c r="AD80" s="136"/>
      <c r="AE80" s="136"/>
    </row>
    <row r="81" s="137" customFormat="true" ht="15.75" hidden="false" customHeight="true" outlineLevel="0" collapsed="false">
      <c r="A81" s="125" t="s">
        <v>119</v>
      </c>
      <c r="B81" s="126" t="n">
        <v>45778</v>
      </c>
      <c r="C81" s="127" t="s">
        <v>271</v>
      </c>
      <c r="D81" s="127" t="s">
        <v>290</v>
      </c>
      <c r="E81" s="128" t="s">
        <v>132</v>
      </c>
      <c r="F81" s="129" t="n">
        <v>45778</v>
      </c>
      <c r="G81" s="129" t="n">
        <v>45808</v>
      </c>
      <c r="H81" s="142" t="s">
        <v>19</v>
      </c>
      <c r="I81" s="131" t="n">
        <v>11800</v>
      </c>
      <c r="J81" s="132"/>
      <c r="K81" s="132" t="n">
        <v>11800</v>
      </c>
      <c r="L81" s="127" t="n">
        <f aca="false">G81-F81+1</f>
        <v>31</v>
      </c>
      <c r="M81" s="127"/>
      <c r="N81" s="132"/>
      <c r="O81" s="132" t="n">
        <f aca="false">$O$1-F81+1</f>
        <v>31</v>
      </c>
      <c r="P81" s="131" t="n">
        <f aca="false">O81*I81/L81</f>
        <v>11800</v>
      </c>
      <c r="Q81" s="127"/>
      <c r="R81" s="127" t="n">
        <f aca="false">IF(F81&lt;$R$2,30,$R$2-F81)</f>
        <v>30</v>
      </c>
      <c r="S81" s="127"/>
      <c r="T81" s="127"/>
      <c r="U81" s="132" t="n">
        <f aca="false">IF(F82&lt;$U$2,31,$U$2-F82)</f>
        <v>31</v>
      </c>
      <c r="V81" s="127"/>
      <c r="W81" s="135" t="n">
        <v>0</v>
      </c>
      <c r="X81" s="132" t="n">
        <v>0</v>
      </c>
      <c r="Y81" s="127" t="n">
        <v>0</v>
      </c>
      <c r="Z81" s="127"/>
      <c r="AA81" s="127"/>
      <c r="AB81" s="127"/>
      <c r="AC81" s="136"/>
      <c r="AD81" s="136"/>
      <c r="AE81" s="136"/>
    </row>
    <row r="82" customFormat="false" ht="15.75" hidden="false" customHeight="true" outlineLevel="0" collapsed="false">
      <c r="A82" s="138" t="n">
        <v>0</v>
      </c>
      <c r="B82" s="139" t="n">
        <v>45778</v>
      </c>
      <c r="C82" s="128" t="s">
        <v>291</v>
      </c>
      <c r="D82" s="128" t="s">
        <v>292</v>
      </c>
      <c r="E82" s="128" t="s">
        <v>118</v>
      </c>
      <c r="F82" s="140" t="n">
        <v>45780</v>
      </c>
      <c r="G82" s="140" t="n">
        <v>46144</v>
      </c>
      <c r="H82" s="145" t="s">
        <v>9</v>
      </c>
      <c r="I82" s="131" t="n">
        <v>47988</v>
      </c>
      <c r="J82" s="132"/>
      <c r="K82" s="132" t="n">
        <f aca="false">I82/12</f>
        <v>3999</v>
      </c>
      <c r="L82" s="127" t="n">
        <f aca="false">G82-F82+1</f>
        <v>365</v>
      </c>
      <c r="M82" s="128"/>
      <c r="N82" s="132"/>
      <c r="O82" s="132" t="n">
        <f aca="false">$O$1-F82+1</f>
        <v>29</v>
      </c>
      <c r="P82" s="131" t="n">
        <f aca="false">O82*I82/L82</f>
        <v>3812.74520547945</v>
      </c>
      <c r="Q82" s="146" t="n">
        <f aca="false">I82/12</f>
        <v>3999</v>
      </c>
      <c r="R82" s="128" t="n">
        <f aca="false">IF(F82&lt;$R$2,30,$R$2-F82)</f>
        <v>30</v>
      </c>
      <c r="S82" s="146" t="n">
        <f aca="false">R82*I82/L82</f>
        <v>3944.21917808219</v>
      </c>
      <c r="T82" s="146" t="n">
        <f aca="false">I82/12</f>
        <v>3999</v>
      </c>
      <c r="U82" s="132" t="n">
        <f aca="false">IF(F83&lt;$U$2,31,$U$2-F83)</f>
        <v>31</v>
      </c>
      <c r="V82" s="131" t="n">
        <f aca="false">I82*U82/L82</f>
        <v>4075.69315068493</v>
      </c>
      <c r="W82" s="141" t="n">
        <f aca="false">IF(F82&lt;$W$2,31,$W$2-F82)</f>
        <v>31</v>
      </c>
      <c r="X82" s="132" t="n">
        <f aca="false">I82/12</f>
        <v>3999</v>
      </c>
      <c r="Y82" s="131" t="n">
        <f aca="false">I82*W82/L82</f>
        <v>4075.69315068493</v>
      </c>
      <c r="Z82" s="141" t="n">
        <f aca="false">IF(F82&lt;$Z$2,30,$Z$2-I82)</f>
        <v>30</v>
      </c>
      <c r="AA82" s="147" t="n">
        <f aca="false">I82/12</f>
        <v>3999</v>
      </c>
      <c r="AB82" s="147" t="n">
        <f aca="false">I82*Z82/L82</f>
        <v>3944.21917808219</v>
      </c>
      <c r="AC82" s="143"/>
      <c r="AD82" s="144"/>
      <c r="AE82" s="144"/>
    </row>
    <row r="83" customFormat="false" ht="15.75" hidden="false" customHeight="true" outlineLevel="0" collapsed="false">
      <c r="A83" s="138" t="n">
        <v>0</v>
      </c>
      <c r="B83" s="139" t="n">
        <v>45778</v>
      </c>
      <c r="C83" s="128" t="s">
        <v>293</v>
      </c>
      <c r="D83" s="128" t="s">
        <v>294</v>
      </c>
      <c r="E83" s="128" t="s">
        <v>118</v>
      </c>
      <c r="F83" s="140" t="n">
        <v>45782</v>
      </c>
      <c r="G83" s="140" t="n">
        <v>46146</v>
      </c>
      <c r="H83" s="145" t="s">
        <v>9</v>
      </c>
      <c r="I83" s="131" t="n">
        <v>76464</v>
      </c>
      <c r="J83" s="132"/>
      <c r="K83" s="132" t="n">
        <f aca="false">I83/12</f>
        <v>6372</v>
      </c>
      <c r="L83" s="127" t="n">
        <f aca="false">G83-F83+1</f>
        <v>365</v>
      </c>
      <c r="M83" s="128"/>
      <c r="N83" s="132"/>
      <c r="O83" s="132" t="n">
        <f aca="false">$O$1-F83+1</f>
        <v>27</v>
      </c>
      <c r="P83" s="131" t="n">
        <f aca="false">O83*I83/L83</f>
        <v>5656.24109589041</v>
      </c>
      <c r="Q83" s="146" t="n">
        <f aca="false">I83/12</f>
        <v>6372</v>
      </c>
      <c r="R83" s="128" t="n">
        <f aca="false">IF(F83&lt;$R$2,30,$R$2-F83)</f>
        <v>30</v>
      </c>
      <c r="S83" s="146" t="n">
        <f aca="false">R83*I83/L83</f>
        <v>6284.71232876712</v>
      </c>
      <c r="T83" s="146" t="n">
        <f aca="false">I83/12</f>
        <v>6372</v>
      </c>
      <c r="U83" s="132" t="n">
        <f aca="false">IF(F84&lt;$U$2,31,$U$2-F84)</f>
        <v>31</v>
      </c>
      <c r="V83" s="131" t="n">
        <f aca="false">I83*U83/L83</f>
        <v>6494.20273972603</v>
      </c>
      <c r="W83" s="141" t="n">
        <f aca="false">IF(F83&lt;$W$2,31,$W$2-F83)</f>
        <v>31</v>
      </c>
      <c r="X83" s="132" t="n">
        <f aca="false">I83/12</f>
        <v>6372</v>
      </c>
      <c r="Y83" s="131" t="n">
        <f aca="false">I83*W83/L83</f>
        <v>6494.20273972603</v>
      </c>
      <c r="Z83" s="141" t="n">
        <f aca="false">IF(F83&lt;$Z$2,30,$Z$2-I83)</f>
        <v>30</v>
      </c>
      <c r="AA83" s="147" t="n">
        <f aca="false">I83/12</f>
        <v>6372</v>
      </c>
      <c r="AB83" s="147" t="n">
        <f aca="false">I83*Z83/L83</f>
        <v>6284.71232876712</v>
      </c>
      <c r="AC83" s="143"/>
      <c r="AD83" s="144"/>
      <c r="AE83" s="144"/>
    </row>
    <row r="84" s="137" customFormat="true" ht="15.75" hidden="false" customHeight="true" outlineLevel="0" collapsed="false">
      <c r="A84" s="125"/>
      <c r="B84" s="126" t="s">
        <v>295</v>
      </c>
      <c r="C84" s="127" t="s">
        <v>296</v>
      </c>
      <c r="D84" s="127" t="s">
        <v>297</v>
      </c>
      <c r="E84" s="128" t="s">
        <v>132</v>
      </c>
      <c r="F84" s="129" t="n">
        <v>45727</v>
      </c>
      <c r="G84" s="129" t="n">
        <v>45910</v>
      </c>
      <c r="H84" s="156" t="s">
        <v>28</v>
      </c>
      <c r="I84" s="131" t="n">
        <f aca="false">5900*6</f>
        <v>35400</v>
      </c>
      <c r="J84" s="132" t="n">
        <f aca="false">I84/6</f>
        <v>5900</v>
      </c>
      <c r="K84" s="132" t="n">
        <v>5900</v>
      </c>
      <c r="L84" s="127" t="n">
        <f aca="false">G84-F84+1</f>
        <v>184</v>
      </c>
      <c r="M84" s="127" t="n">
        <v>30</v>
      </c>
      <c r="N84" s="132" t="n">
        <f aca="false">M84*I84/L84</f>
        <v>5771.73913043478</v>
      </c>
      <c r="O84" s="132" t="n">
        <v>31</v>
      </c>
      <c r="P84" s="131" t="n">
        <f aca="false">O84*I84/L84</f>
        <v>5964.13043478261</v>
      </c>
      <c r="Q84" s="133" t="n">
        <v>5900</v>
      </c>
      <c r="R84" s="127" t="n">
        <f aca="false">IF(F84&lt;$R$2,30,$R$2-F84)</f>
        <v>30</v>
      </c>
      <c r="S84" s="134" t="n">
        <f aca="false">R84*I84/L84</f>
        <v>5771.73913043478</v>
      </c>
      <c r="T84" s="133" t="n">
        <f aca="false">I84/6</f>
        <v>5900</v>
      </c>
      <c r="U84" s="132" t="n">
        <f aca="false">IF(F85&lt;$U$2,31,$U$2-F85)</f>
        <v>31</v>
      </c>
      <c r="V84" s="131" t="n">
        <f aca="false">I84*U84/L84</f>
        <v>5964.13043478261</v>
      </c>
      <c r="W84" s="135" t="n">
        <f aca="false">IF(F84&lt;$W$2,31,$W$2-F84)</f>
        <v>31</v>
      </c>
      <c r="X84" s="132" t="n">
        <f aca="false">I84/6</f>
        <v>5900</v>
      </c>
      <c r="Y84" s="131" t="n">
        <f aca="false">I84*W84/L84</f>
        <v>5964.13043478261</v>
      </c>
      <c r="Z84" s="135" t="n">
        <v>10</v>
      </c>
      <c r="AA84" s="134"/>
      <c r="AB84" s="134" t="n">
        <f aca="false">I84*Z84/L84</f>
        <v>1923.91304347826</v>
      </c>
      <c r="AC84" s="136"/>
      <c r="AD84" s="136"/>
      <c r="AE84" s="136"/>
    </row>
    <row r="85" s="137" customFormat="true" ht="15.75" hidden="false" customHeight="true" outlineLevel="0" collapsed="false">
      <c r="A85" s="125" t="n">
        <v>0</v>
      </c>
      <c r="B85" s="126" t="s">
        <v>298</v>
      </c>
      <c r="C85" s="127" t="s">
        <v>299</v>
      </c>
      <c r="D85" s="152" t="s">
        <v>300</v>
      </c>
      <c r="E85" s="128" t="s">
        <v>118</v>
      </c>
      <c r="F85" s="129" t="n">
        <v>45783</v>
      </c>
      <c r="G85" s="129" t="n">
        <v>46117</v>
      </c>
      <c r="H85" s="151" t="s">
        <v>10</v>
      </c>
      <c r="I85" s="131" t="n">
        <f aca="false">11800*12-11800</f>
        <v>129800</v>
      </c>
      <c r="J85" s="132"/>
      <c r="K85" s="132" t="n">
        <f aca="false">I85/12</f>
        <v>10816.6666666667</v>
      </c>
      <c r="L85" s="127" t="n">
        <f aca="false">G85-F85+1</f>
        <v>335</v>
      </c>
      <c r="M85" s="127"/>
      <c r="N85" s="132"/>
      <c r="O85" s="132" t="n">
        <f aca="false">O1-F85+1</f>
        <v>26</v>
      </c>
      <c r="P85" s="131" t="n">
        <f aca="false">O85*I85/L85</f>
        <v>10074.0298507463</v>
      </c>
      <c r="Q85" s="133" t="n">
        <f aca="false">I85/12</f>
        <v>10816.6666666667</v>
      </c>
      <c r="R85" s="127" t="n">
        <v>30</v>
      </c>
      <c r="S85" s="133" t="n">
        <v>11638.3561643836</v>
      </c>
      <c r="T85" s="133" t="n">
        <f aca="false">I85/12</f>
        <v>10816.6666666667</v>
      </c>
      <c r="U85" s="132" t="n">
        <v>31</v>
      </c>
      <c r="V85" s="131" t="n">
        <v>12026.301369863</v>
      </c>
      <c r="W85" s="135" t="n">
        <v>31</v>
      </c>
      <c r="X85" s="132" t="n">
        <f aca="false">I85/12</f>
        <v>10816.6666666667</v>
      </c>
      <c r="Y85" s="131" t="n">
        <v>12026.301369863</v>
      </c>
      <c r="Z85" s="135" t="n">
        <f aca="false">IF(F85&lt;$Z$2,30,$Z$2-I85)</f>
        <v>30</v>
      </c>
      <c r="AA85" s="134" t="n">
        <f aca="false">I85/12</f>
        <v>10816.6666666667</v>
      </c>
      <c r="AB85" s="134" t="n">
        <f aca="false">Z85*I85/L85</f>
        <v>11623.8805970149</v>
      </c>
      <c r="AC85" s="143"/>
      <c r="AD85" s="144"/>
      <c r="AE85" s="144"/>
    </row>
    <row r="86" s="137" customFormat="true" ht="15.75" hidden="false" customHeight="true" outlineLevel="0" collapsed="false">
      <c r="A86" s="125" t="n">
        <v>0</v>
      </c>
      <c r="B86" s="126" t="n">
        <v>45778</v>
      </c>
      <c r="C86" s="127" t="s">
        <v>301</v>
      </c>
      <c r="D86" s="127" t="s">
        <v>302</v>
      </c>
      <c r="E86" s="128" t="s">
        <v>118</v>
      </c>
      <c r="F86" s="129" t="n">
        <v>45783</v>
      </c>
      <c r="G86" s="129" t="n">
        <v>45813</v>
      </c>
      <c r="H86" s="142" t="s">
        <v>19</v>
      </c>
      <c r="I86" s="131" t="n">
        <v>16520</v>
      </c>
      <c r="J86" s="132"/>
      <c r="K86" s="132" t="n">
        <v>16520</v>
      </c>
      <c r="L86" s="127" t="n">
        <f aca="false">G86-F86+1</f>
        <v>31</v>
      </c>
      <c r="M86" s="127"/>
      <c r="N86" s="132"/>
      <c r="O86" s="132" t="n">
        <f aca="false">$O$1-F86+1</f>
        <v>26</v>
      </c>
      <c r="P86" s="131" t="n">
        <f aca="false">O86*I86/L86</f>
        <v>13855.4838709677</v>
      </c>
      <c r="Q86" s="127"/>
      <c r="R86" s="127" t="n">
        <v>5</v>
      </c>
      <c r="S86" s="134" t="n">
        <f aca="false">R86*I86/L86</f>
        <v>2664.51612903226</v>
      </c>
      <c r="T86" s="127"/>
      <c r="U86" s="132" t="n">
        <f aca="false">IF(F87&lt;$U$2,31,$U$2-F87)</f>
        <v>31</v>
      </c>
      <c r="V86" s="127"/>
      <c r="W86" s="135" t="n">
        <v>0</v>
      </c>
      <c r="X86" s="132" t="n">
        <v>0</v>
      </c>
      <c r="Y86" s="127" t="n">
        <v>0</v>
      </c>
      <c r="Z86" s="127"/>
      <c r="AA86" s="127"/>
      <c r="AB86" s="127"/>
      <c r="AC86" s="136"/>
      <c r="AD86" s="136"/>
      <c r="AE86" s="136"/>
    </row>
    <row r="87" customFormat="false" ht="15.75" hidden="false" customHeight="true" outlineLevel="0" collapsed="false">
      <c r="A87" s="138" t="n">
        <v>0</v>
      </c>
      <c r="B87" s="139" t="n">
        <v>45778</v>
      </c>
      <c r="C87" s="128" t="s">
        <v>303</v>
      </c>
      <c r="D87" s="128" t="s">
        <v>304</v>
      </c>
      <c r="E87" s="128" t="s">
        <v>118</v>
      </c>
      <c r="F87" s="140" t="n">
        <v>45784</v>
      </c>
      <c r="G87" s="140" t="n">
        <v>45875</v>
      </c>
      <c r="H87" s="150" t="s">
        <v>24</v>
      </c>
      <c r="I87" s="131" t="n">
        <v>37760</v>
      </c>
      <c r="J87" s="132"/>
      <c r="K87" s="132" t="n">
        <f aca="false">I87/3</f>
        <v>12586.6666666667</v>
      </c>
      <c r="L87" s="127" t="n">
        <f aca="false">G87-F87+1</f>
        <v>92</v>
      </c>
      <c r="M87" s="128"/>
      <c r="N87" s="132"/>
      <c r="O87" s="132" t="n">
        <f aca="false">$O$1-F87+1</f>
        <v>25</v>
      </c>
      <c r="P87" s="131" t="n">
        <f aca="false">O87*I87/L87</f>
        <v>10260.8695652174</v>
      </c>
      <c r="Q87" s="146" t="n">
        <f aca="false">I87/3</f>
        <v>12586.6666666667</v>
      </c>
      <c r="R87" s="128" t="n">
        <f aca="false">IF(F87&lt;$R$2,30,$R$2-F87)</f>
        <v>30</v>
      </c>
      <c r="S87" s="146" t="n">
        <f aca="false">R87*I87/L87</f>
        <v>12313.0434782609</v>
      </c>
      <c r="T87" s="147" t="n">
        <f aca="false">I87/3</f>
        <v>12586.6666666667</v>
      </c>
      <c r="U87" s="132" t="n">
        <f aca="false">IF(F88&lt;$U$2,31,$U$2-F88)</f>
        <v>31</v>
      </c>
      <c r="V87" s="131" t="n">
        <f aca="false">I87*U87/L87</f>
        <v>12723.4782608696</v>
      </c>
      <c r="W87" s="141" t="n">
        <f aca="false">G87-$W$1+1</f>
        <v>6</v>
      </c>
      <c r="X87" s="132" t="n">
        <v>0</v>
      </c>
      <c r="Y87" s="131" t="n">
        <f aca="false">I87*W87/L87</f>
        <v>2462.60869565217</v>
      </c>
      <c r="Z87" s="128"/>
      <c r="AA87" s="128"/>
      <c r="AB87" s="128"/>
      <c r="AC87" s="136"/>
      <c r="AD87" s="136"/>
      <c r="AE87" s="136"/>
    </row>
    <row r="88" customFormat="false" ht="15.75" hidden="false" customHeight="true" outlineLevel="0" collapsed="false">
      <c r="A88" s="138" t="n">
        <v>0</v>
      </c>
      <c r="B88" s="139" t="n">
        <v>45778</v>
      </c>
      <c r="C88" s="128" t="s">
        <v>305</v>
      </c>
      <c r="D88" s="128" t="s">
        <v>306</v>
      </c>
      <c r="E88" s="128" t="s">
        <v>132</v>
      </c>
      <c r="F88" s="140" t="n">
        <v>45785</v>
      </c>
      <c r="G88" s="140" t="n">
        <v>45815</v>
      </c>
      <c r="H88" s="145" t="s">
        <v>19</v>
      </c>
      <c r="I88" s="131" t="n">
        <v>4720</v>
      </c>
      <c r="J88" s="132"/>
      <c r="K88" s="132" t="n">
        <v>4720</v>
      </c>
      <c r="L88" s="127" t="n">
        <f aca="false">G88-F88+1</f>
        <v>31</v>
      </c>
      <c r="M88" s="128"/>
      <c r="N88" s="132"/>
      <c r="O88" s="132" t="n">
        <f aca="false">$O$1-F88+1</f>
        <v>24</v>
      </c>
      <c r="P88" s="131" t="n">
        <f aca="false">O88*I88/L88</f>
        <v>3654.1935483871</v>
      </c>
      <c r="Q88" s="128"/>
      <c r="R88" s="128" t="n">
        <v>7</v>
      </c>
      <c r="S88" s="147" t="n">
        <f aca="false">R88*I88/L88</f>
        <v>1065.8064516129</v>
      </c>
      <c r="T88" s="128"/>
      <c r="U88" s="132" t="n">
        <f aca="false">IF(F89&lt;$U$2,31,$U$2-F89)</f>
        <v>31</v>
      </c>
      <c r="V88" s="128"/>
      <c r="W88" s="141" t="n">
        <v>0</v>
      </c>
      <c r="X88" s="132" t="n">
        <v>0</v>
      </c>
      <c r="Y88" s="128" t="n">
        <v>0</v>
      </c>
      <c r="Z88" s="128"/>
      <c r="AA88" s="128"/>
      <c r="AB88" s="128"/>
      <c r="AC88" s="136"/>
      <c r="AD88" s="136"/>
      <c r="AE88" s="136"/>
    </row>
    <row r="89" customFormat="false" ht="15.75" hidden="false" customHeight="true" outlineLevel="0" collapsed="false">
      <c r="A89" s="138" t="n">
        <v>0</v>
      </c>
      <c r="B89" s="139" t="n">
        <v>45778</v>
      </c>
      <c r="C89" s="128" t="s">
        <v>307</v>
      </c>
      <c r="D89" s="128" t="s">
        <v>308</v>
      </c>
      <c r="E89" s="128" t="s">
        <v>118</v>
      </c>
      <c r="F89" s="140" t="n">
        <v>45789</v>
      </c>
      <c r="G89" s="140" t="n">
        <v>46153</v>
      </c>
      <c r="H89" s="145" t="s">
        <v>9</v>
      </c>
      <c r="I89" s="131" t="n">
        <v>254880</v>
      </c>
      <c r="J89" s="132"/>
      <c r="K89" s="132" t="n">
        <f aca="false">I89/12</f>
        <v>21240</v>
      </c>
      <c r="L89" s="127" t="n">
        <f aca="false">G89-F89+1</f>
        <v>365</v>
      </c>
      <c r="M89" s="128"/>
      <c r="N89" s="132"/>
      <c r="O89" s="132" t="n">
        <f aca="false">$O$1-F89+1</f>
        <v>20</v>
      </c>
      <c r="P89" s="131" t="n">
        <f aca="false">O89*I89/L89</f>
        <v>13966.0273972603</v>
      </c>
      <c r="Q89" s="146" t="n">
        <f aca="false">I89/12</f>
        <v>21240</v>
      </c>
      <c r="R89" s="128" t="n">
        <f aca="false">IF(F89&lt;$R$2,30,$R$2-F89)</f>
        <v>30</v>
      </c>
      <c r="S89" s="146" t="n">
        <f aca="false">R89*I89/L89</f>
        <v>20949.0410958904</v>
      </c>
      <c r="T89" s="146" t="n">
        <f aca="false">I89/12</f>
        <v>21240</v>
      </c>
      <c r="U89" s="132" t="n">
        <f aca="false">IF(F90&lt;$U$2,31,$U$2-F90)</f>
        <v>31</v>
      </c>
      <c r="V89" s="131" t="n">
        <f aca="false">I89*U89/L89</f>
        <v>21647.3424657534</v>
      </c>
      <c r="W89" s="141" t="n">
        <f aca="false">IF(F89&lt;$W$2,31,$W$2-F89)</f>
        <v>31</v>
      </c>
      <c r="X89" s="132" t="n">
        <f aca="false">I89/12</f>
        <v>21240</v>
      </c>
      <c r="Y89" s="131" t="n">
        <f aca="false">I89*W89/L89</f>
        <v>21647.3424657534</v>
      </c>
      <c r="Z89" s="141" t="n">
        <f aca="false">IF(F89&lt;$Z$2,30,$Z$2-I89)</f>
        <v>30</v>
      </c>
      <c r="AA89" s="147" t="n">
        <f aca="false">I89/12</f>
        <v>21240</v>
      </c>
      <c r="AB89" s="147" t="n">
        <f aca="false">I89*Z89/L89</f>
        <v>20949.0410958904</v>
      </c>
      <c r="AC89" s="143"/>
      <c r="AD89" s="144"/>
      <c r="AE89" s="144"/>
    </row>
    <row r="90" s="137" customFormat="true" ht="15.75" hidden="false" customHeight="true" outlineLevel="0" collapsed="false">
      <c r="A90" s="125" t="s">
        <v>119</v>
      </c>
      <c r="B90" s="126" t="n">
        <v>45778</v>
      </c>
      <c r="C90" s="127" t="s">
        <v>309</v>
      </c>
      <c r="D90" s="127" t="s">
        <v>310</v>
      </c>
      <c r="E90" s="128" t="s">
        <v>132</v>
      </c>
      <c r="F90" s="129" t="n">
        <v>45773</v>
      </c>
      <c r="G90" s="129" t="n">
        <v>45802</v>
      </c>
      <c r="H90" s="142" t="s">
        <v>19</v>
      </c>
      <c r="I90" s="131" t="n">
        <v>15000</v>
      </c>
      <c r="J90" s="132" t="n">
        <v>15000</v>
      </c>
      <c r="K90" s="132"/>
      <c r="L90" s="127" t="n">
        <f aca="false">G90-F90+1</f>
        <v>30</v>
      </c>
      <c r="M90" s="127" t="n">
        <f aca="false">H1-F90+1</f>
        <v>5</v>
      </c>
      <c r="N90" s="132" t="n">
        <f aca="false">I90/L90*M90</f>
        <v>2500</v>
      </c>
      <c r="O90" s="132" t="n">
        <f aca="false">L90-M90</f>
        <v>25</v>
      </c>
      <c r="P90" s="131" t="n">
        <f aca="false">O90*I90/L90</f>
        <v>12500</v>
      </c>
      <c r="Q90" s="127"/>
      <c r="R90" s="127" t="n">
        <f aca="false">IF(F90&lt;$R$2,30,$R$2-F90)</f>
        <v>30</v>
      </c>
      <c r="S90" s="127"/>
      <c r="T90" s="127"/>
      <c r="U90" s="132" t="n">
        <f aca="false">IF(F91&lt;$U$2,31,$U$2-F91)</f>
        <v>31</v>
      </c>
      <c r="V90" s="127"/>
      <c r="W90" s="135" t="n">
        <v>0</v>
      </c>
      <c r="X90" s="132" t="n">
        <v>0</v>
      </c>
      <c r="Y90" s="127" t="n">
        <v>0</v>
      </c>
      <c r="Z90" s="127"/>
      <c r="AA90" s="127"/>
      <c r="AB90" s="127"/>
      <c r="AC90" s="136"/>
      <c r="AD90" s="136"/>
      <c r="AE90" s="136"/>
    </row>
    <row r="91" s="137" customFormat="true" ht="15.75" hidden="false" customHeight="true" outlineLevel="0" collapsed="false">
      <c r="A91" s="125" t="n">
        <v>0</v>
      </c>
      <c r="B91" s="126" t="n">
        <v>45778</v>
      </c>
      <c r="C91" s="127" t="s">
        <v>311</v>
      </c>
      <c r="D91" s="127" t="s">
        <v>312</v>
      </c>
      <c r="E91" s="128" t="s">
        <v>118</v>
      </c>
      <c r="F91" s="129" t="n">
        <v>45793</v>
      </c>
      <c r="G91" s="129" t="n">
        <v>45823</v>
      </c>
      <c r="H91" s="142" t="s">
        <v>19</v>
      </c>
      <c r="I91" s="131" t="n">
        <v>15000</v>
      </c>
      <c r="J91" s="132"/>
      <c r="K91" s="132" t="n">
        <v>15000.0066</v>
      </c>
      <c r="L91" s="127" t="n">
        <f aca="false">G91-F91+1</f>
        <v>31</v>
      </c>
      <c r="M91" s="127"/>
      <c r="N91" s="132"/>
      <c r="O91" s="132" t="n">
        <f aca="false">$O$1-F91+1</f>
        <v>16</v>
      </c>
      <c r="P91" s="131" t="n">
        <f aca="false">O91*I91/L91</f>
        <v>7741.93548387097</v>
      </c>
      <c r="Q91" s="127"/>
      <c r="R91" s="127" t="n">
        <v>15</v>
      </c>
      <c r="S91" s="134" t="n">
        <f aca="false">R91*I91/L91</f>
        <v>7258.06451612903</v>
      </c>
      <c r="T91" s="127"/>
      <c r="U91" s="132" t="n">
        <f aca="false">IF(F92&lt;$U$2,31,$U$2-F92)</f>
        <v>31</v>
      </c>
      <c r="V91" s="127"/>
      <c r="W91" s="135" t="n">
        <v>0</v>
      </c>
      <c r="X91" s="132" t="n">
        <v>0</v>
      </c>
      <c r="Y91" s="127" t="n">
        <v>0</v>
      </c>
      <c r="Z91" s="127"/>
      <c r="AA91" s="127"/>
      <c r="AB91" s="127"/>
      <c r="AC91" s="136"/>
      <c r="AD91" s="136"/>
      <c r="AE91" s="136"/>
    </row>
    <row r="92" customFormat="false" ht="15.75" hidden="false" customHeight="true" outlineLevel="0" collapsed="false">
      <c r="A92" s="138" t="n">
        <v>0</v>
      </c>
      <c r="B92" s="139" t="n">
        <v>45778</v>
      </c>
      <c r="C92" s="128" t="s">
        <v>313</v>
      </c>
      <c r="D92" s="128" t="s">
        <v>314</v>
      </c>
      <c r="E92" s="128" t="s">
        <v>132</v>
      </c>
      <c r="F92" s="140" t="n">
        <v>45789</v>
      </c>
      <c r="G92" s="140" t="n">
        <v>45819</v>
      </c>
      <c r="H92" s="145" t="s">
        <v>19</v>
      </c>
      <c r="I92" s="131" t="n">
        <v>7080</v>
      </c>
      <c r="J92" s="132"/>
      <c r="K92" s="132" t="n">
        <v>7080</v>
      </c>
      <c r="L92" s="127" t="n">
        <f aca="false">G92-F92+1</f>
        <v>31</v>
      </c>
      <c r="M92" s="128"/>
      <c r="N92" s="132"/>
      <c r="O92" s="132" t="n">
        <f aca="false">$O$1-F92+1</f>
        <v>20</v>
      </c>
      <c r="P92" s="131" t="n">
        <f aca="false">O92*I92/L92</f>
        <v>4567.74193548387</v>
      </c>
      <c r="Q92" s="128"/>
      <c r="R92" s="128" t="n">
        <v>11</v>
      </c>
      <c r="S92" s="147" t="n">
        <f aca="false">R92*I92/L92</f>
        <v>2512.25806451613</v>
      </c>
      <c r="T92" s="128"/>
      <c r="U92" s="132" t="n">
        <f aca="false">IF(F93&lt;$U$2,31,$U$2-F93)</f>
        <v>31</v>
      </c>
      <c r="V92" s="128"/>
      <c r="W92" s="141" t="n">
        <v>0</v>
      </c>
      <c r="X92" s="132" t="n">
        <v>0</v>
      </c>
      <c r="Y92" s="128" t="n">
        <v>0</v>
      </c>
      <c r="Z92" s="128"/>
      <c r="AA92" s="128"/>
      <c r="AB92" s="128"/>
      <c r="AC92" s="136"/>
      <c r="AD92" s="136"/>
      <c r="AE92" s="136"/>
    </row>
    <row r="93" s="137" customFormat="true" ht="15.75" hidden="false" customHeight="true" outlineLevel="0" collapsed="false">
      <c r="A93" s="125" t="n">
        <v>0</v>
      </c>
      <c r="B93" s="126" t="n">
        <v>45778</v>
      </c>
      <c r="C93" s="152" t="s">
        <v>209</v>
      </c>
      <c r="D93" s="127" t="s">
        <v>315</v>
      </c>
      <c r="E93" s="128" t="s">
        <v>118</v>
      </c>
      <c r="F93" s="129" t="n">
        <v>45790</v>
      </c>
      <c r="G93" s="129" t="n">
        <v>46154</v>
      </c>
      <c r="H93" s="142" t="s">
        <v>9</v>
      </c>
      <c r="I93" s="131" t="n">
        <v>177000</v>
      </c>
      <c r="J93" s="132"/>
      <c r="K93" s="132" t="n">
        <f aca="false">I93/12</f>
        <v>14750</v>
      </c>
      <c r="L93" s="127" t="n">
        <f aca="false">G93-F93+1</f>
        <v>365</v>
      </c>
      <c r="M93" s="127"/>
      <c r="N93" s="132"/>
      <c r="O93" s="132" t="n">
        <f aca="false">$O$1-F93+1</f>
        <v>19</v>
      </c>
      <c r="P93" s="131" t="n">
        <f aca="false">O93*I93/L93</f>
        <v>9213.69863013699</v>
      </c>
      <c r="Q93" s="133" t="n">
        <f aca="false">I93/12</f>
        <v>14750</v>
      </c>
      <c r="R93" s="127" t="n">
        <f aca="false">IF(F93&lt;$R$2,30,$R$2-F93)</f>
        <v>30</v>
      </c>
      <c r="S93" s="133" t="n">
        <f aca="false">R93*I93/L93</f>
        <v>14547.9452054795</v>
      </c>
      <c r="T93" s="133" t="n">
        <f aca="false">I93/12</f>
        <v>14750</v>
      </c>
      <c r="U93" s="132" t="n">
        <f aca="false">IF(F94&lt;$U$2,31,$U$2-F94)</f>
        <v>31</v>
      </c>
      <c r="V93" s="131" t="n">
        <f aca="false">I93*U93/L93</f>
        <v>15032.8767123288</v>
      </c>
      <c r="W93" s="135" t="n">
        <f aca="false">IF(F93&lt;$W$2,31,$W$2-F93)</f>
        <v>31</v>
      </c>
      <c r="X93" s="132" t="n">
        <f aca="false">I93/12</f>
        <v>14750</v>
      </c>
      <c r="Y93" s="131" t="n">
        <f aca="false">I93*W93/L93</f>
        <v>15032.8767123288</v>
      </c>
      <c r="Z93" s="135" t="n">
        <f aca="false">IF(F93&lt;$Z$2,30,$Z$2-I93)</f>
        <v>30</v>
      </c>
      <c r="AA93" s="134" t="n">
        <f aca="false">I93/12</f>
        <v>14750</v>
      </c>
      <c r="AB93" s="134" t="n">
        <f aca="false">I93*Z93/L93</f>
        <v>14547.9452054795</v>
      </c>
      <c r="AC93" s="143"/>
      <c r="AD93" s="144"/>
      <c r="AE93" s="144"/>
    </row>
    <row r="94" s="137" customFormat="true" ht="15.75" hidden="false" customHeight="true" outlineLevel="0" collapsed="false">
      <c r="A94" s="125" t="n">
        <v>0</v>
      </c>
      <c r="B94" s="126" t="n">
        <v>45778</v>
      </c>
      <c r="C94" s="127" t="s">
        <v>316</v>
      </c>
      <c r="D94" s="127" t="s">
        <v>317</v>
      </c>
      <c r="E94" s="128" t="s">
        <v>132</v>
      </c>
      <c r="F94" s="129" t="n">
        <v>45791</v>
      </c>
      <c r="G94" s="129" t="n">
        <v>45821</v>
      </c>
      <c r="H94" s="142" t="s">
        <v>19</v>
      </c>
      <c r="I94" s="131" t="n">
        <v>14160</v>
      </c>
      <c r="J94" s="132"/>
      <c r="K94" s="132" t="n">
        <v>14160</v>
      </c>
      <c r="L94" s="127" t="n">
        <f aca="false">G94-F94+1</f>
        <v>31</v>
      </c>
      <c r="M94" s="127"/>
      <c r="N94" s="132"/>
      <c r="O94" s="132" t="n">
        <f aca="false">$O$1-F94+1</f>
        <v>18</v>
      </c>
      <c r="P94" s="131" t="n">
        <f aca="false">O94*I94/L94</f>
        <v>8221.93548387097</v>
      </c>
      <c r="Q94" s="127"/>
      <c r="R94" s="127" t="n">
        <v>13</v>
      </c>
      <c r="S94" s="134" t="n">
        <f aca="false">R94*I94/L94</f>
        <v>5938.06451612903</v>
      </c>
      <c r="T94" s="127"/>
      <c r="U94" s="132" t="n">
        <f aca="false">IF(F95&lt;$U$2,31,$U$2-F95)</f>
        <v>31</v>
      </c>
      <c r="V94" s="127"/>
      <c r="W94" s="135" t="n">
        <v>0</v>
      </c>
      <c r="X94" s="132" t="n">
        <v>0</v>
      </c>
      <c r="Y94" s="127" t="n">
        <v>0</v>
      </c>
      <c r="Z94" s="127"/>
      <c r="AA94" s="127"/>
      <c r="AB94" s="127"/>
      <c r="AC94" s="136"/>
      <c r="AD94" s="136"/>
      <c r="AE94" s="136"/>
    </row>
    <row r="95" s="137" customFormat="true" ht="15.75" hidden="false" customHeight="true" outlineLevel="0" collapsed="false">
      <c r="A95" s="125" t="n">
        <v>0</v>
      </c>
      <c r="B95" s="126" t="n">
        <v>45778</v>
      </c>
      <c r="C95" s="127" t="s">
        <v>318</v>
      </c>
      <c r="D95" s="127" t="s">
        <v>319</v>
      </c>
      <c r="E95" s="128" t="s">
        <v>118</v>
      </c>
      <c r="F95" s="129" t="n">
        <v>45781</v>
      </c>
      <c r="G95" s="129" t="n">
        <v>45873</v>
      </c>
      <c r="H95" s="130" t="s">
        <v>24</v>
      </c>
      <c r="I95" s="131" t="n">
        <v>22500</v>
      </c>
      <c r="J95" s="132"/>
      <c r="K95" s="132" t="n">
        <f aca="false">I95/3</f>
        <v>7500</v>
      </c>
      <c r="L95" s="127" t="n">
        <f aca="false">G95-F95+1</f>
        <v>93</v>
      </c>
      <c r="M95" s="127"/>
      <c r="N95" s="132"/>
      <c r="O95" s="132" t="n">
        <f aca="false">$O$1-F95+1</f>
        <v>28</v>
      </c>
      <c r="P95" s="131" t="n">
        <f aca="false">O95*I95/L95</f>
        <v>6774.1935483871</v>
      </c>
      <c r="Q95" s="133" t="n">
        <f aca="false">I95/3</f>
        <v>7500</v>
      </c>
      <c r="R95" s="127" t="n">
        <f aca="false">IF(F95&lt;$R$2,30,$R$2-F95)</f>
        <v>30</v>
      </c>
      <c r="S95" s="133" t="n">
        <f aca="false">R95*I95/L95</f>
        <v>7258.06451612903</v>
      </c>
      <c r="T95" s="134" t="n">
        <f aca="false">I95/3</f>
        <v>7500</v>
      </c>
      <c r="U95" s="132" t="n">
        <f aca="false">IF(F96&lt;$U$2,31,$U$2-F96)</f>
        <v>31</v>
      </c>
      <c r="V95" s="131" t="n">
        <f aca="false">I95*U95/L95</f>
        <v>7500</v>
      </c>
      <c r="W95" s="135" t="n">
        <f aca="false">G95-$W$1+1</f>
        <v>4</v>
      </c>
      <c r="X95" s="132" t="n">
        <v>0</v>
      </c>
      <c r="Y95" s="131" t="n">
        <f aca="false">I95*W95/L95</f>
        <v>967.741935483871</v>
      </c>
      <c r="Z95" s="127"/>
      <c r="AA95" s="127"/>
      <c r="AB95" s="127"/>
      <c r="AC95" s="136"/>
      <c r="AD95" s="136"/>
      <c r="AE95" s="136"/>
    </row>
    <row r="96" customFormat="false" ht="15.75" hidden="false" customHeight="true" outlineLevel="0" collapsed="false">
      <c r="A96" s="138" t="n">
        <v>0</v>
      </c>
      <c r="B96" s="139" t="n">
        <v>45778</v>
      </c>
      <c r="C96" s="128" t="s">
        <v>320</v>
      </c>
      <c r="D96" s="128" t="s">
        <v>321</v>
      </c>
      <c r="E96" s="128" t="s">
        <v>118</v>
      </c>
      <c r="F96" s="140" t="n">
        <v>45790</v>
      </c>
      <c r="G96" s="140" t="n">
        <v>45973</v>
      </c>
      <c r="H96" s="145" t="s">
        <v>29</v>
      </c>
      <c r="I96" s="131" t="n">
        <v>95580</v>
      </c>
      <c r="J96" s="132"/>
      <c r="K96" s="132" t="n">
        <f aca="false">I96/6</f>
        <v>15930</v>
      </c>
      <c r="L96" s="127" t="n">
        <f aca="false">G96-F96+1</f>
        <v>184</v>
      </c>
      <c r="M96" s="128"/>
      <c r="N96" s="132"/>
      <c r="O96" s="132" t="n">
        <f aca="false">$O$1-F96+1</f>
        <v>19</v>
      </c>
      <c r="P96" s="131" t="n">
        <f aca="false">O96*I96/L96</f>
        <v>9869.67391304348</v>
      </c>
      <c r="Q96" s="146" t="n">
        <f aca="false">I96/6</f>
        <v>15930</v>
      </c>
      <c r="R96" s="128" t="n">
        <f aca="false">IF(F96&lt;$R$2,30,$R$2-F96)</f>
        <v>30</v>
      </c>
      <c r="S96" s="146" t="n">
        <f aca="false">R96*I96/L96</f>
        <v>15583.6956521739</v>
      </c>
      <c r="T96" s="146" t="n">
        <f aca="false">I96/6</f>
        <v>15930</v>
      </c>
      <c r="U96" s="132" t="n">
        <f aca="false">IF(F97&lt;$U$2,31,$U$2-F97)</f>
        <v>31</v>
      </c>
      <c r="V96" s="131" t="n">
        <f aca="false">I96*U96/L96</f>
        <v>16103.152173913</v>
      </c>
      <c r="W96" s="141" t="n">
        <f aca="false">IF(F96&lt;$W$2,31,$W$2-F96)</f>
        <v>31</v>
      </c>
      <c r="X96" s="132" t="n">
        <f aca="false">I96/6</f>
        <v>15930</v>
      </c>
      <c r="Y96" s="131" t="n">
        <f aca="false">I96*W96/L96</f>
        <v>16103.152173913</v>
      </c>
      <c r="Z96" s="141" t="n">
        <f aca="false">IF(F96&lt;$Z$2,30,$Z$2-I96)</f>
        <v>30</v>
      </c>
      <c r="AA96" s="147" t="n">
        <f aca="false">I96/6</f>
        <v>15930</v>
      </c>
      <c r="AB96" s="147" t="n">
        <f aca="false">Z96*I96/L96</f>
        <v>15583.6956521739</v>
      </c>
      <c r="AC96" s="143"/>
      <c r="AD96" s="144"/>
      <c r="AE96" s="144"/>
    </row>
    <row r="97" s="137" customFormat="true" ht="15.75" hidden="false" customHeight="true" outlineLevel="0" collapsed="false">
      <c r="A97" s="125" t="n">
        <v>0</v>
      </c>
      <c r="B97" s="126" t="n">
        <v>45778</v>
      </c>
      <c r="C97" s="127" t="s">
        <v>322</v>
      </c>
      <c r="D97" s="127" t="s">
        <v>323</v>
      </c>
      <c r="E97" s="128" t="s">
        <v>118</v>
      </c>
      <c r="F97" s="129" t="n">
        <v>45782</v>
      </c>
      <c r="G97" s="129" t="n">
        <v>45813</v>
      </c>
      <c r="H97" s="142" t="s">
        <v>19</v>
      </c>
      <c r="I97" s="131" t="n">
        <v>23600</v>
      </c>
      <c r="J97" s="132"/>
      <c r="K97" s="132" t="n">
        <v>23600</v>
      </c>
      <c r="L97" s="127" t="n">
        <f aca="false">G97-F97+1</f>
        <v>32</v>
      </c>
      <c r="M97" s="127"/>
      <c r="N97" s="132"/>
      <c r="O97" s="132" t="n">
        <f aca="false">$O$1-F97+1</f>
        <v>27</v>
      </c>
      <c r="P97" s="131" t="n">
        <f aca="false">O97*I97/L97</f>
        <v>19912.5</v>
      </c>
      <c r="Q97" s="127"/>
      <c r="R97" s="127" t="n">
        <v>5</v>
      </c>
      <c r="S97" s="134" t="n">
        <f aca="false">R97*I97/L97</f>
        <v>3687.5</v>
      </c>
      <c r="T97" s="127"/>
      <c r="U97" s="132" t="n">
        <f aca="false">IF(F98&lt;$U$2,31,$U$2-F98)</f>
        <v>31</v>
      </c>
      <c r="V97" s="127"/>
      <c r="W97" s="135" t="n">
        <v>0</v>
      </c>
      <c r="X97" s="132" t="n">
        <v>0</v>
      </c>
      <c r="Y97" s="127" t="n">
        <v>0</v>
      </c>
      <c r="Z97" s="127"/>
      <c r="AA97" s="127"/>
      <c r="AB97" s="127"/>
      <c r="AC97" s="136"/>
      <c r="AD97" s="136"/>
      <c r="AE97" s="136"/>
    </row>
    <row r="98" s="137" customFormat="true" ht="15.75" hidden="false" customHeight="true" outlineLevel="0" collapsed="false">
      <c r="A98" s="125" t="n">
        <v>0</v>
      </c>
      <c r="B98" s="126" t="n">
        <v>45778</v>
      </c>
      <c r="C98" s="127" t="s">
        <v>324</v>
      </c>
      <c r="D98" s="127" t="s">
        <v>325</v>
      </c>
      <c r="E98" s="128" t="s">
        <v>118</v>
      </c>
      <c r="F98" s="129" t="n">
        <v>45793</v>
      </c>
      <c r="G98" s="129" t="n">
        <v>45854</v>
      </c>
      <c r="H98" s="127" t="s">
        <v>21</v>
      </c>
      <c r="I98" s="131" t="n">
        <v>118000</v>
      </c>
      <c r="J98" s="132"/>
      <c r="K98" s="132" t="n">
        <f aca="false">I98/2</f>
        <v>59000</v>
      </c>
      <c r="L98" s="127" t="n">
        <f aca="false">G98-F98+1</f>
        <v>62</v>
      </c>
      <c r="M98" s="127"/>
      <c r="N98" s="132"/>
      <c r="O98" s="132" t="n">
        <f aca="false">$O$1-F98+1</f>
        <v>16</v>
      </c>
      <c r="P98" s="131" t="n">
        <f aca="false">O98*I98/L98</f>
        <v>30451.6129032258</v>
      </c>
      <c r="Q98" s="133" t="n">
        <f aca="false">I98/2</f>
        <v>59000</v>
      </c>
      <c r="R98" s="127" t="n">
        <f aca="false">IF(F98&lt;$R$2,30,$R$2-F98)</f>
        <v>30</v>
      </c>
      <c r="S98" s="133" t="n">
        <f aca="false">R98*I98/L98</f>
        <v>57096.7741935484</v>
      </c>
      <c r="T98" s="127"/>
      <c r="U98" s="132" t="n">
        <f aca="false">G98-$R$2</f>
        <v>16</v>
      </c>
      <c r="V98" s="127" t="n">
        <f aca="false">U98*I98/L98</f>
        <v>30451.6129032258</v>
      </c>
      <c r="W98" s="135" t="n">
        <v>0</v>
      </c>
      <c r="X98" s="132" t="n">
        <v>0</v>
      </c>
      <c r="Y98" s="127" t="n">
        <v>0</v>
      </c>
      <c r="Z98" s="127"/>
      <c r="AA98" s="127"/>
      <c r="AB98" s="127"/>
      <c r="AC98" s="136"/>
      <c r="AD98" s="136"/>
      <c r="AE98" s="136"/>
    </row>
    <row r="99" customFormat="false" ht="15.75" hidden="false" customHeight="true" outlineLevel="0" collapsed="false">
      <c r="A99" s="138" t="n">
        <v>0</v>
      </c>
      <c r="B99" s="139" t="n">
        <v>45778</v>
      </c>
      <c r="C99" s="128" t="s">
        <v>326</v>
      </c>
      <c r="D99" s="128" t="s">
        <v>327</v>
      </c>
      <c r="E99" s="128" t="s">
        <v>118</v>
      </c>
      <c r="F99" s="140" t="n">
        <v>45793</v>
      </c>
      <c r="G99" s="140" t="n">
        <v>46157</v>
      </c>
      <c r="H99" s="145" t="s">
        <v>9</v>
      </c>
      <c r="I99" s="131" t="n">
        <v>64900</v>
      </c>
      <c r="J99" s="132"/>
      <c r="K99" s="132" t="n">
        <f aca="false">I99/12</f>
        <v>5408.33333333333</v>
      </c>
      <c r="L99" s="127" t="n">
        <f aca="false">G99-F99+1</f>
        <v>365</v>
      </c>
      <c r="M99" s="128"/>
      <c r="N99" s="132"/>
      <c r="O99" s="132" t="n">
        <f aca="false">$O$1-F99+1</f>
        <v>16</v>
      </c>
      <c r="P99" s="131" t="n">
        <f aca="false">O99*I99/L99</f>
        <v>2844.93150684932</v>
      </c>
      <c r="Q99" s="146" t="n">
        <f aca="false">I99/12</f>
        <v>5408.33333333333</v>
      </c>
      <c r="R99" s="128" t="n">
        <f aca="false">IF(F99&lt;$R$2,30,$R$2-F99)</f>
        <v>30</v>
      </c>
      <c r="S99" s="146" t="n">
        <f aca="false">R99*I99/L99</f>
        <v>5334.24657534247</v>
      </c>
      <c r="T99" s="146" t="n">
        <f aca="false">I99/12</f>
        <v>5408.33333333333</v>
      </c>
      <c r="U99" s="132" t="n">
        <f aca="false">IF(F100&lt;$U$2,31,$U$2-F100)</f>
        <v>31</v>
      </c>
      <c r="V99" s="131" t="n">
        <f aca="false">I99*U99/L99</f>
        <v>5512.05479452055</v>
      </c>
      <c r="W99" s="141" t="n">
        <f aca="false">IF(F99&lt;$W$2,31,$W$2-F99)</f>
        <v>31</v>
      </c>
      <c r="X99" s="132" t="n">
        <f aca="false">I99/12</f>
        <v>5408.33333333333</v>
      </c>
      <c r="Y99" s="131" t="n">
        <f aca="false">I99*W99/L99</f>
        <v>5512.05479452055</v>
      </c>
      <c r="Z99" s="141" t="n">
        <f aca="false">IF(F99&lt;$Z$2,30,$Z$2-I99)</f>
        <v>30</v>
      </c>
      <c r="AA99" s="147" t="n">
        <f aca="false">I99/12</f>
        <v>5408.33333333333</v>
      </c>
      <c r="AB99" s="147" t="n">
        <f aca="false">I99*Z99/L99</f>
        <v>5334.24657534247</v>
      </c>
      <c r="AC99" s="143"/>
      <c r="AD99" s="144"/>
      <c r="AE99" s="144"/>
    </row>
    <row r="100" s="137" customFormat="true" ht="15.75" hidden="false" customHeight="true" outlineLevel="0" collapsed="false">
      <c r="A100" s="125" t="n">
        <v>0</v>
      </c>
      <c r="B100" s="126" t="n">
        <v>45778</v>
      </c>
      <c r="C100" s="127" t="s">
        <v>328</v>
      </c>
      <c r="D100" s="127" t="s">
        <v>329</v>
      </c>
      <c r="E100" s="128" t="s">
        <v>132</v>
      </c>
      <c r="F100" s="129" t="n">
        <v>45793</v>
      </c>
      <c r="G100" s="129" t="n">
        <v>45824</v>
      </c>
      <c r="H100" s="142" t="s">
        <v>19</v>
      </c>
      <c r="I100" s="131" t="n">
        <v>4720</v>
      </c>
      <c r="J100" s="132"/>
      <c r="K100" s="132" t="n">
        <v>4720</v>
      </c>
      <c r="L100" s="127" t="n">
        <f aca="false">G100-F100+1</f>
        <v>32</v>
      </c>
      <c r="M100" s="127"/>
      <c r="N100" s="132"/>
      <c r="O100" s="132" t="n">
        <f aca="false">$O$1-F100+1</f>
        <v>16</v>
      </c>
      <c r="P100" s="131" t="n">
        <f aca="false">O100*I100/L100</f>
        <v>2360</v>
      </c>
      <c r="Q100" s="127"/>
      <c r="R100" s="127" t="n">
        <v>16</v>
      </c>
      <c r="S100" s="134" t="n">
        <f aca="false">R100*I100/L100</f>
        <v>2360</v>
      </c>
      <c r="T100" s="127"/>
      <c r="U100" s="132" t="n">
        <f aca="false">IF(F101&lt;$U$2,31,$U$2-F101)</f>
        <v>31</v>
      </c>
      <c r="V100" s="127"/>
      <c r="W100" s="135" t="n">
        <v>0</v>
      </c>
      <c r="X100" s="132" t="n">
        <v>0</v>
      </c>
      <c r="Y100" s="127" t="n">
        <v>0</v>
      </c>
      <c r="Z100" s="127"/>
      <c r="AA100" s="127"/>
      <c r="AB100" s="127"/>
      <c r="AC100" s="136"/>
      <c r="AD100" s="136"/>
      <c r="AE100" s="136"/>
    </row>
    <row r="101" customFormat="false" ht="15.75" hidden="false" customHeight="true" outlineLevel="0" collapsed="false">
      <c r="A101" s="138" t="n">
        <v>0</v>
      </c>
      <c r="B101" s="139" t="s">
        <v>330</v>
      </c>
      <c r="C101" s="128" t="s">
        <v>331</v>
      </c>
      <c r="D101" s="128" t="s">
        <v>332</v>
      </c>
      <c r="E101" s="128" t="s">
        <v>118</v>
      </c>
      <c r="F101" s="154" t="n">
        <v>45692</v>
      </c>
      <c r="G101" s="140" t="n">
        <v>46237</v>
      </c>
      <c r="H101" s="149" t="s">
        <v>30</v>
      </c>
      <c r="I101" s="131" t="n">
        <f aca="false">109197*2</f>
        <v>218394</v>
      </c>
      <c r="J101" s="132" t="n">
        <f aca="false">I101/6</f>
        <v>36399</v>
      </c>
      <c r="K101" s="132" t="n">
        <f aca="false">I101/6</f>
        <v>36399</v>
      </c>
      <c r="L101" s="127" t="n">
        <f aca="false">G101-F101+1</f>
        <v>546</v>
      </c>
      <c r="M101" s="128" t="n">
        <v>30</v>
      </c>
      <c r="N101" s="132" t="n">
        <f aca="false">I101/L101*M101</f>
        <v>11999.6703296703</v>
      </c>
      <c r="O101" s="132" t="n">
        <f aca="false">IF(G101&lt;$O$1,G101-$N$1,31)</f>
        <v>31</v>
      </c>
      <c r="P101" s="131" t="n">
        <f aca="false">O101*I101/L101</f>
        <v>12399.6593406593</v>
      </c>
      <c r="Q101" s="147" t="n">
        <f aca="false">I101/6</f>
        <v>36399</v>
      </c>
      <c r="R101" s="128" t="n">
        <f aca="false">IF(F101&lt;$R$2,30,$R$2-F101)</f>
        <v>30</v>
      </c>
      <c r="S101" s="146" t="n">
        <f aca="false">R101*I101/L101</f>
        <v>11999.6703296703</v>
      </c>
      <c r="T101" s="146" t="n">
        <f aca="false">I101/6</f>
        <v>36399</v>
      </c>
      <c r="U101" s="132" t="n">
        <f aca="false">IF(F102&lt;$U$2,31,$U$2-F102)</f>
        <v>31</v>
      </c>
      <c r="V101" s="131" t="n">
        <f aca="false">I101*U101/L101</f>
        <v>12399.6593406593</v>
      </c>
      <c r="W101" s="141" t="n">
        <v>2</v>
      </c>
      <c r="X101" s="132"/>
      <c r="Y101" s="131" t="n">
        <f aca="false">I101*W101/L101</f>
        <v>799.978021978022</v>
      </c>
      <c r="Z101" s="141"/>
      <c r="AA101" s="147"/>
      <c r="AB101" s="147"/>
      <c r="AC101" s="143"/>
      <c r="AD101" s="144"/>
      <c r="AE101" s="144"/>
    </row>
    <row r="102" customFormat="false" ht="15.75" hidden="false" customHeight="true" outlineLevel="0" collapsed="false">
      <c r="A102" s="138" t="n">
        <v>0</v>
      </c>
      <c r="B102" s="139" t="n">
        <v>45778</v>
      </c>
      <c r="C102" s="128" t="s">
        <v>333</v>
      </c>
      <c r="D102" s="128" t="s">
        <v>334</v>
      </c>
      <c r="E102" s="128" t="s">
        <v>118</v>
      </c>
      <c r="F102" s="140" t="n">
        <v>45797</v>
      </c>
      <c r="G102" s="140" t="n">
        <v>46161</v>
      </c>
      <c r="H102" s="145" t="s">
        <v>9</v>
      </c>
      <c r="I102" s="131" t="n">
        <v>43011</v>
      </c>
      <c r="J102" s="132"/>
      <c r="K102" s="132" t="n">
        <f aca="false">I102/12</f>
        <v>3584.25</v>
      </c>
      <c r="L102" s="127" t="n">
        <f aca="false">G102-F102+1</f>
        <v>365</v>
      </c>
      <c r="M102" s="128"/>
      <c r="N102" s="132"/>
      <c r="O102" s="132" t="n">
        <f aca="false">$O$1-F102+1</f>
        <v>12</v>
      </c>
      <c r="P102" s="131" t="n">
        <f aca="false">O102*I102/L102</f>
        <v>1414.0602739726</v>
      </c>
      <c r="Q102" s="146" t="n">
        <f aca="false">I102/12</f>
        <v>3584.25</v>
      </c>
      <c r="R102" s="128" t="n">
        <f aca="false">IF(F102&lt;$R$2,30,$R$2-F102)</f>
        <v>30</v>
      </c>
      <c r="S102" s="146" t="n">
        <f aca="false">R102*I102/L102</f>
        <v>3535.15068493151</v>
      </c>
      <c r="T102" s="146" t="n">
        <f aca="false">I102/12</f>
        <v>3584.25</v>
      </c>
      <c r="U102" s="132" t="n">
        <f aca="false">IF(F103&lt;$U$2,31,$U$2-F103)</f>
        <v>31</v>
      </c>
      <c r="V102" s="131" t="n">
        <f aca="false">I102*U102/L102</f>
        <v>3652.98904109589</v>
      </c>
      <c r="W102" s="141" t="n">
        <f aca="false">IF(F102&lt;$W$2,31,$W$2-F102)</f>
        <v>31</v>
      </c>
      <c r="X102" s="132" t="n">
        <f aca="false">I102/12</f>
        <v>3584.25</v>
      </c>
      <c r="Y102" s="131" t="n">
        <f aca="false">I102*W102/L102</f>
        <v>3652.98904109589</v>
      </c>
      <c r="Z102" s="141" t="n">
        <f aca="false">IF(F102&lt;$Z$2,30,$Z$2-I102)</f>
        <v>30</v>
      </c>
      <c r="AA102" s="147" t="n">
        <f aca="false">I102/12</f>
        <v>3584.25</v>
      </c>
      <c r="AB102" s="147" t="n">
        <f aca="false">I102*Z102/L102</f>
        <v>3535.15068493151</v>
      </c>
      <c r="AC102" s="143"/>
      <c r="AD102" s="144"/>
      <c r="AE102" s="144"/>
    </row>
    <row r="103" customFormat="false" ht="15.75" hidden="false" customHeight="true" outlineLevel="0" collapsed="false">
      <c r="A103" s="138" t="n">
        <v>0</v>
      </c>
      <c r="B103" s="139" t="n">
        <v>45778</v>
      </c>
      <c r="C103" s="128" t="s">
        <v>335</v>
      </c>
      <c r="D103" s="128" t="s">
        <v>336</v>
      </c>
      <c r="E103" s="128" t="s">
        <v>118</v>
      </c>
      <c r="F103" s="140" t="n">
        <v>45797</v>
      </c>
      <c r="G103" s="140" t="n">
        <v>46161</v>
      </c>
      <c r="H103" s="145" t="s">
        <v>9</v>
      </c>
      <c r="I103" s="131" t="n">
        <v>43011</v>
      </c>
      <c r="J103" s="132"/>
      <c r="K103" s="132" t="n">
        <f aca="false">I103/12</f>
        <v>3584.25</v>
      </c>
      <c r="L103" s="127" t="n">
        <f aca="false">G103-F103+1</f>
        <v>365</v>
      </c>
      <c r="M103" s="128"/>
      <c r="N103" s="132"/>
      <c r="O103" s="132" t="n">
        <f aca="false">$O$1-F103+1</f>
        <v>12</v>
      </c>
      <c r="P103" s="131" t="n">
        <f aca="false">O103*I103/L103</f>
        <v>1414.0602739726</v>
      </c>
      <c r="Q103" s="146" t="n">
        <f aca="false">I103/12</f>
        <v>3584.25</v>
      </c>
      <c r="R103" s="128" t="n">
        <f aca="false">IF(F103&lt;$R$2,30,$R$2-F103)</f>
        <v>30</v>
      </c>
      <c r="S103" s="146" t="n">
        <f aca="false">R103*I103/L103</f>
        <v>3535.15068493151</v>
      </c>
      <c r="T103" s="146" t="n">
        <f aca="false">I103/12</f>
        <v>3584.25</v>
      </c>
      <c r="U103" s="132" t="n">
        <f aca="false">IF(F104&lt;$U$2,31,$U$2-F104)</f>
        <v>31</v>
      </c>
      <c r="V103" s="131" t="n">
        <f aca="false">I103*U103/L103</f>
        <v>3652.98904109589</v>
      </c>
      <c r="W103" s="141" t="n">
        <f aca="false">IF(F103&lt;$W$2,31,$W$2-F103)</f>
        <v>31</v>
      </c>
      <c r="X103" s="132" t="n">
        <f aca="false">I103/12</f>
        <v>3584.25</v>
      </c>
      <c r="Y103" s="131" t="n">
        <f aca="false">I103*W103/L103</f>
        <v>3652.98904109589</v>
      </c>
      <c r="Z103" s="141" t="n">
        <f aca="false">IF(F103&lt;$Z$2,30,$Z$2-I103)</f>
        <v>30</v>
      </c>
      <c r="AA103" s="147" t="n">
        <f aca="false">I103/12</f>
        <v>3584.25</v>
      </c>
      <c r="AB103" s="147" t="n">
        <f aca="false">I103*Z103/L103</f>
        <v>3535.15068493151</v>
      </c>
      <c r="AC103" s="143"/>
      <c r="AD103" s="144"/>
      <c r="AE103" s="144"/>
    </row>
    <row r="104" customFormat="false" ht="15.75" hidden="false" customHeight="true" outlineLevel="0" collapsed="false">
      <c r="A104" s="138" t="n">
        <v>0</v>
      </c>
      <c r="B104" s="139" t="n">
        <v>45778</v>
      </c>
      <c r="C104" s="128" t="s">
        <v>337</v>
      </c>
      <c r="D104" s="128" t="s">
        <v>338</v>
      </c>
      <c r="E104" s="128" t="s">
        <v>118</v>
      </c>
      <c r="F104" s="140" t="n">
        <v>45797</v>
      </c>
      <c r="G104" s="140" t="n">
        <v>46161</v>
      </c>
      <c r="H104" s="145" t="s">
        <v>9</v>
      </c>
      <c r="I104" s="131" t="n">
        <v>43011</v>
      </c>
      <c r="J104" s="132"/>
      <c r="K104" s="132" t="n">
        <f aca="false">I104/12</f>
        <v>3584.25</v>
      </c>
      <c r="L104" s="127" t="n">
        <f aca="false">G104-F104+1</f>
        <v>365</v>
      </c>
      <c r="M104" s="128"/>
      <c r="N104" s="132"/>
      <c r="O104" s="132" t="n">
        <f aca="false">$O$1-F104+1</f>
        <v>12</v>
      </c>
      <c r="P104" s="131" t="n">
        <f aca="false">O104*I104/L104</f>
        <v>1414.0602739726</v>
      </c>
      <c r="Q104" s="146" t="n">
        <f aca="false">I104/12</f>
        <v>3584.25</v>
      </c>
      <c r="R104" s="128" t="n">
        <f aca="false">IF(F104&lt;$R$2,30,$R$2-F104)</f>
        <v>30</v>
      </c>
      <c r="S104" s="146" t="n">
        <f aca="false">R104*I104/L104</f>
        <v>3535.15068493151</v>
      </c>
      <c r="T104" s="146" t="n">
        <f aca="false">I104/12</f>
        <v>3584.25</v>
      </c>
      <c r="U104" s="132" t="n">
        <f aca="false">IF(F105&lt;$U$2,31,$U$2-F105)</f>
        <v>31</v>
      </c>
      <c r="V104" s="131" t="n">
        <f aca="false">I104*U104/L104</f>
        <v>3652.98904109589</v>
      </c>
      <c r="W104" s="141" t="n">
        <f aca="false">IF(F104&lt;$W$2,31,$W$2-F104)</f>
        <v>31</v>
      </c>
      <c r="X104" s="132" t="n">
        <f aca="false">I104/12</f>
        <v>3584.25</v>
      </c>
      <c r="Y104" s="131" t="n">
        <f aca="false">I104*W104/L104</f>
        <v>3652.98904109589</v>
      </c>
      <c r="Z104" s="141" t="n">
        <f aca="false">IF(F104&lt;$Z$2,30,$Z$2-I104)</f>
        <v>30</v>
      </c>
      <c r="AA104" s="147" t="n">
        <f aca="false">I104/12</f>
        <v>3584.25</v>
      </c>
      <c r="AB104" s="147" t="n">
        <f aca="false">I104*Z104/L104</f>
        <v>3535.15068493151</v>
      </c>
      <c r="AC104" s="143"/>
      <c r="AD104" s="144"/>
      <c r="AE104" s="144"/>
    </row>
    <row r="105" customFormat="false" ht="15.75" hidden="false" customHeight="true" outlineLevel="0" collapsed="false">
      <c r="A105" s="138" t="n">
        <v>0</v>
      </c>
      <c r="B105" s="139" t="n">
        <v>45778</v>
      </c>
      <c r="C105" s="128" t="s">
        <v>339</v>
      </c>
      <c r="D105" s="128" t="s">
        <v>340</v>
      </c>
      <c r="E105" s="128" t="s">
        <v>118</v>
      </c>
      <c r="F105" s="140" t="n">
        <v>45797</v>
      </c>
      <c r="G105" s="140" t="n">
        <v>46161</v>
      </c>
      <c r="H105" s="145" t="s">
        <v>9</v>
      </c>
      <c r="I105" s="131" t="n">
        <v>43011</v>
      </c>
      <c r="J105" s="132"/>
      <c r="K105" s="132" t="n">
        <f aca="false">I105/12</f>
        <v>3584.25</v>
      </c>
      <c r="L105" s="127" t="n">
        <f aca="false">G105-F105+1</f>
        <v>365</v>
      </c>
      <c r="M105" s="128"/>
      <c r="N105" s="132"/>
      <c r="O105" s="132" t="n">
        <f aca="false">$O$1-F105+1</f>
        <v>12</v>
      </c>
      <c r="P105" s="131" t="n">
        <f aca="false">O105*I105/L105</f>
        <v>1414.0602739726</v>
      </c>
      <c r="Q105" s="146" t="n">
        <f aca="false">I105/12</f>
        <v>3584.25</v>
      </c>
      <c r="R105" s="128" t="n">
        <f aca="false">IF(F105&lt;$R$2,30,$R$2-F105)</f>
        <v>30</v>
      </c>
      <c r="S105" s="146" t="n">
        <f aca="false">R105*I105/L105</f>
        <v>3535.15068493151</v>
      </c>
      <c r="T105" s="146" t="n">
        <f aca="false">I105/12</f>
        <v>3584.25</v>
      </c>
      <c r="U105" s="132" t="n">
        <f aca="false">IF(F106&lt;$U$2,31,$U$2-F106)</f>
        <v>31</v>
      </c>
      <c r="V105" s="131" t="n">
        <f aca="false">I105*U105/L105</f>
        <v>3652.98904109589</v>
      </c>
      <c r="W105" s="141" t="n">
        <f aca="false">IF(F105&lt;$W$2,31,$W$2-F105)</f>
        <v>31</v>
      </c>
      <c r="X105" s="132" t="n">
        <f aca="false">I105/12</f>
        <v>3584.25</v>
      </c>
      <c r="Y105" s="131" t="n">
        <f aca="false">I105*W105/L105</f>
        <v>3652.98904109589</v>
      </c>
      <c r="Z105" s="141" t="n">
        <f aca="false">IF(F105&lt;$Z$2,30,$Z$2-I105)</f>
        <v>30</v>
      </c>
      <c r="AA105" s="147" t="n">
        <f aca="false">I105/12</f>
        <v>3584.25</v>
      </c>
      <c r="AB105" s="147" t="n">
        <f aca="false">I105*Z105/L105</f>
        <v>3535.15068493151</v>
      </c>
      <c r="AC105" s="143"/>
      <c r="AD105" s="144"/>
      <c r="AE105" s="144"/>
    </row>
    <row r="106" s="137" customFormat="true" ht="15.75" hidden="false" customHeight="true" outlineLevel="0" collapsed="false">
      <c r="A106" s="125" t="n">
        <v>0</v>
      </c>
      <c r="B106" s="126" t="n">
        <v>45778</v>
      </c>
      <c r="C106" s="127" t="s">
        <v>341</v>
      </c>
      <c r="D106" s="127" t="s">
        <v>342</v>
      </c>
      <c r="E106" s="128" t="s">
        <v>118</v>
      </c>
      <c r="F106" s="129" t="n">
        <v>45797</v>
      </c>
      <c r="G106" s="129" t="n">
        <v>46161</v>
      </c>
      <c r="H106" s="142" t="s">
        <v>9</v>
      </c>
      <c r="I106" s="131" t="n">
        <v>300900</v>
      </c>
      <c r="J106" s="132"/>
      <c r="K106" s="132" t="n">
        <f aca="false">I106/12</f>
        <v>25075</v>
      </c>
      <c r="L106" s="127" t="n">
        <f aca="false">G106-F106+1</f>
        <v>365</v>
      </c>
      <c r="M106" s="127"/>
      <c r="N106" s="132"/>
      <c r="O106" s="132" t="n">
        <f aca="false">$O$1-F106+1</f>
        <v>12</v>
      </c>
      <c r="P106" s="131" t="n">
        <f aca="false">O106*I106/L106</f>
        <v>9892.60273972603</v>
      </c>
      <c r="Q106" s="133" t="n">
        <f aca="false">I106/12</f>
        <v>25075</v>
      </c>
      <c r="R106" s="127" t="n">
        <f aca="false">IF(F106&lt;$R$2,30,$R$2-F106)</f>
        <v>30</v>
      </c>
      <c r="S106" s="133" t="n">
        <f aca="false">R106*I106/L106</f>
        <v>24731.5068493151</v>
      </c>
      <c r="T106" s="133" t="n">
        <f aca="false">I106/12</f>
        <v>25075</v>
      </c>
      <c r="U106" s="132" t="n">
        <f aca="false">IF(F107&lt;$U$2,31,$U$2-F107)</f>
        <v>31</v>
      </c>
      <c r="V106" s="131" t="n">
        <f aca="false">I106*U106/L106</f>
        <v>25555.8904109589</v>
      </c>
      <c r="W106" s="135" t="n">
        <f aca="false">IF(F106&lt;$W$2,31,$W$2-F106)</f>
        <v>31</v>
      </c>
      <c r="X106" s="132" t="n">
        <f aca="false">I106/12</f>
        <v>25075</v>
      </c>
      <c r="Y106" s="131" t="n">
        <f aca="false">I106*W106/L106</f>
        <v>25555.8904109589</v>
      </c>
      <c r="Z106" s="135" t="n">
        <f aca="false">IF(F106&lt;$Z$2,30,$Z$2-I106)</f>
        <v>30</v>
      </c>
      <c r="AA106" s="134" t="n">
        <f aca="false">I106/12</f>
        <v>25075</v>
      </c>
      <c r="AB106" s="134" t="n">
        <f aca="false">I106*Z106/L106</f>
        <v>24731.5068493151</v>
      </c>
      <c r="AC106" s="143"/>
      <c r="AD106" s="144"/>
      <c r="AE106" s="144"/>
    </row>
    <row r="107" s="137" customFormat="true" ht="15.75" hidden="false" customHeight="true" outlineLevel="0" collapsed="false">
      <c r="A107" s="125" t="n">
        <v>0</v>
      </c>
      <c r="B107" s="126" t="s">
        <v>343</v>
      </c>
      <c r="C107" s="127" t="s">
        <v>344</v>
      </c>
      <c r="D107" s="127" t="s">
        <v>345</v>
      </c>
      <c r="E107" s="128" t="s">
        <v>118</v>
      </c>
      <c r="F107" s="129" t="n">
        <v>45799</v>
      </c>
      <c r="G107" s="129" t="n">
        <v>45829</v>
      </c>
      <c r="H107" s="142" t="s">
        <v>19</v>
      </c>
      <c r="I107" s="131" t="n">
        <f aca="false">11800</f>
        <v>11800</v>
      </c>
      <c r="J107" s="132"/>
      <c r="K107" s="132" t="n">
        <f aca="false">I107</f>
        <v>11800</v>
      </c>
      <c r="L107" s="127" t="n">
        <f aca="false">G107-F107+1</f>
        <v>31</v>
      </c>
      <c r="M107" s="127"/>
      <c r="N107" s="132"/>
      <c r="O107" s="132" t="n">
        <f aca="false">$O$1-F107+1</f>
        <v>10</v>
      </c>
      <c r="P107" s="131" t="n">
        <f aca="false">O107*I107/L107</f>
        <v>3806.45161290323</v>
      </c>
      <c r="Q107" s="133"/>
      <c r="R107" s="127" t="n">
        <v>21</v>
      </c>
      <c r="S107" s="133" t="n">
        <f aca="false">R107*I107/L107</f>
        <v>7993.54838709678</v>
      </c>
      <c r="T107" s="133"/>
      <c r="U107" s="132"/>
      <c r="V107" s="131"/>
      <c r="W107" s="135"/>
      <c r="X107" s="132"/>
      <c r="Y107" s="131"/>
      <c r="Z107" s="127"/>
      <c r="AA107" s="127"/>
      <c r="AB107" s="127"/>
      <c r="AC107" s="136"/>
      <c r="AD107" s="136"/>
      <c r="AE107" s="136"/>
    </row>
    <row r="108" s="137" customFormat="true" ht="15.75" hidden="false" customHeight="true" outlineLevel="0" collapsed="false">
      <c r="A108" s="125" t="n">
        <v>0</v>
      </c>
      <c r="B108" s="126" t="n">
        <v>45778</v>
      </c>
      <c r="C108" s="127" t="s">
        <v>346</v>
      </c>
      <c r="D108" s="127" t="s">
        <v>347</v>
      </c>
      <c r="E108" s="128" t="s">
        <v>132</v>
      </c>
      <c r="F108" s="129" t="n">
        <v>45783</v>
      </c>
      <c r="G108" s="129" t="n">
        <v>45813</v>
      </c>
      <c r="H108" s="142" t="s">
        <v>19</v>
      </c>
      <c r="I108" s="131" t="n">
        <v>5900</v>
      </c>
      <c r="J108" s="132"/>
      <c r="K108" s="132" t="n">
        <v>5900</v>
      </c>
      <c r="L108" s="127" t="n">
        <f aca="false">G108-F108+1</f>
        <v>31</v>
      </c>
      <c r="M108" s="127"/>
      <c r="N108" s="132"/>
      <c r="O108" s="132" t="n">
        <f aca="false">$O$1-F108+1</f>
        <v>26</v>
      </c>
      <c r="P108" s="131" t="n">
        <f aca="false">O108*I108/L108</f>
        <v>4948.38709677419</v>
      </c>
      <c r="Q108" s="127"/>
      <c r="R108" s="127" t="n">
        <v>5</v>
      </c>
      <c r="S108" s="134" t="n">
        <f aca="false">R108*I108/L108</f>
        <v>951.612903225807</v>
      </c>
      <c r="T108" s="127"/>
      <c r="U108" s="132" t="n">
        <f aca="false">IF(F109&lt;$U$2,31,$U$2-F109)</f>
        <v>31</v>
      </c>
      <c r="V108" s="127"/>
      <c r="W108" s="135" t="n">
        <v>0</v>
      </c>
      <c r="X108" s="132" t="n">
        <v>0</v>
      </c>
      <c r="Y108" s="127" t="n">
        <v>0</v>
      </c>
      <c r="Z108" s="127"/>
      <c r="AA108" s="127"/>
      <c r="AB108" s="127"/>
      <c r="AC108" s="136"/>
      <c r="AD108" s="136"/>
      <c r="AE108" s="136"/>
    </row>
    <row r="109" s="137" customFormat="true" ht="15.75" hidden="false" customHeight="true" outlineLevel="0" collapsed="false">
      <c r="A109" s="125" t="n">
        <v>0</v>
      </c>
      <c r="B109" s="126" t="n">
        <v>45778</v>
      </c>
      <c r="C109" s="127" t="s">
        <v>189</v>
      </c>
      <c r="D109" s="127" t="s">
        <v>348</v>
      </c>
      <c r="E109" s="128" t="s">
        <v>118</v>
      </c>
      <c r="F109" s="129" t="n">
        <v>45800</v>
      </c>
      <c r="G109" s="129" t="n">
        <v>46164</v>
      </c>
      <c r="H109" s="142" t="s">
        <v>9</v>
      </c>
      <c r="I109" s="131" t="n">
        <v>169920</v>
      </c>
      <c r="J109" s="132"/>
      <c r="K109" s="132" t="n">
        <f aca="false">I109/12</f>
        <v>14160</v>
      </c>
      <c r="L109" s="127" t="n">
        <f aca="false">G109-F109+1</f>
        <v>365</v>
      </c>
      <c r="M109" s="127"/>
      <c r="N109" s="132"/>
      <c r="O109" s="132" t="n">
        <f aca="false">$O$1-F109+1</f>
        <v>9</v>
      </c>
      <c r="P109" s="131" t="n">
        <f aca="false">O109*I109/L109</f>
        <v>4189.80821917808</v>
      </c>
      <c r="Q109" s="133" t="n">
        <f aca="false">I109/12</f>
        <v>14160</v>
      </c>
      <c r="R109" s="127" t="n">
        <f aca="false">IF(F109&lt;$R$2,30,$R$2-F109)</f>
        <v>30</v>
      </c>
      <c r="S109" s="133" t="n">
        <f aca="false">R109*I109/L109</f>
        <v>13966.0273972603</v>
      </c>
      <c r="T109" s="133" t="n">
        <f aca="false">I109/12</f>
        <v>14160</v>
      </c>
      <c r="U109" s="132" t="n">
        <f aca="false">IF(F110&lt;$U$2,31,$U$2-F110)</f>
        <v>31</v>
      </c>
      <c r="V109" s="131" t="n">
        <f aca="false">I109*U109/L109</f>
        <v>14431.5616438356</v>
      </c>
      <c r="W109" s="135" t="n">
        <f aca="false">IF(F109&lt;$W$2,31,$W$2-F109)</f>
        <v>31</v>
      </c>
      <c r="X109" s="132" t="n">
        <f aca="false">I109/12</f>
        <v>14160</v>
      </c>
      <c r="Y109" s="131" t="n">
        <f aca="false">I109*W109/L109</f>
        <v>14431.5616438356</v>
      </c>
      <c r="Z109" s="135" t="n">
        <f aca="false">IF(F109&lt;$Z$2,30,$Z$2-I109)</f>
        <v>30</v>
      </c>
      <c r="AA109" s="134" t="n">
        <f aca="false">I109/12</f>
        <v>14160</v>
      </c>
      <c r="AB109" s="134" t="n">
        <f aca="false">I109*Z109/L109</f>
        <v>13966.0273972603</v>
      </c>
      <c r="AC109" s="143"/>
      <c r="AD109" s="144"/>
      <c r="AE109" s="144"/>
    </row>
    <row r="110" s="137" customFormat="true" ht="15.75" hidden="false" customHeight="true" outlineLevel="0" collapsed="false">
      <c r="A110" s="125" t="n">
        <v>0</v>
      </c>
      <c r="B110" s="126" t="n">
        <v>45778</v>
      </c>
      <c r="C110" s="127" t="s">
        <v>309</v>
      </c>
      <c r="D110" s="127" t="s">
        <v>349</v>
      </c>
      <c r="E110" s="128" t="s">
        <v>118</v>
      </c>
      <c r="F110" s="129" t="n">
        <v>45803</v>
      </c>
      <c r="G110" s="129" t="n">
        <v>46167</v>
      </c>
      <c r="H110" s="142" t="s">
        <v>9</v>
      </c>
      <c r="I110" s="131" t="n">
        <v>162000</v>
      </c>
      <c r="J110" s="132"/>
      <c r="K110" s="132" t="n">
        <f aca="false">I110/12</f>
        <v>13500</v>
      </c>
      <c r="L110" s="127" t="n">
        <f aca="false">G110-F110+1</f>
        <v>365</v>
      </c>
      <c r="M110" s="127"/>
      <c r="N110" s="132"/>
      <c r="O110" s="132" t="n">
        <f aca="false">$O$1-F110+1</f>
        <v>6</v>
      </c>
      <c r="P110" s="131" t="n">
        <f aca="false">O110*I110/L110</f>
        <v>2663.01369863014</v>
      </c>
      <c r="Q110" s="133" t="n">
        <f aca="false">I110/12</f>
        <v>13500</v>
      </c>
      <c r="R110" s="127" t="n">
        <f aca="false">IF(F110&lt;$R$2,30,$R$2-F110)</f>
        <v>30</v>
      </c>
      <c r="S110" s="133" t="n">
        <f aca="false">R110*I110/L110</f>
        <v>13315.0684931507</v>
      </c>
      <c r="T110" s="133" t="n">
        <f aca="false">I110/12</f>
        <v>13500</v>
      </c>
      <c r="U110" s="132" t="n">
        <f aca="false">IF(F111&lt;$U$2,31,$U$2-F111)</f>
        <v>31</v>
      </c>
      <c r="V110" s="131" t="n">
        <f aca="false">I110*U110/L110</f>
        <v>13758.904109589</v>
      </c>
      <c r="W110" s="135" t="n">
        <f aca="false">IF(F110&lt;$W$2,31,$W$2-F110)</f>
        <v>31</v>
      </c>
      <c r="X110" s="132" t="n">
        <f aca="false">I110/12</f>
        <v>13500</v>
      </c>
      <c r="Y110" s="131" t="n">
        <f aca="false">I110*W110/L110</f>
        <v>13758.904109589</v>
      </c>
      <c r="Z110" s="135" t="n">
        <f aca="false">IF(F110&lt;$Z$2,30,$Z$2-I110)</f>
        <v>30</v>
      </c>
      <c r="AA110" s="134" t="n">
        <f aca="false">I110/12</f>
        <v>13500</v>
      </c>
      <c r="AB110" s="134" t="n">
        <f aca="false">I110*Z110/L110</f>
        <v>13315.0684931507</v>
      </c>
      <c r="AC110" s="143"/>
      <c r="AD110" s="144"/>
      <c r="AE110" s="144"/>
    </row>
    <row r="111" customFormat="false" ht="15.75" hidden="false" customHeight="true" outlineLevel="0" collapsed="false">
      <c r="A111" s="138" t="n">
        <v>0</v>
      </c>
      <c r="B111" s="139" t="n">
        <v>45778</v>
      </c>
      <c r="C111" s="128" t="s">
        <v>350</v>
      </c>
      <c r="D111" s="128" t="s">
        <v>351</v>
      </c>
      <c r="E111" s="128" t="s">
        <v>118</v>
      </c>
      <c r="F111" s="140" t="n">
        <v>45803</v>
      </c>
      <c r="G111" s="140" t="n">
        <v>45986</v>
      </c>
      <c r="H111" s="145" t="s">
        <v>29</v>
      </c>
      <c r="I111" s="131" t="n">
        <v>44604</v>
      </c>
      <c r="J111" s="132"/>
      <c r="K111" s="132" t="n">
        <f aca="false">I111/6</f>
        <v>7434</v>
      </c>
      <c r="L111" s="127" t="n">
        <f aca="false">G111-F111+1</f>
        <v>184</v>
      </c>
      <c r="M111" s="128"/>
      <c r="N111" s="132"/>
      <c r="O111" s="132" t="n">
        <f aca="false">$O$1-F111+1</f>
        <v>6</v>
      </c>
      <c r="P111" s="131" t="n">
        <f aca="false">O111*I111/L111</f>
        <v>1454.47826086957</v>
      </c>
      <c r="Q111" s="146" t="n">
        <f aca="false">I111/6</f>
        <v>7434</v>
      </c>
      <c r="R111" s="128" t="n">
        <f aca="false">IF(F111&lt;$R$2,30,$R$2-F111)</f>
        <v>30</v>
      </c>
      <c r="S111" s="146" t="n">
        <f aca="false">R111*I111/L111</f>
        <v>7272.39130434783</v>
      </c>
      <c r="T111" s="146" t="n">
        <f aca="false">I111/6</f>
        <v>7434</v>
      </c>
      <c r="U111" s="132" t="n">
        <f aca="false">IF(F112&lt;$U$2,31,$U$2-F112)</f>
        <v>31</v>
      </c>
      <c r="V111" s="131" t="n">
        <f aca="false">I111*U111/L111</f>
        <v>7514.80434782609</v>
      </c>
      <c r="W111" s="141" t="n">
        <f aca="false">IF(F111&lt;$W$2,31,$W$2-F111)</f>
        <v>31</v>
      </c>
      <c r="X111" s="132" t="n">
        <f aca="false">I111/6</f>
        <v>7434</v>
      </c>
      <c r="Y111" s="131" t="n">
        <f aca="false">I111*W111/L111</f>
        <v>7514.80434782609</v>
      </c>
      <c r="Z111" s="141" t="n">
        <f aca="false">IF(F111&lt;$Z$2,30,$Z$2-I111)</f>
        <v>30</v>
      </c>
      <c r="AA111" s="147" t="n">
        <f aca="false">I111/6</f>
        <v>7434</v>
      </c>
      <c r="AB111" s="147" t="n">
        <f aca="false">Z111*I111/L111</f>
        <v>7272.39130434783</v>
      </c>
      <c r="AC111" s="143"/>
      <c r="AD111" s="144"/>
      <c r="AE111" s="144"/>
    </row>
    <row r="112" customFormat="false" ht="15.75" hidden="false" customHeight="true" outlineLevel="0" collapsed="false">
      <c r="A112" s="138" t="n">
        <v>0</v>
      </c>
      <c r="B112" s="139" t="n">
        <v>45778</v>
      </c>
      <c r="C112" s="128" t="s">
        <v>352</v>
      </c>
      <c r="D112" s="128" t="s">
        <v>353</v>
      </c>
      <c r="E112" s="128" t="s">
        <v>118</v>
      </c>
      <c r="F112" s="140" t="n">
        <v>45804</v>
      </c>
      <c r="G112" s="140" t="n">
        <v>46168</v>
      </c>
      <c r="H112" s="145" t="s">
        <v>9</v>
      </c>
      <c r="I112" s="131" t="n">
        <v>82600</v>
      </c>
      <c r="J112" s="132"/>
      <c r="K112" s="132" t="n">
        <f aca="false">I112/12</f>
        <v>6883.33333333333</v>
      </c>
      <c r="L112" s="127" t="n">
        <f aca="false">G112-F112+1</f>
        <v>365</v>
      </c>
      <c r="M112" s="128"/>
      <c r="N112" s="132"/>
      <c r="O112" s="132" t="n">
        <f aca="false">$O$1-F112+1</f>
        <v>5</v>
      </c>
      <c r="P112" s="131" t="n">
        <f aca="false">O112*I112/L112</f>
        <v>1131.50684931507</v>
      </c>
      <c r="Q112" s="146" t="n">
        <f aca="false">I112/12</f>
        <v>6883.33333333333</v>
      </c>
      <c r="R112" s="128" t="n">
        <f aca="false">IF(F112&lt;$R$2,30,$R$2-F112)</f>
        <v>30</v>
      </c>
      <c r="S112" s="146" t="n">
        <f aca="false">R112*I112/L112</f>
        <v>6789.04109589041</v>
      </c>
      <c r="T112" s="146" t="n">
        <f aca="false">I112/12</f>
        <v>6883.33333333333</v>
      </c>
      <c r="U112" s="132" t="n">
        <f aca="false">IF(F113&lt;$U$2,31,$U$2-F113)</f>
        <v>31</v>
      </c>
      <c r="V112" s="131" t="n">
        <f aca="false">I112*U112/L112</f>
        <v>7015.34246575342</v>
      </c>
      <c r="W112" s="141" t="n">
        <f aca="false">IF(F112&lt;$W$2,31,$W$2-F112)</f>
        <v>31</v>
      </c>
      <c r="X112" s="132" t="n">
        <f aca="false">I112/12</f>
        <v>6883.33333333333</v>
      </c>
      <c r="Y112" s="131" t="n">
        <f aca="false">I112*W112/L112</f>
        <v>7015.34246575342</v>
      </c>
      <c r="Z112" s="141" t="n">
        <f aca="false">IF(F112&lt;$Z$2,30,$Z$2-I112)</f>
        <v>30</v>
      </c>
      <c r="AA112" s="147" t="n">
        <f aca="false">I112/12</f>
        <v>6883.33333333333</v>
      </c>
      <c r="AB112" s="147" t="n">
        <f aca="false">I112*Z112/L112</f>
        <v>6789.04109589041</v>
      </c>
      <c r="AC112" s="143"/>
      <c r="AD112" s="144"/>
      <c r="AE112" s="144"/>
    </row>
    <row r="113" customFormat="false" ht="15.75" hidden="false" customHeight="true" outlineLevel="0" collapsed="false">
      <c r="A113" s="138" t="n">
        <v>0</v>
      </c>
      <c r="B113" s="139" t="n">
        <v>45778</v>
      </c>
      <c r="C113" s="128" t="s">
        <v>354</v>
      </c>
      <c r="D113" s="128" t="s">
        <v>355</v>
      </c>
      <c r="E113" s="128" t="s">
        <v>118</v>
      </c>
      <c r="F113" s="140" t="n">
        <v>45839</v>
      </c>
      <c r="G113" s="140" t="n">
        <v>45869</v>
      </c>
      <c r="H113" s="145" t="s">
        <v>19</v>
      </c>
      <c r="I113" s="131" t="n">
        <v>11800</v>
      </c>
      <c r="J113" s="132"/>
      <c r="K113" s="132"/>
      <c r="L113" s="127" t="n">
        <f aca="false">G113-F113+1</f>
        <v>31</v>
      </c>
      <c r="M113" s="128"/>
      <c r="N113" s="132"/>
      <c r="O113" s="132" t="n">
        <v>0</v>
      </c>
      <c r="P113" s="131" t="n">
        <f aca="false">O113*I113/L113</f>
        <v>0</v>
      </c>
      <c r="Q113" s="128"/>
      <c r="R113" s="128" t="n">
        <f aca="false">$R$2-F113+1</f>
        <v>0</v>
      </c>
      <c r="S113" s="128"/>
      <c r="T113" s="146" t="n">
        <f aca="false">I113/1</f>
        <v>11800</v>
      </c>
      <c r="U113" s="132" t="n">
        <f aca="false">G113-$R$2</f>
        <v>31</v>
      </c>
      <c r="V113" s="132" t="n">
        <f aca="false">U113*I113/L113</f>
        <v>11800</v>
      </c>
      <c r="W113" s="141" t="n">
        <v>0</v>
      </c>
      <c r="X113" s="132" t="n">
        <v>0</v>
      </c>
      <c r="Y113" s="128" t="n">
        <v>0</v>
      </c>
      <c r="Z113" s="128"/>
      <c r="AA113" s="128"/>
      <c r="AB113" s="128"/>
      <c r="AC113" s="136"/>
      <c r="AD113" s="136"/>
      <c r="AE113" s="136"/>
    </row>
    <row r="114" customFormat="false" ht="15.75" hidden="false" customHeight="true" outlineLevel="0" collapsed="false">
      <c r="A114" s="138" t="n">
        <v>0</v>
      </c>
      <c r="B114" s="139" t="n">
        <v>45778</v>
      </c>
      <c r="C114" s="128" t="s">
        <v>356</v>
      </c>
      <c r="D114" s="128" t="s">
        <v>357</v>
      </c>
      <c r="E114" s="128" t="s">
        <v>118</v>
      </c>
      <c r="F114" s="140" t="n">
        <v>45804</v>
      </c>
      <c r="G114" s="140" t="n">
        <v>46169</v>
      </c>
      <c r="H114" s="145" t="s">
        <v>9</v>
      </c>
      <c r="I114" s="131" t="n">
        <v>70000</v>
      </c>
      <c r="J114" s="132"/>
      <c r="K114" s="132" t="n">
        <f aca="false">I114/12</f>
        <v>5833.33333333333</v>
      </c>
      <c r="L114" s="127" t="n">
        <f aca="false">G114-F114+1</f>
        <v>366</v>
      </c>
      <c r="M114" s="128"/>
      <c r="N114" s="132"/>
      <c r="O114" s="132" t="n">
        <f aca="false">$O$1-F114+1</f>
        <v>5</v>
      </c>
      <c r="P114" s="131" t="n">
        <f aca="false">O114*I114/L114</f>
        <v>956.284153005465</v>
      </c>
      <c r="Q114" s="146" t="n">
        <f aca="false">I114/12</f>
        <v>5833.33333333333</v>
      </c>
      <c r="R114" s="128" t="n">
        <f aca="false">IF(F114&lt;$R$2,30,$R$2-F114)</f>
        <v>30</v>
      </c>
      <c r="S114" s="146" t="n">
        <f aca="false">R114*I114/L114</f>
        <v>5737.70491803279</v>
      </c>
      <c r="T114" s="146" t="n">
        <f aca="false">I114/12</f>
        <v>5833.33333333333</v>
      </c>
      <c r="U114" s="132" t="n">
        <f aca="false">IF(F115&lt;$U$2,31,$U$2-F115)</f>
        <v>31</v>
      </c>
      <c r="V114" s="131" t="n">
        <f aca="false">I114*U114/L114</f>
        <v>5928.96174863388</v>
      </c>
      <c r="W114" s="141" t="n">
        <f aca="false">IF(F114&lt;$W$2,31,$W$2-F114)</f>
        <v>31</v>
      </c>
      <c r="X114" s="132" t="n">
        <f aca="false">I114/12</f>
        <v>5833.33333333333</v>
      </c>
      <c r="Y114" s="131" t="n">
        <f aca="false">I114*W114/L114</f>
        <v>5928.96174863388</v>
      </c>
      <c r="Z114" s="141" t="n">
        <f aca="false">IF(F114&lt;$Z$2,30,$Z$2-I114)</f>
        <v>30</v>
      </c>
      <c r="AA114" s="147" t="n">
        <f aca="false">I114/12</f>
        <v>5833.33333333333</v>
      </c>
      <c r="AB114" s="147" t="n">
        <f aca="false">I114*Z114/L114</f>
        <v>5737.70491803279</v>
      </c>
      <c r="AC114" s="143"/>
      <c r="AD114" s="144"/>
      <c r="AE114" s="144"/>
    </row>
    <row r="115" customFormat="false" ht="15.75" hidden="false" customHeight="true" outlineLevel="0" collapsed="false">
      <c r="A115" s="138" t="n">
        <v>0</v>
      </c>
      <c r="B115" s="139" t="n">
        <v>45778</v>
      </c>
      <c r="C115" s="128" t="s">
        <v>358</v>
      </c>
      <c r="D115" s="128" t="s">
        <v>359</v>
      </c>
      <c r="E115" s="128" t="s">
        <v>118</v>
      </c>
      <c r="F115" s="140" t="n">
        <v>45805</v>
      </c>
      <c r="G115" s="140" t="n">
        <v>45835</v>
      </c>
      <c r="H115" s="145" t="s">
        <v>19</v>
      </c>
      <c r="I115" s="131" t="n">
        <v>23600</v>
      </c>
      <c r="J115" s="132"/>
      <c r="K115" s="132" t="n">
        <v>23600</v>
      </c>
      <c r="L115" s="127" t="n">
        <f aca="false">G115-F115+1</f>
        <v>31</v>
      </c>
      <c r="M115" s="128"/>
      <c r="N115" s="132"/>
      <c r="O115" s="132" t="n">
        <f aca="false">$O$1-F115+1</f>
        <v>4</v>
      </c>
      <c r="P115" s="131" t="n">
        <f aca="false">O115*I115/L115</f>
        <v>3045.16129032258</v>
      </c>
      <c r="Q115" s="128"/>
      <c r="R115" s="128" t="n">
        <v>27</v>
      </c>
      <c r="S115" s="147" t="n">
        <f aca="false">R115*I115/L115</f>
        <v>20554.8387096774</v>
      </c>
      <c r="T115" s="128"/>
      <c r="U115" s="132" t="n">
        <f aca="false">IF(F116&lt;$U$2,31,$U$2-F116)</f>
        <v>31</v>
      </c>
      <c r="V115" s="128"/>
      <c r="W115" s="141" t="n">
        <v>0</v>
      </c>
      <c r="X115" s="132" t="n">
        <v>0</v>
      </c>
      <c r="Y115" s="128" t="n">
        <v>0</v>
      </c>
      <c r="Z115" s="128"/>
      <c r="AA115" s="128"/>
      <c r="AB115" s="128"/>
      <c r="AC115" s="136"/>
      <c r="AD115" s="136"/>
      <c r="AE115" s="136"/>
    </row>
    <row r="116" s="137" customFormat="true" ht="15.75" hidden="false" customHeight="true" outlineLevel="0" collapsed="false">
      <c r="A116" s="125" t="n">
        <v>0</v>
      </c>
      <c r="B116" s="126" t="n">
        <v>45778</v>
      </c>
      <c r="C116" s="127" t="s">
        <v>360</v>
      </c>
      <c r="D116" s="127" t="s">
        <v>361</v>
      </c>
      <c r="E116" s="128" t="s">
        <v>118</v>
      </c>
      <c r="F116" s="129" t="n">
        <v>45806</v>
      </c>
      <c r="G116" s="129" t="n">
        <v>45836</v>
      </c>
      <c r="H116" s="142" t="s">
        <v>19</v>
      </c>
      <c r="I116" s="131" t="n">
        <v>5900</v>
      </c>
      <c r="J116" s="132"/>
      <c r="K116" s="132" t="n">
        <v>5900</v>
      </c>
      <c r="L116" s="127" t="n">
        <f aca="false">G116-F116+1</f>
        <v>31</v>
      </c>
      <c r="M116" s="127"/>
      <c r="N116" s="132"/>
      <c r="O116" s="132" t="n">
        <f aca="false">$O$1-F116+1</f>
        <v>3</v>
      </c>
      <c r="P116" s="131" t="n">
        <f aca="false">O116*I116/L116</f>
        <v>570.967741935484</v>
      </c>
      <c r="Q116" s="127"/>
      <c r="R116" s="127" t="n">
        <v>28</v>
      </c>
      <c r="S116" s="134" t="n">
        <f aca="false">R116*I116/L116</f>
        <v>5329.03225806452</v>
      </c>
      <c r="T116" s="127"/>
      <c r="U116" s="132" t="n">
        <f aca="false">IF(F117&lt;$U$2,31,$U$2-F117)</f>
        <v>31</v>
      </c>
      <c r="V116" s="127"/>
      <c r="W116" s="135" t="n">
        <v>0</v>
      </c>
      <c r="X116" s="132" t="n">
        <v>0</v>
      </c>
      <c r="Y116" s="127" t="n">
        <v>0</v>
      </c>
      <c r="Z116" s="127"/>
      <c r="AA116" s="127"/>
      <c r="AB116" s="127"/>
      <c r="AC116" s="136"/>
      <c r="AD116" s="136"/>
      <c r="AE116" s="136"/>
    </row>
    <row r="117" customFormat="false" ht="15.75" hidden="false" customHeight="true" outlineLevel="0" collapsed="false">
      <c r="A117" s="138" t="n">
        <v>0</v>
      </c>
      <c r="B117" s="139" t="n">
        <v>45778</v>
      </c>
      <c r="C117" s="128" t="s">
        <v>362</v>
      </c>
      <c r="D117" s="128" t="s">
        <v>363</v>
      </c>
      <c r="E117" s="128" t="s">
        <v>118</v>
      </c>
      <c r="F117" s="140" t="n">
        <v>45809</v>
      </c>
      <c r="G117" s="140" t="n">
        <v>46173</v>
      </c>
      <c r="H117" s="145" t="s">
        <v>9</v>
      </c>
      <c r="I117" s="131" t="n">
        <v>82600</v>
      </c>
      <c r="J117" s="132"/>
      <c r="K117" s="132"/>
      <c r="L117" s="127" t="n">
        <f aca="false">G117-F117+1</f>
        <v>365</v>
      </c>
      <c r="M117" s="128"/>
      <c r="N117" s="132"/>
      <c r="O117" s="132" t="n">
        <f aca="false">$O$1-F117+1</f>
        <v>0</v>
      </c>
      <c r="P117" s="131" t="n">
        <f aca="false">O117*I117/L117</f>
        <v>0</v>
      </c>
      <c r="Q117" s="146" t="n">
        <f aca="false">I117/12</f>
        <v>6883.33333333333</v>
      </c>
      <c r="R117" s="128" t="n">
        <f aca="false">$R$2-F117+1</f>
        <v>30</v>
      </c>
      <c r="S117" s="147" t="n">
        <f aca="false">R117*I117/L117</f>
        <v>6789.04109589041</v>
      </c>
      <c r="T117" s="146" t="n">
        <f aca="false">I117/12</f>
        <v>6883.33333333333</v>
      </c>
      <c r="U117" s="132" t="n">
        <f aca="false">IF(F118&lt;$U$2,31,$U$2-F118)</f>
        <v>31</v>
      </c>
      <c r="V117" s="131" t="n">
        <f aca="false">I117*U117/L117</f>
        <v>7015.34246575342</v>
      </c>
      <c r="W117" s="141" t="n">
        <f aca="false">IF(F117&lt;$W$2,31,$W$2-F117)</f>
        <v>31</v>
      </c>
      <c r="X117" s="132" t="n">
        <f aca="false">I117/12</f>
        <v>6883.33333333333</v>
      </c>
      <c r="Y117" s="131" t="n">
        <f aca="false">I117*W117/L117</f>
        <v>7015.34246575342</v>
      </c>
      <c r="Z117" s="141" t="n">
        <f aca="false">IF(F117&lt;$Z$2,30,$Z$2-I117)</f>
        <v>30</v>
      </c>
      <c r="AA117" s="147" t="n">
        <f aca="false">I117/12</f>
        <v>6883.33333333333</v>
      </c>
      <c r="AB117" s="147" t="n">
        <f aca="false">I117*Z117/L117</f>
        <v>6789.04109589041</v>
      </c>
      <c r="AC117" s="143"/>
      <c r="AD117" s="144"/>
      <c r="AE117" s="144"/>
    </row>
    <row r="118" customFormat="false" ht="15.75" hidden="false" customHeight="true" outlineLevel="0" collapsed="false">
      <c r="A118" s="138" t="n">
        <v>0</v>
      </c>
      <c r="B118" s="139" t="n">
        <v>45778</v>
      </c>
      <c r="C118" s="128" t="s">
        <v>364</v>
      </c>
      <c r="D118" s="128" t="s">
        <v>365</v>
      </c>
      <c r="E118" s="128" t="s">
        <v>118</v>
      </c>
      <c r="F118" s="140" t="n">
        <v>45806</v>
      </c>
      <c r="G118" s="140" t="n">
        <v>45836</v>
      </c>
      <c r="H118" s="145" t="s">
        <v>19</v>
      </c>
      <c r="I118" s="131" t="n">
        <v>23600</v>
      </c>
      <c r="J118" s="132"/>
      <c r="K118" s="132" t="n">
        <v>23600</v>
      </c>
      <c r="L118" s="127" t="n">
        <f aca="false">G118-F118+1</f>
        <v>31</v>
      </c>
      <c r="M118" s="128"/>
      <c r="N118" s="132"/>
      <c r="O118" s="132" t="n">
        <f aca="false">$O$1-F118+1</f>
        <v>3</v>
      </c>
      <c r="P118" s="131" t="n">
        <f aca="false">O118*I118/L118</f>
        <v>2283.87096774194</v>
      </c>
      <c r="Q118" s="128"/>
      <c r="R118" s="128" t="n">
        <v>28</v>
      </c>
      <c r="S118" s="147" t="n">
        <f aca="false">R118*I118/L118</f>
        <v>21316.1290322581</v>
      </c>
      <c r="T118" s="128"/>
      <c r="U118" s="132" t="n">
        <f aca="false">IF(F119&lt;$U$2,31,$U$2-F119)</f>
        <v>31</v>
      </c>
      <c r="V118" s="128"/>
      <c r="W118" s="141" t="n">
        <v>0</v>
      </c>
      <c r="X118" s="132" t="n">
        <v>0</v>
      </c>
      <c r="Y118" s="128" t="n">
        <v>0</v>
      </c>
      <c r="Z118" s="128"/>
      <c r="AA118" s="128"/>
      <c r="AB118" s="128"/>
      <c r="AC118" s="136"/>
      <c r="AD118" s="136"/>
      <c r="AE118" s="136"/>
    </row>
    <row r="119" customFormat="false" ht="15.75" hidden="false" customHeight="true" outlineLevel="0" collapsed="false">
      <c r="A119" s="138" t="n">
        <v>0</v>
      </c>
      <c r="B119" s="139" t="n">
        <v>45778</v>
      </c>
      <c r="C119" s="128" t="s">
        <v>366</v>
      </c>
      <c r="D119" s="128" t="s">
        <v>367</v>
      </c>
      <c r="E119" s="128" t="s">
        <v>118</v>
      </c>
      <c r="F119" s="140" t="n">
        <v>45806</v>
      </c>
      <c r="G119" s="140" t="n">
        <v>46170</v>
      </c>
      <c r="H119" s="145" t="s">
        <v>9</v>
      </c>
      <c r="I119" s="131" t="n">
        <v>146556</v>
      </c>
      <c r="J119" s="132"/>
      <c r="K119" s="132" t="n">
        <f aca="false">I119/12</f>
        <v>12213</v>
      </c>
      <c r="L119" s="127" t="n">
        <f aca="false">G119-F119+1</f>
        <v>365</v>
      </c>
      <c r="M119" s="128"/>
      <c r="N119" s="132"/>
      <c r="O119" s="132" t="n">
        <f aca="false">$O$1-F119+1</f>
        <v>3</v>
      </c>
      <c r="P119" s="131" t="n">
        <f aca="false">O119*I119/L119</f>
        <v>1204.5698630137</v>
      </c>
      <c r="Q119" s="146" t="n">
        <f aca="false">I119/12</f>
        <v>12213</v>
      </c>
      <c r="R119" s="128" t="n">
        <f aca="false">IF(F119&lt;$R$2,30,$R$2-F119)</f>
        <v>30</v>
      </c>
      <c r="S119" s="146" t="n">
        <f aca="false">R119*I119/L119</f>
        <v>12045.698630137</v>
      </c>
      <c r="T119" s="146" t="n">
        <f aca="false">I119/12</f>
        <v>12213</v>
      </c>
      <c r="U119" s="132" t="n">
        <f aca="false">IF(F120&lt;$U$2,31,$U$2-F120)</f>
        <v>31</v>
      </c>
      <c r="V119" s="131" t="n">
        <f aca="false">I119*U119/L119</f>
        <v>12447.2219178082</v>
      </c>
      <c r="W119" s="141" t="n">
        <f aca="false">IF(F119&lt;$W$2,31,$W$2-F119)</f>
        <v>31</v>
      </c>
      <c r="X119" s="132" t="n">
        <f aca="false">I119/12</f>
        <v>12213</v>
      </c>
      <c r="Y119" s="131" t="n">
        <f aca="false">I119*W119/L119</f>
        <v>12447.2219178082</v>
      </c>
      <c r="Z119" s="141" t="n">
        <f aca="false">IF(F119&lt;$Z$2,30,$Z$2-I119)</f>
        <v>30</v>
      </c>
      <c r="AA119" s="147" t="n">
        <f aca="false">I119/12</f>
        <v>12213</v>
      </c>
      <c r="AB119" s="147" t="n">
        <f aca="false">I119*Z119/L119</f>
        <v>12045.698630137</v>
      </c>
      <c r="AC119" s="143"/>
      <c r="AD119" s="144"/>
      <c r="AE119" s="144"/>
    </row>
    <row r="120" customFormat="false" ht="15.75" hidden="false" customHeight="true" outlineLevel="0" collapsed="false">
      <c r="A120" s="138" t="n">
        <v>0</v>
      </c>
      <c r="B120" s="139" t="n">
        <v>45778</v>
      </c>
      <c r="C120" s="128" t="s">
        <v>368</v>
      </c>
      <c r="D120" s="128" t="s">
        <v>369</v>
      </c>
      <c r="E120" s="128" t="s">
        <v>118</v>
      </c>
      <c r="F120" s="140" t="n">
        <v>45809</v>
      </c>
      <c r="G120" s="140" t="n">
        <v>46173</v>
      </c>
      <c r="H120" s="145" t="s">
        <v>9</v>
      </c>
      <c r="I120" s="131" t="n">
        <v>981000</v>
      </c>
      <c r="J120" s="132"/>
      <c r="K120" s="132"/>
      <c r="L120" s="127" t="n">
        <f aca="false">G120-F120+1</f>
        <v>365</v>
      </c>
      <c r="M120" s="128"/>
      <c r="N120" s="132"/>
      <c r="O120" s="132" t="n">
        <f aca="false">$O$1-F120+1</f>
        <v>0</v>
      </c>
      <c r="P120" s="131" t="n">
        <f aca="false">O120*I120/L120</f>
        <v>0</v>
      </c>
      <c r="Q120" s="146" t="n">
        <f aca="false">I120/12</f>
        <v>81750</v>
      </c>
      <c r="R120" s="128" t="n">
        <f aca="false">$R$2-F120+1</f>
        <v>30</v>
      </c>
      <c r="S120" s="147" t="n">
        <f aca="false">R120*I120/L120</f>
        <v>80630.1369863014</v>
      </c>
      <c r="T120" s="146" t="n">
        <f aca="false">I120/12</f>
        <v>81750</v>
      </c>
      <c r="U120" s="132" t="n">
        <f aca="false">IF(F121&lt;$U$2,31,$U$2-F121)</f>
        <v>31</v>
      </c>
      <c r="V120" s="131" t="n">
        <f aca="false">I120*U120/L120</f>
        <v>83317.8082191781</v>
      </c>
      <c r="W120" s="141" t="n">
        <f aca="false">IF(F120&lt;$W$2,31,$W$2-F120)</f>
        <v>31</v>
      </c>
      <c r="X120" s="132" t="n">
        <f aca="false">I120/12</f>
        <v>81750</v>
      </c>
      <c r="Y120" s="131" t="n">
        <f aca="false">I120*W120/L120</f>
        <v>83317.8082191781</v>
      </c>
      <c r="Z120" s="141" t="n">
        <f aca="false">IF(F120&lt;$Z$2,30,$Z$2-I120)</f>
        <v>30</v>
      </c>
      <c r="AA120" s="147" t="n">
        <f aca="false">I120/12</f>
        <v>81750</v>
      </c>
      <c r="AB120" s="147" t="n">
        <f aca="false">I120*Z120/L120</f>
        <v>80630.1369863014</v>
      </c>
      <c r="AC120" s="143"/>
      <c r="AD120" s="144"/>
      <c r="AE120" s="144"/>
    </row>
    <row r="121" s="137" customFormat="true" ht="15.75" hidden="false" customHeight="true" outlineLevel="0" collapsed="false">
      <c r="A121" s="125" t="n">
        <v>0</v>
      </c>
      <c r="B121" s="126" t="n">
        <v>45778</v>
      </c>
      <c r="C121" s="127" t="s">
        <v>370</v>
      </c>
      <c r="D121" s="127" t="s">
        <v>371</v>
      </c>
      <c r="E121" s="128" t="s">
        <v>118</v>
      </c>
      <c r="F121" s="129" t="n">
        <v>45807</v>
      </c>
      <c r="G121" s="129" t="n">
        <v>45898</v>
      </c>
      <c r="H121" s="130" t="s">
        <v>24</v>
      </c>
      <c r="I121" s="131" t="n">
        <v>17700</v>
      </c>
      <c r="J121" s="132"/>
      <c r="K121" s="132" t="n">
        <f aca="false">I121/3</f>
        <v>5900</v>
      </c>
      <c r="L121" s="127" t="n">
        <f aca="false">G121-F121+1</f>
        <v>92</v>
      </c>
      <c r="M121" s="127"/>
      <c r="N121" s="132"/>
      <c r="O121" s="132" t="n">
        <f aca="false">$O$1-F121+1</f>
        <v>2</v>
      </c>
      <c r="P121" s="131" t="n">
        <f aca="false">O121*I121/L121</f>
        <v>384.782608695652</v>
      </c>
      <c r="Q121" s="133" t="n">
        <f aca="false">I121/3</f>
        <v>5900</v>
      </c>
      <c r="R121" s="127" t="n">
        <f aca="false">IF(F121&lt;$R$2,30,$R$2-F121)</f>
        <v>30</v>
      </c>
      <c r="S121" s="133" t="n">
        <f aca="false">R121*I121/L121</f>
        <v>5771.73913043478</v>
      </c>
      <c r="T121" s="134" t="n">
        <f aca="false">I121/3</f>
        <v>5900</v>
      </c>
      <c r="U121" s="132" t="n">
        <f aca="false">IF(F122&lt;$U$2,31,$U$2-F122)</f>
        <v>31</v>
      </c>
      <c r="V121" s="131" t="n">
        <f aca="false">I121*U121/L121</f>
        <v>5964.13043478261</v>
      </c>
      <c r="W121" s="135" t="n">
        <f aca="false">G121-$W$1+1</f>
        <v>29</v>
      </c>
      <c r="X121" s="132" t="n">
        <v>0</v>
      </c>
      <c r="Y121" s="131" t="n">
        <f aca="false">I121*W121/L121</f>
        <v>5579.34782608696</v>
      </c>
      <c r="Z121" s="127"/>
      <c r="AA121" s="127"/>
      <c r="AB121" s="127"/>
      <c r="AC121" s="136"/>
      <c r="AD121" s="136"/>
      <c r="AE121" s="136"/>
    </row>
    <row r="122" s="137" customFormat="true" ht="15.75" hidden="false" customHeight="true" outlineLevel="0" collapsed="false">
      <c r="A122" s="125" t="n">
        <v>0</v>
      </c>
      <c r="B122" s="126" t="n">
        <v>45778</v>
      </c>
      <c r="C122" s="127" t="s">
        <v>372</v>
      </c>
      <c r="D122" s="127" t="s">
        <v>373</v>
      </c>
      <c r="E122" s="128" t="s">
        <v>118</v>
      </c>
      <c r="F122" s="129" t="n">
        <v>45807</v>
      </c>
      <c r="G122" s="129" t="n">
        <v>46171</v>
      </c>
      <c r="H122" s="156" t="s">
        <v>7</v>
      </c>
      <c r="I122" s="131" t="n">
        <f aca="false">1720440*2</f>
        <v>3440880</v>
      </c>
      <c r="J122" s="132"/>
      <c r="K122" s="132" t="n">
        <f aca="false">I122/12</f>
        <v>286740</v>
      </c>
      <c r="L122" s="127" t="n">
        <f aca="false">G122-F122+1</f>
        <v>365</v>
      </c>
      <c r="M122" s="127"/>
      <c r="N122" s="132"/>
      <c r="O122" s="132" t="n">
        <f aca="false">$O$1-F122+1</f>
        <v>2</v>
      </c>
      <c r="P122" s="131" t="n">
        <f aca="false">O122*I122/L122</f>
        <v>18854.1369863014</v>
      </c>
      <c r="Q122" s="133" t="n">
        <f aca="false">I122/12</f>
        <v>286740</v>
      </c>
      <c r="R122" s="127" t="n">
        <f aca="false">IF(F122&lt;$R$2,30,$R$2-F122)</f>
        <v>30</v>
      </c>
      <c r="S122" s="133" t="n">
        <f aca="false">R122*I122/L122</f>
        <v>282812.054794521</v>
      </c>
      <c r="T122" s="133" t="n">
        <f aca="false">I122/12</f>
        <v>286740</v>
      </c>
      <c r="U122" s="132" t="n">
        <f aca="false">IF(F124&lt;$U$2,31,$U$2-F124)</f>
        <v>31</v>
      </c>
      <c r="V122" s="131" t="n">
        <f aca="false">I122*U122/L122</f>
        <v>292239.123287671</v>
      </c>
      <c r="W122" s="135" t="n">
        <f aca="false">IF(F122&lt;$W$2,31,$W$2-F122)</f>
        <v>31</v>
      </c>
      <c r="X122" s="132" t="n">
        <f aca="false">I122/12</f>
        <v>286740</v>
      </c>
      <c r="Y122" s="131" t="n">
        <f aca="false">I122*W122/L122</f>
        <v>292239.123287671</v>
      </c>
      <c r="Z122" s="135" t="n">
        <f aca="false">IF(F122&lt;$Z$2,30,$Z$2-I122)</f>
        <v>30</v>
      </c>
      <c r="AA122" s="134" t="n">
        <f aca="false">I122/12</f>
        <v>286740</v>
      </c>
      <c r="AB122" s="134" t="n">
        <f aca="false">I122*Z122/L122</f>
        <v>282812.054794521</v>
      </c>
      <c r="AC122" s="143"/>
      <c r="AD122" s="144"/>
      <c r="AE122" s="144"/>
    </row>
    <row r="123" s="137" customFormat="true" ht="15.75" hidden="false" customHeight="true" outlineLevel="0" collapsed="false">
      <c r="A123" s="125"/>
      <c r="B123" s="126" t="s">
        <v>374</v>
      </c>
      <c r="C123" s="127" t="s">
        <v>375</v>
      </c>
      <c r="D123" s="127" t="s">
        <v>376</v>
      </c>
      <c r="E123" s="128"/>
      <c r="F123" s="129" t="n">
        <v>45870</v>
      </c>
      <c r="G123" s="129" t="n">
        <v>45881</v>
      </c>
      <c r="H123" s="127" t="s">
        <v>14</v>
      </c>
      <c r="I123" s="131" t="n">
        <f aca="false">10620-6509</f>
        <v>4111</v>
      </c>
      <c r="J123" s="132"/>
      <c r="K123" s="132"/>
      <c r="L123" s="127" t="n">
        <f aca="false">G123-F123+1</f>
        <v>12</v>
      </c>
      <c r="M123" s="127"/>
      <c r="N123" s="132"/>
      <c r="O123" s="132"/>
      <c r="P123" s="131"/>
      <c r="Q123" s="133"/>
      <c r="R123" s="127"/>
      <c r="S123" s="133"/>
      <c r="T123" s="133"/>
      <c r="U123" s="132"/>
      <c r="V123" s="131"/>
      <c r="W123" s="135" t="n">
        <f aca="false">G123-F123+1</f>
        <v>12</v>
      </c>
      <c r="X123" s="132" t="n">
        <f aca="false">I123</f>
        <v>4111</v>
      </c>
      <c r="Y123" s="131" t="n">
        <f aca="false">I123*W123/L123</f>
        <v>4111</v>
      </c>
      <c r="Z123" s="127" t="s">
        <v>377</v>
      </c>
      <c r="AA123" s="127"/>
      <c r="AB123" s="127"/>
      <c r="AC123" s="136"/>
      <c r="AD123" s="136"/>
      <c r="AE123" s="136"/>
    </row>
    <row r="124" s="137" customFormat="true" ht="15.75" hidden="false" customHeight="true" outlineLevel="0" collapsed="false">
      <c r="A124" s="125" t="n">
        <v>0</v>
      </c>
      <c r="B124" s="126" t="s">
        <v>378</v>
      </c>
      <c r="C124" s="127" t="s">
        <v>375</v>
      </c>
      <c r="D124" s="127" t="s">
        <v>379</v>
      </c>
      <c r="E124" s="128" t="s">
        <v>118</v>
      </c>
      <c r="F124" s="129" t="n">
        <v>45809</v>
      </c>
      <c r="G124" s="129" t="n">
        <v>45869</v>
      </c>
      <c r="H124" s="156" t="s">
        <v>20</v>
      </c>
      <c r="I124" s="131" t="n">
        <f aca="false">10620*2</f>
        <v>21240</v>
      </c>
      <c r="J124" s="132"/>
      <c r="K124" s="132"/>
      <c r="L124" s="127" t="n">
        <f aca="false">G124-F124+1</f>
        <v>61</v>
      </c>
      <c r="M124" s="127"/>
      <c r="N124" s="132"/>
      <c r="O124" s="132" t="n">
        <f aca="false">$O$1-F124+1</f>
        <v>0</v>
      </c>
      <c r="P124" s="131" t="n">
        <f aca="false">O124*I124/L124</f>
        <v>0</v>
      </c>
      <c r="Q124" s="133" t="n">
        <f aca="false">I124/2</f>
        <v>10620</v>
      </c>
      <c r="R124" s="127" t="n">
        <f aca="false">$R$2-F124+1</f>
        <v>30</v>
      </c>
      <c r="S124" s="134" t="n">
        <f aca="false">R124*I124/L124</f>
        <v>10445.9016393443</v>
      </c>
      <c r="T124" s="133" t="n">
        <f aca="false">I124/2</f>
        <v>10620</v>
      </c>
      <c r="U124" s="132" t="n">
        <f aca="false">IF(F125&lt;$U$2,31,$U$2-F125)</f>
        <v>31</v>
      </c>
      <c r="V124" s="131" t="n">
        <f aca="false">I124*U124/L124</f>
        <v>10794.0983606557</v>
      </c>
      <c r="W124" s="135" t="n">
        <v>0</v>
      </c>
      <c r="X124" s="132" t="n">
        <v>0</v>
      </c>
      <c r="Y124" s="127" t="n">
        <v>0</v>
      </c>
      <c r="Z124" s="127"/>
      <c r="AA124" s="127"/>
      <c r="AB124" s="127"/>
      <c r="AC124" s="136"/>
      <c r="AD124" s="136"/>
      <c r="AE124" s="136"/>
    </row>
    <row r="125" s="137" customFormat="true" ht="15.75" hidden="false" customHeight="true" outlineLevel="0" collapsed="false">
      <c r="A125" s="125" t="n">
        <v>0</v>
      </c>
      <c r="B125" s="126" t="n">
        <v>45778</v>
      </c>
      <c r="C125" s="127" t="s">
        <v>247</v>
      </c>
      <c r="D125" s="127" t="s">
        <v>380</v>
      </c>
      <c r="E125" s="128" t="s">
        <v>118</v>
      </c>
      <c r="F125" s="129" t="n">
        <v>45808</v>
      </c>
      <c r="G125" s="129" t="n">
        <v>45869</v>
      </c>
      <c r="H125" s="127" t="s">
        <v>21</v>
      </c>
      <c r="I125" s="131" t="n">
        <v>31860</v>
      </c>
      <c r="J125" s="132"/>
      <c r="K125" s="132" t="n">
        <f aca="false">I125/2</f>
        <v>15930</v>
      </c>
      <c r="L125" s="127" t="n">
        <f aca="false">G125-F125+1</f>
        <v>62</v>
      </c>
      <c r="M125" s="127"/>
      <c r="N125" s="132"/>
      <c r="O125" s="132" t="n">
        <f aca="false">$O$1-F125+1</f>
        <v>1</v>
      </c>
      <c r="P125" s="131" t="n">
        <f aca="false">O125*I125/L125</f>
        <v>513.870967741936</v>
      </c>
      <c r="Q125" s="133" t="n">
        <f aca="false">I125/2</f>
        <v>15930</v>
      </c>
      <c r="R125" s="127" t="n">
        <f aca="false">IF(F125&lt;$R$2,30,$R$2-F125)</f>
        <v>30</v>
      </c>
      <c r="S125" s="133" t="n">
        <f aca="false">R125*I125/L125</f>
        <v>15416.1290322581</v>
      </c>
      <c r="T125" s="127"/>
      <c r="U125" s="132" t="n">
        <f aca="false">G125-$R$2</f>
        <v>31</v>
      </c>
      <c r="V125" s="127" t="n">
        <f aca="false">U125*I125/L125</f>
        <v>15930</v>
      </c>
      <c r="W125" s="135" t="n">
        <v>0</v>
      </c>
      <c r="X125" s="132" t="n">
        <v>0</v>
      </c>
      <c r="Y125" s="127" t="n">
        <v>0</v>
      </c>
      <c r="Z125" s="127"/>
      <c r="AA125" s="127"/>
      <c r="AB125" s="127"/>
      <c r="AC125" s="136"/>
      <c r="AD125" s="136"/>
      <c r="AE125" s="136"/>
    </row>
    <row r="126" s="137" customFormat="true" ht="15.75" hidden="false" customHeight="true" outlineLevel="0" collapsed="false">
      <c r="A126" s="125" t="n">
        <v>0</v>
      </c>
      <c r="B126" s="126" t="n">
        <v>45778</v>
      </c>
      <c r="C126" s="127" t="s">
        <v>381</v>
      </c>
      <c r="D126" s="127" t="s">
        <v>382</v>
      </c>
      <c r="E126" s="128" t="s">
        <v>132</v>
      </c>
      <c r="F126" s="129" t="n">
        <v>45809</v>
      </c>
      <c r="G126" s="129" t="n">
        <v>45838</v>
      </c>
      <c r="H126" s="142" t="s">
        <v>19</v>
      </c>
      <c r="I126" s="131" t="n">
        <v>29500</v>
      </c>
      <c r="J126" s="132"/>
      <c r="K126" s="132"/>
      <c r="L126" s="127" t="n">
        <f aca="false">G126-F126+1</f>
        <v>30</v>
      </c>
      <c r="M126" s="127"/>
      <c r="N126" s="132"/>
      <c r="O126" s="132" t="n">
        <f aca="false">$O$1-F126+1</f>
        <v>0</v>
      </c>
      <c r="P126" s="131" t="n">
        <f aca="false">O126*I126/L126</f>
        <v>0</v>
      </c>
      <c r="Q126" s="133" t="n">
        <f aca="false">I126</f>
        <v>29500</v>
      </c>
      <c r="R126" s="127" t="n">
        <v>30</v>
      </c>
      <c r="S126" s="134" t="n">
        <f aca="false">R126*I126/L126</f>
        <v>29500</v>
      </c>
      <c r="T126" s="127"/>
      <c r="U126" s="132" t="e">
        <f aca="false">IF(#REF!&lt;$U$2,31,$U$2-#REF!)</f>
        <v>#REF!</v>
      </c>
      <c r="V126" s="127"/>
      <c r="W126" s="135" t="n">
        <v>0</v>
      </c>
      <c r="X126" s="132" t="n">
        <v>0</v>
      </c>
      <c r="Y126" s="127" t="n">
        <v>0</v>
      </c>
      <c r="Z126" s="127"/>
      <c r="AA126" s="127"/>
      <c r="AB126" s="127"/>
      <c r="AC126" s="136"/>
      <c r="AD126" s="136"/>
      <c r="AE126" s="136"/>
    </row>
    <row r="127" customFormat="false" ht="15.75" hidden="false" customHeight="true" outlineLevel="0" collapsed="false">
      <c r="A127" s="138" t="n">
        <v>0</v>
      </c>
      <c r="B127" s="139" t="n">
        <v>45658</v>
      </c>
      <c r="C127" s="150" t="s">
        <v>383</v>
      </c>
      <c r="D127" s="128" t="s">
        <v>384</v>
      </c>
      <c r="E127" s="128"/>
      <c r="F127" s="154" t="n">
        <v>45674</v>
      </c>
      <c r="G127" s="154" t="n">
        <v>46038</v>
      </c>
      <c r="H127" s="145" t="s">
        <v>9</v>
      </c>
      <c r="I127" s="157" t="n">
        <v>538908.96</v>
      </c>
      <c r="J127" s="132" t="n">
        <v>44909.08</v>
      </c>
      <c r="K127" s="132" t="n">
        <f aca="false">I127/12</f>
        <v>44909.08</v>
      </c>
      <c r="L127" s="127" t="n">
        <f aca="false">G127-F127+1</f>
        <v>365</v>
      </c>
      <c r="M127" s="128" t="n">
        <f aca="false">IF(F127&lt;H1,30,G127-1-4-2025)</f>
        <v>30</v>
      </c>
      <c r="N127" s="132" t="n">
        <f aca="false">I127/L127*M127</f>
        <v>44293.8871232877</v>
      </c>
      <c r="O127" s="132" t="n">
        <f aca="false">IF(F127&lt;$O$1,31,$O$1-F127)</f>
        <v>31</v>
      </c>
      <c r="P127" s="131" t="n">
        <f aca="false">O127*I127/L127</f>
        <v>45770.3500273973</v>
      </c>
      <c r="Q127" s="146" t="n">
        <f aca="false">I127/12</f>
        <v>44909.08</v>
      </c>
      <c r="R127" s="128" t="n">
        <f aca="false">IF(F127&lt;$R$2,30,$R$2-F127)</f>
        <v>30</v>
      </c>
      <c r="S127" s="146" t="n">
        <f aca="false">R127*I127/L127</f>
        <v>44293.8871232877</v>
      </c>
      <c r="T127" s="146" t="n">
        <f aca="false">I127/12</f>
        <v>44909.08</v>
      </c>
      <c r="U127" s="132" t="n">
        <f aca="false">IF(F128&lt;$U$2,31,$U$2-F128)</f>
        <v>31</v>
      </c>
      <c r="V127" s="131" t="n">
        <f aca="false">I127*U127/L127</f>
        <v>45770.3500273973</v>
      </c>
      <c r="W127" s="141" t="n">
        <f aca="false">IF(F127&lt;$W$2,31,$W$2-F127)</f>
        <v>31</v>
      </c>
      <c r="X127" s="132" t="n">
        <f aca="false">I127/12</f>
        <v>44909.08</v>
      </c>
      <c r="Y127" s="131" t="n">
        <f aca="false">I127*W127/L127</f>
        <v>45770.3500273973</v>
      </c>
      <c r="Z127" s="141" t="n">
        <f aca="false">IF(F127&lt;$Z$2,30,$Z$2-I127)</f>
        <v>30</v>
      </c>
      <c r="AA127" s="147" t="n">
        <f aca="false">I127/12</f>
        <v>44909.08</v>
      </c>
      <c r="AB127" s="147" t="n">
        <f aca="false">I127*Z127/L127</f>
        <v>44293.8871232877</v>
      </c>
      <c r="AC127" s="143"/>
      <c r="AD127" s="144"/>
      <c r="AE127" s="144"/>
    </row>
    <row r="128" s="137" customFormat="true" ht="15.75" hidden="false" customHeight="true" outlineLevel="0" collapsed="false">
      <c r="A128" s="125" t="n">
        <v>0</v>
      </c>
      <c r="B128" s="126" t="n">
        <v>45689</v>
      </c>
      <c r="C128" s="127" t="s">
        <v>341</v>
      </c>
      <c r="D128" s="127" t="s">
        <v>385</v>
      </c>
      <c r="E128" s="128"/>
      <c r="F128" s="148" t="n">
        <v>45705</v>
      </c>
      <c r="G128" s="148" t="n">
        <v>46069</v>
      </c>
      <c r="H128" s="142" t="s">
        <v>9</v>
      </c>
      <c r="I128" s="157" t="n">
        <v>300900</v>
      </c>
      <c r="J128" s="132" t="n">
        <v>25075</v>
      </c>
      <c r="K128" s="132" t="n">
        <f aca="false">I128/12</f>
        <v>25075</v>
      </c>
      <c r="L128" s="127" t="n">
        <f aca="false">G128-F128+1</f>
        <v>365</v>
      </c>
      <c r="M128" s="127" t="n">
        <f aca="false">IF(F128&lt;H3,30,G128-1-4-2025)</f>
        <v>30</v>
      </c>
      <c r="N128" s="132" t="n">
        <f aca="false">I128/L128*M128</f>
        <v>24731.5068493151</v>
      </c>
      <c r="O128" s="132" t="n">
        <f aca="false">IF(F128&lt;$O$1,31,$O$1-F128)</f>
        <v>31</v>
      </c>
      <c r="P128" s="131" t="n">
        <f aca="false">O128*I128/L128</f>
        <v>25555.8904109589</v>
      </c>
      <c r="Q128" s="133" t="n">
        <f aca="false">I128/12</f>
        <v>25075</v>
      </c>
      <c r="R128" s="127" t="n">
        <f aca="false">IF(F128&lt;$R$2,30,$R$2-F128)</f>
        <v>30</v>
      </c>
      <c r="S128" s="133" t="n">
        <f aca="false">R128*I128/L128</f>
        <v>24731.5068493151</v>
      </c>
      <c r="T128" s="133" t="n">
        <f aca="false">I128/12</f>
        <v>25075</v>
      </c>
      <c r="U128" s="132" t="n">
        <f aca="false">IF(F129&lt;$U$2,31,$U$2-F129)</f>
        <v>31</v>
      </c>
      <c r="V128" s="131" t="n">
        <f aca="false">I128*U128/L128</f>
        <v>25555.8904109589</v>
      </c>
      <c r="W128" s="135" t="n">
        <f aca="false">IF(F128&lt;$W$2,31,$W$2-F128)</f>
        <v>31</v>
      </c>
      <c r="X128" s="132" t="n">
        <f aca="false">I128/12</f>
        <v>25075</v>
      </c>
      <c r="Y128" s="131" t="n">
        <f aca="false">I128*W128/L128</f>
        <v>25555.8904109589</v>
      </c>
      <c r="Z128" s="135" t="n">
        <f aca="false">IF(F128&lt;$Z$2,30,$Z$2-I128)</f>
        <v>30</v>
      </c>
      <c r="AA128" s="134" t="n">
        <f aca="false">I128/12</f>
        <v>25075</v>
      </c>
      <c r="AB128" s="134" t="n">
        <f aca="false">I128*Z128/L128</f>
        <v>24731.5068493151</v>
      </c>
      <c r="AC128" s="143"/>
      <c r="AD128" s="144"/>
      <c r="AE128" s="144"/>
    </row>
    <row r="129" customFormat="false" ht="15.75" hidden="false" customHeight="true" outlineLevel="0" collapsed="false">
      <c r="A129" s="138" t="n">
        <v>0</v>
      </c>
      <c r="B129" s="139" t="n">
        <v>45689</v>
      </c>
      <c r="C129" s="150" t="s">
        <v>386</v>
      </c>
      <c r="D129" s="128" t="s">
        <v>387</v>
      </c>
      <c r="E129" s="128"/>
      <c r="F129" s="154" t="n">
        <v>45711</v>
      </c>
      <c r="G129" s="154" t="n">
        <v>46076</v>
      </c>
      <c r="H129" s="145" t="s">
        <v>9</v>
      </c>
      <c r="I129" s="157" t="n">
        <v>162000</v>
      </c>
      <c r="J129" s="132" t="n">
        <v>13500</v>
      </c>
      <c r="K129" s="132" t="n">
        <f aca="false">I129/12</f>
        <v>13500</v>
      </c>
      <c r="L129" s="127" t="n">
        <f aca="false">G129-F129+1</f>
        <v>366</v>
      </c>
      <c r="M129" s="128" t="n">
        <f aca="false">IF(F129&lt;H4,30,G129-1-4-2025)</f>
        <v>30</v>
      </c>
      <c r="N129" s="132" t="n">
        <f aca="false">I129/L129*M129</f>
        <v>13278.6885245902</v>
      </c>
      <c r="O129" s="132" t="n">
        <f aca="false">IF(F129&lt;$O$1,31,$O$1-F129)</f>
        <v>31</v>
      </c>
      <c r="P129" s="131" t="n">
        <f aca="false">O129*I129/L129</f>
        <v>13721.3114754098</v>
      </c>
      <c r="Q129" s="146" t="n">
        <f aca="false">I129/12</f>
        <v>13500</v>
      </c>
      <c r="R129" s="128" t="n">
        <f aca="false">IF(F129&lt;$R$2,30,$R$2-F129)</f>
        <v>30</v>
      </c>
      <c r="S129" s="146" t="n">
        <f aca="false">R129*I129/L129</f>
        <v>13278.6885245902</v>
      </c>
      <c r="T129" s="146" t="n">
        <f aca="false">I129/12</f>
        <v>13500</v>
      </c>
      <c r="U129" s="132" t="n">
        <f aca="false">IF(F130&lt;$U$2,31,$U$2-F130)</f>
        <v>31</v>
      </c>
      <c r="V129" s="131" t="n">
        <f aca="false">I129*U129/L129</f>
        <v>13721.3114754098</v>
      </c>
      <c r="W129" s="141" t="n">
        <f aca="false">IF(F129&lt;$W$2,31,$W$2-F129)</f>
        <v>31</v>
      </c>
      <c r="X129" s="132" t="n">
        <f aca="false">I129/12</f>
        <v>13500</v>
      </c>
      <c r="Y129" s="131" t="n">
        <f aca="false">I129*W129/L129</f>
        <v>13721.3114754098</v>
      </c>
      <c r="Z129" s="141" t="n">
        <f aca="false">IF(F129&lt;$Z$2,30,$Z$2-I129)</f>
        <v>30</v>
      </c>
      <c r="AA129" s="147" t="n">
        <f aca="false">I129/12</f>
        <v>13500</v>
      </c>
      <c r="AB129" s="147" t="n">
        <f aca="false">I129*Z129/L129</f>
        <v>13278.6885245902</v>
      </c>
      <c r="AC129" s="143"/>
      <c r="AD129" s="144"/>
      <c r="AE129" s="144"/>
    </row>
    <row r="130" customFormat="false" ht="15.75" hidden="false" customHeight="true" outlineLevel="0" collapsed="false">
      <c r="A130" s="138" t="n">
        <v>0</v>
      </c>
      <c r="B130" s="139" t="n">
        <v>45717</v>
      </c>
      <c r="C130" s="145" t="s">
        <v>388</v>
      </c>
      <c r="D130" s="128" t="s">
        <v>389</v>
      </c>
      <c r="E130" s="128"/>
      <c r="F130" s="154" t="n">
        <v>45741</v>
      </c>
      <c r="G130" s="154" t="n">
        <v>46106</v>
      </c>
      <c r="H130" s="145" t="s">
        <v>9</v>
      </c>
      <c r="I130" s="157" t="n">
        <f aca="false">150000</f>
        <v>150000</v>
      </c>
      <c r="J130" s="132" t="n">
        <v>14750</v>
      </c>
      <c r="K130" s="132" t="n">
        <f aca="false">(I130/12)-(177000/12-I130/12)</f>
        <v>10250</v>
      </c>
      <c r="L130" s="127" t="n">
        <f aca="false">G130-F130+1</f>
        <v>366</v>
      </c>
      <c r="M130" s="128" t="n">
        <f aca="false">IF(F130&lt;H5,30,G130-1-4-2025)</f>
        <v>30</v>
      </c>
      <c r="N130" s="132" t="n">
        <f aca="false">I130/L130*M130</f>
        <v>12295.0819672131</v>
      </c>
      <c r="O130" s="132" t="n">
        <f aca="false">IF(F130&lt;$O$1,31,$O$1-F130)</f>
        <v>31</v>
      </c>
      <c r="P130" s="131" t="n">
        <f aca="false">O130*I130/L130</f>
        <v>12704.9180327869</v>
      </c>
      <c r="Q130" s="146" t="n">
        <f aca="false">I130/12</f>
        <v>12500</v>
      </c>
      <c r="R130" s="128" t="n">
        <f aca="false">IF(F130&lt;$R$2,30,$R$2-F130)</f>
        <v>30</v>
      </c>
      <c r="S130" s="146" t="n">
        <f aca="false">R130*I130/L130</f>
        <v>12295.0819672131</v>
      </c>
      <c r="T130" s="146" t="n">
        <f aca="false">I130/12</f>
        <v>12500</v>
      </c>
      <c r="U130" s="132" t="n">
        <f aca="false">IF(F131&lt;$U$2,31,$U$2-F131)</f>
        <v>31</v>
      </c>
      <c r="V130" s="131" t="n">
        <f aca="false">I130*U130/L130</f>
        <v>12704.9180327869</v>
      </c>
      <c r="W130" s="141" t="n">
        <f aca="false">IF(F130&lt;$W$2,31,$W$2-F130)</f>
        <v>31</v>
      </c>
      <c r="X130" s="132" t="n">
        <f aca="false">I130/12</f>
        <v>12500</v>
      </c>
      <c r="Y130" s="131" t="n">
        <f aca="false">I130*W130/L130</f>
        <v>12704.9180327869</v>
      </c>
      <c r="Z130" s="141" t="n">
        <f aca="false">IF(F130&lt;$Z$2,30,$Z$2-I130)</f>
        <v>30</v>
      </c>
      <c r="AA130" s="147" t="n">
        <f aca="false">I130/12</f>
        <v>12500</v>
      </c>
      <c r="AB130" s="147" t="n">
        <f aca="false">I130*Z130/L130</f>
        <v>12295.0819672131</v>
      </c>
      <c r="AC130" s="143"/>
      <c r="AD130" s="144"/>
      <c r="AE130" s="144"/>
    </row>
    <row r="131" customFormat="false" ht="15.75" hidden="false" customHeight="true" outlineLevel="0" collapsed="false">
      <c r="A131" s="138" t="s">
        <v>390</v>
      </c>
      <c r="B131" s="139" t="n">
        <v>45627</v>
      </c>
      <c r="C131" s="128" t="s">
        <v>391</v>
      </c>
      <c r="D131" s="128" t="s">
        <v>392</v>
      </c>
      <c r="E131" s="128"/>
      <c r="F131" s="154" t="n">
        <v>45640</v>
      </c>
      <c r="G131" s="154" t="n">
        <v>45716</v>
      </c>
      <c r="H131" s="128" t="s">
        <v>21</v>
      </c>
      <c r="I131" s="157" t="n">
        <v>10000</v>
      </c>
      <c r="J131" s="132"/>
      <c r="K131" s="132"/>
      <c r="L131" s="127" t="n">
        <f aca="false">G131-F131+1</f>
        <v>77</v>
      </c>
      <c r="M131" s="128"/>
      <c r="N131" s="132"/>
      <c r="O131" s="132"/>
      <c r="P131" s="131"/>
      <c r="Q131" s="128"/>
      <c r="R131" s="128" t="n">
        <f aca="false">IF(F131&lt;$R$2,30,$R$2-F131)</f>
        <v>30</v>
      </c>
      <c r="S131" s="128"/>
      <c r="T131" s="128"/>
      <c r="U131" s="132" t="n">
        <f aca="false">IF(F132&lt;$U$2,31,$U$2-F132)</f>
        <v>31</v>
      </c>
      <c r="V131" s="128"/>
      <c r="W131" s="141" t="n">
        <v>0</v>
      </c>
      <c r="X131" s="132" t="n">
        <v>0</v>
      </c>
      <c r="Y131" s="128" t="n">
        <v>0</v>
      </c>
      <c r="Z131" s="128"/>
      <c r="AA131" s="128"/>
      <c r="AB131" s="128"/>
      <c r="AC131" s="136"/>
      <c r="AD131" s="136"/>
      <c r="AE131" s="136"/>
    </row>
    <row r="132" customFormat="false" ht="15.75" hidden="false" customHeight="true" outlineLevel="0" collapsed="false">
      <c r="A132" s="138" t="n">
        <v>0</v>
      </c>
      <c r="B132" s="139" t="n">
        <v>45717</v>
      </c>
      <c r="C132" s="145" t="s">
        <v>393</v>
      </c>
      <c r="D132" s="128" t="s">
        <v>394</v>
      </c>
      <c r="E132" s="128"/>
      <c r="F132" s="154" t="n">
        <v>45738</v>
      </c>
      <c r="G132" s="154" t="n">
        <v>46103</v>
      </c>
      <c r="H132" s="145" t="s">
        <v>9</v>
      </c>
      <c r="I132" s="157" t="n">
        <v>177000</v>
      </c>
      <c r="J132" s="132" t="n">
        <v>14750</v>
      </c>
      <c r="K132" s="132" t="n">
        <f aca="false">I132/12</f>
        <v>14750</v>
      </c>
      <c r="L132" s="127" t="n">
        <f aca="false">G132-F132+1</f>
        <v>366</v>
      </c>
      <c r="M132" s="128" t="n">
        <f aca="false">IF(F132&lt;H6,30,G132-1-4-2025)</f>
        <v>30</v>
      </c>
      <c r="N132" s="132" t="n">
        <f aca="false">I132/L132*M132</f>
        <v>14508.1967213115</v>
      </c>
      <c r="O132" s="132" t="n">
        <f aca="false">IF(F132&lt;$O$1,31,$O$1-F132)</f>
        <v>31</v>
      </c>
      <c r="P132" s="131" t="n">
        <f aca="false">O132*I132/L132</f>
        <v>14991.8032786885</v>
      </c>
      <c r="Q132" s="146" t="n">
        <f aca="false">I132/12</f>
        <v>14750</v>
      </c>
      <c r="R132" s="128" t="n">
        <f aca="false">IF(F132&lt;$R$2,30,$R$2-F132)</f>
        <v>30</v>
      </c>
      <c r="S132" s="146" t="n">
        <f aca="false">R132*I132/L132</f>
        <v>14508.1967213115</v>
      </c>
      <c r="T132" s="146" t="n">
        <f aca="false">I132/12</f>
        <v>14750</v>
      </c>
      <c r="U132" s="132" t="n">
        <f aca="false">IF(F133&lt;$U$2,31,$U$2-F133)</f>
        <v>31</v>
      </c>
      <c r="V132" s="131" t="n">
        <f aca="false">I132*U132/L132</f>
        <v>14991.8032786885</v>
      </c>
      <c r="W132" s="141" t="n">
        <f aca="false">IF(F132&lt;$W$2,31,$W$2-F132)</f>
        <v>31</v>
      </c>
      <c r="X132" s="132" t="n">
        <f aca="false">I132/12</f>
        <v>14750</v>
      </c>
      <c r="Y132" s="131" t="n">
        <f aca="false">I132*W132/L132</f>
        <v>14991.8032786885</v>
      </c>
      <c r="Z132" s="141" t="n">
        <f aca="false">IF(F132&lt;$Z$2,30,$Z$2-I132)</f>
        <v>30</v>
      </c>
      <c r="AA132" s="147" t="n">
        <f aca="false">I132/12</f>
        <v>14750</v>
      </c>
      <c r="AB132" s="147" t="n">
        <f aca="false">I132*Z132/L132</f>
        <v>14508.1967213115</v>
      </c>
      <c r="AC132" s="143"/>
      <c r="AD132" s="144"/>
      <c r="AE132" s="144"/>
    </row>
    <row r="133" s="137" customFormat="true" ht="15" hidden="false" customHeight="false" outlineLevel="0" collapsed="false">
      <c r="A133" s="125" t="s">
        <v>119</v>
      </c>
      <c r="B133" s="126" t="n">
        <v>45689</v>
      </c>
      <c r="C133" s="127" t="s">
        <v>236</v>
      </c>
      <c r="D133" s="127" t="s">
        <v>395</v>
      </c>
      <c r="E133" s="128"/>
      <c r="F133" s="148" t="n">
        <v>45712</v>
      </c>
      <c r="G133" s="148" t="n">
        <v>45800</v>
      </c>
      <c r="H133" s="130" t="s">
        <v>24</v>
      </c>
      <c r="I133" s="157" t="n">
        <v>157707</v>
      </c>
      <c r="J133" s="132" t="n">
        <v>52569</v>
      </c>
      <c r="K133" s="132"/>
      <c r="L133" s="127" t="n">
        <f aca="false">G133-F133+1</f>
        <v>89</v>
      </c>
      <c r="M133" s="127" t="n">
        <f aca="false">IF(F133&lt;H7,30,G133-1-4-2025)</f>
        <v>30</v>
      </c>
      <c r="N133" s="132" t="n">
        <f aca="false">I133/L133*M133</f>
        <v>53159.6629213483</v>
      </c>
      <c r="O133" s="132" t="n">
        <f aca="false">IF(G133&lt;$O$1,G133-$N$1+1,31)</f>
        <v>23</v>
      </c>
      <c r="P133" s="131" t="n">
        <f aca="false">O133*I133/L133</f>
        <v>40755.7415730337</v>
      </c>
      <c r="Q133" s="127"/>
      <c r="R133" s="127" t="n">
        <f aca="false">IF(F133&lt;$R$2,30,$R$2-F133)</f>
        <v>30</v>
      </c>
      <c r="S133" s="127"/>
      <c r="T133" s="127"/>
      <c r="U133" s="132" t="n">
        <f aca="false">IF(F134&lt;$U$2,31,$U$2-F134)</f>
        <v>31</v>
      </c>
      <c r="V133" s="127"/>
      <c r="W133" s="135" t="n">
        <v>0</v>
      </c>
      <c r="X133" s="132" t="n">
        <v>0</v>
      </c>
      <c r="Y133" s="127" t="n">
        <v>0</v>
      </c>
      <c r="Z133" s="127"/>
      <c r="AA133" s="127"/>
      <c r="AB133" s="127"/>
      <c r="AC133" s="136"/>
      <c r="AD133" s="136"/>
      <c r="AE133" s="136"/>
    </row>
    <row r="134" customFormat="false" ht="15.75" hidden="false" customHeight="true" outlineLevel="0" collapsed="false">
      <c r="A134" s="138" t="n">
        <v>0</v>
      </c>
      <c r="B134" s="139" t="n">
        <v>45717</v>
      </c>
      <c r="C134" s="145" t="s">
        <v>396</v>
      </c>
      <c r="D134" s="128"/>
      <c r="E134" s="128"/>
      <c r="F134" s="154" t="n">
        <v>45744</v>
      </c>
      <c r="G134" s="154" t="n">
        <v>46108</v>
      </c>
      <c r="H134" s="145" t="s">
        <v>9</v>
      </c>
      <c r="I134" s="157" t="n">
        <f aca="false">152928-152928</f>
        <v>0</v>
      </c>
      <c r="J134" s="132" t="n">
        <v>12744</v>
      </c>
      <c r="K134" s="132" t="n">
        <v>-12744</v>
      </c>
      <c r="L134" s="127" t="n">
        <f aca="false">G134-F134+1</f>
        <v>365</v>
      </c>
      <c r="M134" s="128" t="n">
        <f aca="false">IF(F134&lt;H8,30,G134-1-4-2025)</f>
        <v>30</v>
      </c>
      <c r="N134" s="132" t="n">
        <f aca="false">I134/L134*M134</f>
        <v>0</v>
      </c>
      <c r="O134" s="132" t="n">
        <f aca="false">IF(F134&lt;$O$1,31,$O$1-F134)</f>
        <v>31</v>
      </c>
      <c r="P134" s="131" t="n">
        <f aca="false">O134*I134/L134</f>
        <v>0</v>
      </c>
      <c r="Q134" s="146" t="n">
        <f aca="false">I134/12</f>
        <v>0</v>
      </c>
      <c r="R134" s="128" t="n">
        <f aca="false">IF(F134&lt;$R$2,30,$R$2-F134)</f>
        <v>30</v>
      </c>
      <c r="S134" s="146" t="n">
        <f aca="false">R134*I134/L134</f>
        <v>0</v>
      </c>
      <c r="T134" s="146" t="n">
        <f aca="false">I134/12</f>
        <v>0</v>
      </c>
      <c r="U134" s="132" t="n">
        <f aca="false">IF(F135&lt;$U$2,31,$U$2-F135)</f>
        <v>31</v>
      </c>
      <c r="V134" s="131" t="n">
        <f aca="false">I134*U134/L134</f>
        <v>0</v>
      </c>
      <c r="W134" s="141" t="n">
        <f aca="false">IF(F134&lt;$W$2,31,$W$2-F134)</f>
        <v>31</v>
      </c>
      <c r="X134" s="132" t="n">
        <f aca="false">I134/12</f>
        <v>0</v>
      </c>
      <c r="Y134" s="131" t="n">
        <f aca="false">I134*W134/L134</f>
        <v>0</v>
      </c>
      <c r="Z134" s="141" t="n">
        <f aca="false">IF(F134&lt;$Z$2,30,$Z$2-I134)</f>
        <v>30</v>
      </c>
      <c r="AA134" s="147" t="n">
        <f aca="false">I134/12</f>
        <v>0</v>
      </c>
      <c r="AB134" s="147" t="n">
        <f aca="false">Z134*I134/L134</f>
        <v>0</v>
      </c>
      <c r="AC134" s="143"/>
      <c r="AD134" s="144"/>
      <c r="AE134" s="144"/>
    </row>
    <row r="135" customFormat="false" ht="15.75" hidden="false" customHeight="true" outlineLevel="0" collapsed="false">
      <c r="A135" s="138" t="n">
        <v>0</v>
      </c>
      <c r="B135" s="139" t="n">
        <v>45717</v>
      </c>
      <c r="C135" s="150" t="s">
        <v>397</v>
      </c>
      <c r="D135" s="128" t="s">
        <v>398</v>
      </c>
      <c r="E135" s="128"/>
      <c r="F135" s="154" t="n">
        <v>45744</v>
      </c>
      <c r="G135" s="154" t="n">
        <v>46108</v>
      </c>
      <c r="H135" s="145" t="s">
        <v>9</v>
      </c>
      <c r="I135" s="157" t="n">
        <v>53100</v>
      </c>
      <c r="J135" s="132" t="n">
        <v>4425</v>
      </c>
      <c r="K135" s="132" t="n">
        <f aca="false">I135/12</f>
        <v>4425</v>
      </c>
      <c r="L135" s="127" t="n">
        <f aca="false">G135-F135+1</f>
        <v>365</v>
      </c>
      <c r="M135" s="128" t="n">
        <f aca="false">IF(F135&lt;H9,30,G135-1-4-2025)</f>
        <v>30</v>
      </c>
      <c r="N135" s="132" t="n">
        <f aca="false">I135/L135*M135</f>
        <v>4364.38356164384</v>
      </c>
      <c r="O135" s="132" t="n">
        <f aca="false">IF(F135&lt;$O$1,31,$O$1-F135)</f>
        <v>31</v>
      </c>
      <c r="P135" s="131" t="n">
        <f aca="false">O135*I135/L135</f>
        <v>4509.86301369863</v>
      </c>
      <c r="Q135" s="146" t="n">
        <f aca="false">I135/12</f>
        <v>4425</v>
      </c>
      <c r="R135" s="128" t="n">
        <f aca="false">IF(F135&lt;$R$2,30,$R$2-F135)</f>
        <v>30</v>
      </c>
      <c r="S135" s="146" t="n">
        <f aca="false">R135*I135/L135</f>
        <v>4364.38356164384</v>
      </c>
      <c r="T135" s="146" t="n">
        <f aca="false">I135/12</f>
        <v>4425</v>
      </c>
      <c r="U135" s="132" t="n">
        <f aca="false">IF(F136&lt;$U$2,31,$U$2-F136)</f>
        <v>31</v>
      </c>
      <c r="V135" s="131" t="n">
        <f aca="false">I135*U135/L135</f>
        <v>4509.86301369863</v>
      </c>
      <c r="W135" s="141" t="n">
        <f aca="false">IF(F135&lt;$W$2,31,$W$2-F135)</f>
        <v>31</v>
      </c>
      <c r="X135" s="132" t="n">
        <f aca="false">I135/12</f>
        <v>4425</v>
      </c>
      <c r="Y135" s="131" t="n">
        <f aca="false">I135*W135/L135</f>
        <v>4509.86301369863</v>
      </c>
      <c r="Z135" s="141" t="n">
        <f aca="false">IF(F135&lt;$Z$2,30,$Z$2-I135)</f>
        <v>30</v>
      </c>
      <c r="AA135" s="147" t="n">
        <f aca="false">I135/12</f>
        <v>4425</v>
      </c>
      <c r="AB135" s="147" t="n">
        <f aca="false">I135*Z135/L135</f>
        <v>4364.38356164384</v>
      </c>
      <c r="AC135" s="143"/>
      <c r="AD135" s="144"/>
      <c r="AE135" s="144"/>
    </row>
    <row r="136" customFormat="false" ht="15.75" hidden="false" customHeight="true" outlineLevel="0" collapsed="false">
      <c r="A136" s="138" t="n">
        <v>0</v>
      </c>
      <c r="B136" s="139" t="n">
        <v>45717</v>
      </c>
      <c r="C136" s="145" t="s">
        <v>399</v>
      </c>
      <c r="D136" s="128" t="s">
        <v>400</v>
      </c>
      <c r="E136" s="128"/>
      <c r="F136" s="154" t="n">
        <v>45745</v>
      </c>
      <c r="G136" s="154" t="n">
        <v>46109</v>
      </c>
      <c r="H136" s="145" t="s">
        <v>9</v>
      </c>
      <c r="I136" s="157" t="n">
        <v>3058560</v>
      </c>
      <c r="J136" s="132" t="n">
        <v>254880</v>
      </c>
      <c r="K136" s="132" t="n">
        <f aca="false">I136/12</f>
        <v>254880</v>
      </c>
      <c r="L136" s="127" t="n">
        <f aca="false">G136-F136+1</f>
        <v>365</v>
      </c>
      <c r="M136" s="128" t="n">
        <f aca="false">IF(F136&lt;H10,30,G136-1-4-2025)</f>
        <v>30</v>
      </c>
      <c r="N136" s="132" t="n">
        <f aca="false">I136/L136*M136</f>
        <v>251388.493150685</v>
      </c>
      <c r="O136" s="132" t="n">
        <f aca="false">IF(F136&lt;$O$1,31,$O$1-F136)</f>
        <v>31</v>
      </c>
      <c r="P136" s="131" t="n">
        <f aca="false">O136*I136/L136</f>
        <v>259768.109589041</v>
      </c>
      <c r="Q136" s="146" t="n">
        <f aca="false">I136/12</f>
        <v>254880</v>
      </c>
      <c r="R136" s="128" t="n">
        <f aca="false">IF(F136&lt;$R$2,30,$R$2-F136)</f>
        <v>30</v>
      </c>
      <c r="S136" s="146" t="n">
        <f aca="false">R136*I136/L136</f>
        <v>251388.493150685</v>
      </c>
      <c r="T136" s="146" t="n">
        <f aca="false">I136/12</f>
        <v>254880</v>
      </c>
      <c r="U136" s="132" t="n">
        <f aca="false">IF(F137&lt;$U$2,31,$U$2-F137)</f>
        <v>31</v>
      </c>
      <c r="V136" s="131" t="n">
        <f aca="false">I136*U136/L136</f>
        <v>259768.109589041</v>
      </c>
      <c r="W136" s="141" t="n">
        <f aca="false">IF(F136&lt;$W$2,31,$W$2-F136)</f>
        <v>31</v>
      </c>
      <c r="X136" s="132" t="n">
        <f aca="false">I136/12</f>
        <v>254880</v>
      </c>
      <c r="Y136" s="131" t="n">
        <f aca="false">I136*W136/L136</f>
        <v>259768.109589041</v>
      </c>
      <c r="Z136" s="141" t="n">
        <f aca="false">IF(F136&lt;$Z$2,30,$Z$2-I136)</f>
        <v>30</v>
      </c>
      <c r="AA136" s="147" t="n">
        <f aca="false">I136/12</f>
        <v>254880</v>
      </c>
      <c r="AB136" s="147" t="n">
        <f aca="false">I136*Z136/L136</f>
        <v>251388.493150685</v>
      </c>
      <c r="AC136" s="143"/>
      <c r="AD136" s="144"/>
      <c r="AE136" s="144"/>
    </row>
    <row r="137" customFormat="false" ht="15.75" hidden="false" customHeight="true" outlineLevel="0" collapsed="false">
      <c r="A137" s="138" t="n">
        <v>0</v>
      </c>
      <c r="B137" s="139" t="n">
        <v>45717</v>
      </c>
      <c r="C137" s="145" t="s">
        <v>401</v>
      </c>
      <c r="D137" s="128" t="s">
        <v>402</v>
      </c>
      <c r="E137" s="128"/>
      <c r="F137" s="154" t="n">
        <v>45742</v>
      </c>
      <c r="G137" s="154" t="n">
        <v>45833</v>
      </c>
      <c r="H137" s="150" t="s">
        <v>24</v>
      </c>
      <c r="I137" s="157" t="n">
        <v>79650</v>
      </c>
      <c r="J137" s="132" t="n">
        <v>26550</v>
      </c>
      <c r="K137" s="132" t="n">
        <f aca="false">I137/3</f>
        <v>26550</v>
      </c>
      <c r="L137" s="127" t="n">
        <f aca="false">G137-F137+1</f>
        <v>92</v>
      </c>
      <c r="M137" s="128" t="n">
        <f aca="false">IF(F137&lt;H11,30,G137-1-4-2025)</f>
        <v>30</v>
      </c>
      <c r="N137" s="132" t="n">
        <f aca="false">I137/L137*M137</f>
        <v>25972.8260869565</v>
      </c>
      <c r="O137" s="132" t="n">
        <f aca="false">IF(F137&lt;$O$1,31,$O$1-F137)</f>
        <v>31</v>
      </c>
      <c r="P137" s="131" t="n">
        <f aca="false">O137*I137/L137</f>
        <v>26838.5869565217</v>
      </c>
      <c r="Q137" s="128" t="n">
        <v>0</v>
      </c>
      <c r="R137" s="128" t="n">
        <v>25</v>
      </c>
      <c r="S137" s="147" t="n">
        <f aca="false">R137*I137/L137</f>
        <v>21644.0217391304</v>
      </c>
      <c r="T137" s="128"/>
      <c r="U137" s="132" t="n">
        <f aca="false">IF(F138&lt;$U$2,31,$U$2-F138)</f>
        <v>31</v>
      </c>
      <c r="V137" s="128"/>
      <c r="W137" s="141" t="n">
        <v>0</v>
      </c>
      <c r="X137" s="132" t="n">
        <v>0</v>
      </c>
      <c r="Y137" s="128" t="n">
        <v>0</v>
      </c>
      <c r="Z137" s="128"/>
      <c r="AA137" s="128"/>
      <c r="AB137" s="128"/>
      <c r="AC137" s="136"/>
      <c r="AD137" s="136"/>
      <c r="AE137" s="136"/>
    </row>
    <row r="138" s="137" customFormat="true" ht="15.75" hidden="false" customHeight="true" outlineLevel="0" collapsed="false">
      <c r="A138" s="125" t="n">
        <v>0</v>
      </c>
      <c r="B138" s="126" t="n">
        <v>45717</v>
      </c>
      <c r="C138" s="142" t="s">
        <v>403</v>
      </c>
      <c r="D138" s="127" t="s">
        <v>404</v>
      </c>
      <c r="E138" s="128"/>
      <c r="F138" s="148" t="n">
        <v>45736</v>
      </c>
      <c r="G138" s="148" t="n">
        <v>46101</v>
      </c>
      <c r="H138" s="142" t="s">
        <v>9</v>
      </c>
      <c r="I138" s="157" t="n">
        <v>116820</v>
      </c>
      <c r="J138" s="132" t="n">
        <v>9735</v>
      </c>
      <c r="K138" s="132" t="n">
        <f aca="false">I138/12</f>
        <v>9735</v>
      </c>
      <c r="L138" s="127" t="n">
        <f aca="false">G138-F138+1</f>
        <v>366</v>
      </c>
      <c r="M138" s="127" t="n">
        <f aca="false">IF(F138&lt;H12,30,G138-1-4-2025)</f>
        <v>30</v>
      </c>
      <c r="N138" s="132" t="n">
        <f aca="false">I138/L138*M138</f>
        <v>9575.40983606558</v>
      </c>
      <c r="O138" s="132" t="n">
        <f aca="false">IF(F138&lt;$O$1,31,$O$1-F138)</f>
        <v>31</v>
      </c>
      <c r="P138" s="131" t="n">
        <f aca="false">O138*I138/L138</f>
        <v>9894.59016393443</v>
      </c>
      <c r="Q138" s="133" t="n">
        <f aca="false">I138/12</f>
        <v>9735</v>
      </c>
      <c r="R138" s="127" t="n">
        <f aca="false">IF(F138&lt;$R$2,30,$R$2-F138)</f>
        <v>30</v>
      </c>
      <c r="S138" s="133" t="n">
        <f aca="false">R138*I138/L138</f>
        <v>9575.40983606557</v>
      </c>
      <c r="T138" s="133" t="n">
        <f aca="false">I138/12</f>
        <v>9735</v>
      </c>
      <c r="U138" s="132" t="n">
        <f aca="false">IF(F139&lt;$U$2,31,$U$2-F139)</f>
        <v>31</v>
      </c>
      <c r="V138" s="131" t="n">
        <f aca="false">I138*U138/L138</f>
        <v>9894.59016393443</v>
      </c>
      <c r="W138" s="135" t="n">
        <f aca="false">IF(F138&lt;$W$2,31,$W$2-F138)</f>
        <v>31</v>
      </c>
      <c r="X138" s="132" t="n">
        <f aca="false">I138/12</f>
        <v>9735</v>
      </c>
      <c r="Y138" s="131" t="n">
        <f aca="false">I138*W138/L138</f>
        <v>9894.59016393443</v>
      </c>
      <c r="Z138" s="135" t="n">
        <f aca="false">IF(F138&lt;$Z$2,30,$Z$2-I138)</f>
        <v>30</v>
      </c>
      <c r="AA138" s="134" t="n">
        <f aca="false">I138/12</f>
        <v>9735</v>
      </c>
      <c r="AB138" s="134" t="n">
        <f aca="false">I138*Z138/L138</f>
        <v>9575.40983606557</v>
      </c>
      <c r="AC138" s="143"/>
      <c r="AD138" s="144"/>
      <c r="AE138" s="144"/>
    </row>
    <row r="139" customFormat="false" ht="15.75" hidden="false" customHeight="true" outlineLevel="0" collapsed="false">
      <c r="A139" s="138" t="n">
        <v>0</v>
      </c>
      <c r="B139" s="139" t="n">
        <v>45717</v>
      </c>
      <c r="C139" s="145" t="s">
        <v>405</v>
      </c>
      <c r="D139" s="128" t="s">
        <v>406</v>
      </c>
      <c r="E139" s="128"/>
      <c r="F139" s="154" t="n">
        <v>45742</v>
      </c>
      <c r="G139" s="154" t="n">
        <v>46107</v>
      </c>
      <c r="H139" s="145" t="s">
        <v>9</v>
      </c>
      <c r="I139" s="157" t="n">
        <v>190000</v>
      </c>
      <c r="J139" s="132" t="n">
        <v>15833.3333333333</v>
      </c>
      <c r="K139" s="132" t="n">
        <f aca="false">I139/12</f>
        <v>15833.3333333333</v>
      </c>
      <c r="L139" s="127" t="n">
        <f aca="false">G139-F139+1</f>
        <v>366</v>
      </c>
      <c r="M139" s="128" t="n">
        <f aca="false">IF(F139&lt;H13,30,G139-1-4-2025)</f>
        <v>30</v>
      </c>
      <c r="N139" s="132" t="n">
        <f aca="false">I139/L139*M139</f>
        <v>15573.7704918033</v>
      </c>
      <c r="O139" s="132" t="n">
        <f aca="false">IF(F139&lt;$O$1,31,$O$1-F139)</f>
        <v>31</v>
      </c>
      <c r="P139" s="131" t="n">
        <f aca="false">O139*I139/L139</f>
        <v>16092.8961748634</v>
      </c>
      <c r="Q139" s="146" t="n">
        <f aca="false">I139/12</f>
        <v>15833.3333333333</v>
      </c>
      <c r="R139" s="128" t="n">
        <f aca="false">IF(F139&lt;$R$2,30,$R$2-F139)</f>
        <v>30</v>
      </c>
      <c r="S139" s="146" t="n">
        <f aca="false">R139*I139/L139</f>
        <v>15573.7704918033</v>
      </c>
      <c r="T139" s="146" t="n">
        <f aca="false">I139/12</f>
        <v>15833.3333333333</v>
      </c>
      <c r="U139" s="132" t="n">
        <f aca="false">IF(F140&lt;$U$2,31,$U$2-F140)</f>
        <v>31</v>
      </c>
      <c r="V139" s="131" t="n">
        <f aca="false">I139*U139/L139</f>
        <v>16092.8961748634</v>
      </c>
      <c r="W139" s="141" t="n">
        <f aca="false">IF(F139&lt;$W$2,31,$W$2-F139)</f>
        <v>31</v>
      </c>
      <c r="X139" s="132" t="n">
        <f aca="false">I139/12</f>
        <v>15833.3333333333</v>
      </c>
      <c r="Y139" s="131" t="n">
        <f aca="false">I139*W139/L139</f>
        <v>16092.8961748634</v>
      </c>
      <c r="Z139" s="141" t="n">
        <f aca="false">IF(F139&lt;$Z$2,30,$Z$2-I139)</f>
        <v>30</v>
      </c>
      <c r="AA139" s="147" t="n">
        <f aca="false">I139/12</f>
        <v>15833.3333333333</v>
      </c>
      <c r="AB139" s="147" t="n">
        <f aca="false">I139*Z139/L139</f>
        <v>15573.7704918033</v>
      </c>
      <c r="AC139" s="143"/>
      <c r="AD139" s="144"/>
      <c r="AE139" s="144"/>
    </row>
    <row r="140" s="137" customFormat="true" ht="15.75" hidden="false" customHeight="true" outlineLevel="0" collapsed="false">
      <c r="A140" s="125" t="n">
        <v>0</v>
      </c>
      <c r="B140" s="126" t="n">
        <v>45717</v>
      </c>
      <c r="C140" s="127" t="s">
        <v>341</v>
      </c>
      <c r="D140" s="127" t="s">
        <v>407</v>
      </c>
      <c r="E140" s="128"/>
      <c r="F140" s="148" t="n">
        <v>45733</v>
      </c>
      <c r="G140" s="148" t="n">
        <v>46097</v>
      </c>
      <c r="H140" s="142" t="s">
        <v>9</v>
      </c>
      <c r="I140" s="157" t="n">
        <v>300900</v>
      </c>
      <c r="J140" s="132" t="n">
        <v>25075</v>
      </c>
      <c r="K140" s="132" t="n">
        <f aca="false">I140/12</f>
        <v>25075</v>
      </c>
      <c r="L140" s="127" t="n">
        <f aca="false">G140-F140+1</f>
        <v>365</v>
      </c>
      <c r="M140" s="127" t="n">
        <f aca="false">IF(F140&lt;H14,30,G140-1-4-2025)</f>
        <v>30</v>
      </c>
      <c r="N140" s="132" t="n">
        <f aca="false">I140/L140*M140</f>
        <v>24731.5068493151</v>
      </c>
      <c r="O140" s="132" t="n">
        <f aca="false">IF(F140&lt;$O$1,31,$O$1-F140)</f>
        <v>31</v>
      </c>
      <c r="P140" s="131" t="n">
        <f aca="false">O140*I140/L140</f>
        <v>25555.8904109589</v>
      </c>
      <c r="Q140" s="133" t="n">
        <f aca="false">I140/12</f>
        <v>25075</v>
      </c>
      <c r="R140" s="127" t="n">
        <f aca="false">IF(F140&lt;$R$2,30,$R$2-F140)</f>
        <v>30</v>
      </c>
      <c r="S140" s="133" t="n">
        <f aca="false">R140*I140/L140</f>
        <v>24731.5068493151</v>
      </c>
      <c r="T140" s="133" t="n">
        <f aca="false">I140/12</f>
        <v>25075</v>
      </c>
      <c r="U140" s="132" t="n">
        <f aca="false">IF(F141&lt;$U$2,31,$U$2-F141)</f>
        <v>31</v>
      </c>
      <c r="V140" s="131" t="n">
        <f aca="false">I140*U140/L140</f>
        <v>25555.8904109589</v>
      </c>
      <c r="W140" s="135" t="n">
        <f aca="false">IF(F140&lt;$W$2,31,$W$2-F140)</f>
        <v>31</v>
      </c>
      <c r="X140" s="132" t="n">
        <f aca="false">I140/12</f>
        <v>25075</v>
      </c>
      <c r="Y140" s="131" t="n">
        <f aca="false">I140*W140/L140</f>
        <v>25555.8904109589</v>
      </c>
      <c r="Z140" s="135" t="n">
        <f aca="false">IF(F140&lt;$Z$2,30,$Z$2-I140)</f>
        <v>30</v>
      </c>
      <c r="AA140" s="134" t="n">
        <f aca="false">I140/12</f>
        <v>25075</v>
      </c>
      <c r="AB140" s="134" t="n">
        <f aca="false">I140*Z140/L140</f>
        <v>24731.5068493151</v>
      </c>
      <c r="AC140" s="143"/>
      <c r="AD140" s="144"/>
      <c r="AE140" s="144"/>
    </row>
    <row r="141" customFormat="false" ht="15.75" hidden="false" customHeight="true" outlineLevel="0" collapsed="false">
      <c r="A141" s="138" t="n">
        <v>0</v>
      </c>
      <c r="B141" s="139" t="n">
        <v>45717</v>
      </c>
      <c r="C141" s="145" t="s">
        <v>408</v>
      </c>
      <c r="D141" s="128" t="s">
        <v>409</v>
      </c>
      <c r="E141" s="128"/>
      <c r="F141" s="154" t="n">
        <v>45736</v>
      </c>
      <c r="G141" s="154" t="n">
        <v>46100</v>
      </c>
      <c r="H141" s="145" t="s">
        <v>9</v>
      </c>
      <c r="I141" s="157" t="n">
        <v>356832</v>
      </c>
      <c r="J141" s="132" t="n">
        <v>29736</v>
      </c>
      <c r="K141" s="132" t="n">
        <f aca="false">I141/12</f>
        <v>29736</v>
      </c>
      <c r="L141" s="127" t="n">
        <f aca="false">G141-F141+1</f>
        <v>365</v>
      </c>
      <c r="M141" s="128" t="n">
        <f aca="false">IF(F141&lt;H15,30,G141-1-4-2025)</f>
        <v>30</v>
      </c>
      <c r="N141" s="132" t="n">
        <f aca="false">I141/L141*M141</f>
        <v>29328.6575342466</v>
      </c>
      <c r="O141" s="132" t="n">
        <f aca="false">IF(F141&lt;$O$1,31,$O$1-F141)</f>
        <v>31</v>
      </c>
      <c r="P141" s="131" t="n">
        <f aca="false">O141*I141/L141</f>
        <v>30306.2794520548</v>
      </c>
      <c r="Q141" s="146" t="n">
        <f aca="false">I141/12</f>
        <v>29736</v>
      </c>
      <c r="R141" s="128" t="n">
        <f aca="false">IF(F141&lt;$R$2,30,$R$2-F141)</f>
        <v>30</v>
      </c>
      <c r="S141" s="146" t="n">
        <f aca="false">R141*I141/L141</f>
        <v>29328.6575342466</v>
      </c>
      <c r="T141" s="146" t="n">
        <f aca="false">I141/12</f>
        <v>29736</v>
      </c>
      <c r="U141" s="132" t="n">
        <f aca="false">IF(F142&lt;$U$2,31,$U$2-F142)</f>
        <v>31</v>
      </c>
      <c r="V141" s="131" t="n">
        <f aca="false">I141*U141/L141</f>
        <v>30306.2794520548</v>
      </c>
      <c r="W141" s="141" t="n">
        <f aca="false">IF(F141&lt;$W$2,31,$W$2-F141)</f>
        <v>31</v>
      </c>
      <c r="X141" s="132" t="n">
        <f aca="false">I141/12</f>
        <v>29736</v>
      </c>
      <c r="Y141" s="131" t="n">
        <f aca="false">I141*W141/L141</f>
        <v>30306.2794520548</v>
      </c>
      <c r="Z141" s="141" t="n">
        <f aca="false">IF(F141&lt;$Z$2,30,$Z$2-I141)</f>
        <v>30</v>
      </c>
      <c r="AA141" s="147" t="n">
        <f aca="false">I141/12</f>
        <v>29736</v>
      </c>
      <c r="AB141" s="147" t="n">
        <f aca="false">I141*Z141/L141</f>
        <v>29328.6575342466</v>
      </c>
      <c r="AC141" s="143"/>
      <c r="AD141" s="144"/>
      <c r="AE141" s="144"/>
    </row>
    <row r="142" customFormat="false" ht="15.75" hidden="false" customHeight="true" outlineLevel="0" collapsed="false">
      <c r="A142" s="138" t="n">
        <v>0</v>
      </c>
      <c r="B142" s="139" t="n">
        <v>45717</v>
      </c>
      <c r="C142" s="145" t="s">
        <v>410</v>
      </c>
      <c r="D142" s="128" t="s">
        <v>411</v>
      </c>
      <c r="E142" s="128"/>
      <c r="F142" s="154" t="n">
        <v>45740</v>
      </c>
      <c r="G142" s="154" t="n">
        <v>46104</v>
      </c>
      <c r="H142" s="145" t="s">
        <v>9</v>
      </c>
      <c r="I142" s="157" t="n">
        <v>300900</v>
      </c>
      <c r="J142" s="132" t="n">
        <v>25075</v>
      </c>
      <c r="K142" s="132" t="n">
        <f aca="false">I142/12</f>
        <v>25075</v>
      </c>
      <c r="L142" s="127" t="n">
        <f aca="false">G142-F142+1</f>
        <v>365</v>
      </c>
      <c r="M142" s="128" t="n">
        <f aca="false">IF(F142&lt;H16,30,G142-1-4-2025)</f>
        <v>30</v>
      </c>
      <c r="N142" s="132" t="n">
        <f aca="false">I142/L142*M142</f>
        <v>24731.5068493151</v>
      </c>
      <c r="O142" s="132" t="n">
        <f aca="false">IF(F142&lt;$O$1,31,$O$1-F142)</f>
        <v>31</v>
      </c>
      <c r="P142" s="131" t="n">
        <f aca="false">O142*I142/L142</f>
        <v>25555.8904109589</v>
      </c>
      <c r="Q142" s="146" t="n">
        <f aca="false">I142/12</f>
        <v>25075</v>
      </c>
      <c r="R142" s="128" t="n">
        <f aca="false">IF(F142&lt;$R$2,30,$R$2-F142)</f>
        <v>30</v>
      </c>
      <c r="S142" s="146" t="n">
        <f aca="false">R142*I142/L142</f>
        <v>24731.5068493151</v>
      </c>
      <c r="T142" s="146" t="n">
        <f aca="false">I142/12</f>
        <v>25075</v>
      </c>
      <c r="U142" s="132" t="n">
        <f aca="false">IF(F143&lt;$U$2,31,$U$2-F143)</f>
        <v>31</v>
      </c>
      <c r="V142" s="131" t="n">
        <f aca="false">I142*U142/L142</f>
        <v>25555.8904109589</v>
      </c>
      <c r="W142" s="141" t="n">
        <f aca="false">IF(F142&lt;$W$2,31,$W$2-F142)</f>
        <v>31</v>
      </c>
      <c r="X142" s="132" t="n">
        <f aca="false">I142/12</f>
        <v>25075</v>
      </c>
      <c r="Y142" s="131" t="n">
        <f aca="false">I142*W142/L142</f>
        <v>25555.8904109589</v>
      </c>
      <c r="Z142" s="141" t="n">
        <f aca="false">IF(F142&lt;$Z$2,30,$Z$2-I142)</f>
        <v>30</v>
      </c>
      <c r="AA142" s="147" t="n">
        <f aca="false">I142/12</f>
        <v>25075</v>
      </c>
      <c r="AB142" s="147" t="n">
        <f aca="false">I142*Z142/L142</f>
        <v>24731.5068493151</v>
      </c>
      <c r="AC142" s="143"/>
      <c r="AD142" s="144"/>
      <c r="AE142" s="144"/>
    </row>
    <row r="143" s="137" customFormat="true" ht="15" hidden="false" customHeight="false" outlineLevel="0" collapsed="false">
      <c r="A143" s="125" t="s">
        <v>119</v>
      </c>
      <c r="B143" s="126" t="n">
        <v>45717</v>
      </c>
      <c r="C143" s="142" t="s">
        <v>412</v>
      </c>
      <c r="D143" s="127" t="s">
        <v>413</v>
      </c>
      <c r="E143" s="128"/>
      <c r="F143" s="148" t="n">
        <v>45737</v>
      </c>
      <c r="G143" s="148" t="n">
        <v>45798</v>
      </c>
      <c r="H143" s="127" t="s">
        <v>21</v>
      </c>
      <c r="I143" s="157" t="n">
        <v>47200</v>
      </c>
      <c r="J143" s="132" t="n">
        <v>23600</v>
      </c>
      <c r="K143" s="132"/>
      <c r="L143" s="127" t="n">
        <f aca="false">G143-F143+1</f>
        <v>62</v>
      </c>
      <c r="M143" s="127" t="n">
        <f aca="false">IF(F143&lt;H17,30,G143-1-4-2025)</f>
        <v>30</v>
      </c>
      <c r="N143" s="132" t="n">
        <f aca="false">I143/L143*M143</f>
        <v>22838.7096774194</v>
      </c>
      <c r="O143" s="132" t="n">
        <f aca="false">IF(G143&lt;O1,G143-$N$1+1,31)</f>
        <v>21</v>
      </c>
      <c r="P143" s="131" t="n">
        <f aca="false">O143*I143/L143</f>
        <v>15987.0967741936</v>
      </c>
      <c r="Q143" s="127"/>
      <c r="R143" s="127" t="n">
        <f aca="false">IF(F143&lt;$R$2,30,$R$2-F143)</f>
        <v>30</v>
      </c>
      <c r="S143" s="127"/>
      <c r="T143" s="127"/>
      <c r="U143" s="132" t="n">
        <f aca="false">IF(F144&lt;$U$2,31,$U$2-F144)</f>
        <v>31</v>
      </c>
      <c r="V143" s="127"/>
      <c r="W143" s="135" t="n">
        <v>0</v>
      </c>
      <c r="X143" s="132" t="n">
        <v>0</v>
      </c>
      <c r="Y143" s="127" t="n">
        <v>0</v>
      </c>
      <c r="Z143" s="127"/>
      <c r="AA143" s="127"/>
      <c r="AB143" s="127"/>
      <c r="AC143" s="136"/>
      <c r="AD143" s="136"/>
      <c r="AE143" s="136"/>
    </row>
    <row r="144" s="137" customFormat="true" ht="15.75" hidden="false" customHeight="true" outlineLevel="0" collapsed="false">
      <c r="A144" s="125" t="n">
        <v>0</v>
      </c>
      <c r="B144" s="126" t="n">
        <v>45689</v>
      </c>
      <c r="C144" s="142" t="s">
        <v>414</v>
      </c>
      <c r="D144" s="127" t="s">
        <v>415</v>
      </c>
      <c r="E144" s="128"/>
      <c r="F144" s="148" t="n">
        <v>45715</v>
      </c>
      <c r="G144" s="148" t="n">
        <v>45900</v>
      </c>
      <c r="H144" s="142" t="s">
        <v>29</v>
      </c>
      <c r="I144" s="157" t="n">
        <v>70800</v>
      </c>
      <c r="J144" s="132" t="n">
        <v>11800</v>
      </c>
      <c r="K144" s="132" t="n">
        <f aca="false">I144/6</f>
        <v>11800</v>
      </c>
      <c r="L144" s="127" t="n">
        <f aca="false">G144-F144+1</f>
        <v>186</v>
      </c>
      <c r="M144" s="127" t="n">
        <f aca="false">IF(F144&lt;H18,30,G144-1-4-2025)</f>
        <v>30</v>
      </c>
      <c r="N144" s="132" t="n">
        <f aca="false">I144/L144*M144</f>
        <v>11419.3548387097</v>
      </c>
      <c r="O144" s="132" t="n">
        <f aca="false">IF(F144&lt;$O$1,31,$O$1-F144)</f>
        <v>31</v>
      </c>
      <c r="P144" s="131" t="n">
        <f aca="false">O144*I144/L144</f>
        <v>11800</v>
      </c>
      <c r="Q144" s="133" t="n">
        <f aca="false">I144/6</f>
        <v>11800</v>
      </c>
      <c r="R144" s="127" t="n">
        <f aca="false">IF(F144&lt;$R$2,30,$R$2-F144)</f>
        <v>30</v>
      </c>
      <c r="S144" s="133" t="n">
        <f aca="false">R144*I144/L144</f>
        <v>11419.3548387097</v>
      </c>
      <c r="T144" s="133" t="n">
        <f aca="false">I144/6</f>
        <v>11800</v>
      </c>
      <c r="U144" s="132" t="n">
        <f aca="false">IF(F145&lt;$U$2,31,$U$2-F145)</f>
        <v>31</v>
      </c>
      <c r="V144" s="131" t="n">
        <f aca="false">I144*U144/L144</f>
        <v>11800</v>
      </c>
      <c r="W144" s="135" t="n">
        <f aca="false">G144-$W$1+1</f>
        <v>31</v>
      </c>
      <c r="X144" s="132" t="n">
        <v>0</v>
      </c>
      <c r="Y144" s="131" t="n">
        <f aca="false">I144*W144/L144</f>
        <v>11800</v>
      </c>
      <c r="Z144" s="127"/>
      <c r="AA144" s="127"/>
      <c r="AB144" s="127"/>
      <c r="AC144" s="136"/>
      <c r="AD144" s="136"/>
      <c r="AE144" s="136"/>
    </row>
    <row r="145" customFormat="false" ht="15.75" hidden="false" customHeight="true" outlineLevel="0" collapsed="false">
      <c r="A145" s="138" t="n">
        <v>0</v>
      </c>
      <c r="B145" s="139" t="n">
        <v>45597</v>
      </c>
      <c r="C145" s="145" t="s">
        <v>416</v>
      </c>
      <c r="D145" s="128" t="s">
        <v>417</v>
      </c>
      <c r="E145" s="128"/>
      <c r="F145" s="154" t="n">
        <v>45615</v>
      </c>
      <c r="G145" s="154" t="n">
        <v>45980</v>
      </c>
      <c r="H145" s="145" t="s">
        <v>7</v>
      </c>
      <c r="I145" s="157" t="n">
        <v>240000</v>
      </c>
      <c r="J145" s="132" t="n">
        <v>20000</v>
      </c>
      <c r="K145" s="132" t="n">
        <f aca="false">I145/12</f>
        <v>20000</v>
      </c>
      <c r="L145" s="127" t="n">
        <f aca="false">G145-F145+1</f>
        <v>366</v>
      </c>
      <c r="M145" s="128" t="n">
        <f aca="false">IF(F145&lt;H19,30,G145-1-4-2025)</f>
        <v>30</v>
      </c>
      <c r="N145" s="132" t="n">
        <f aca="false">I145/L145*M145</f>
        <v>19672.131147541</v>
      </c>
      <c r="O145" s="132" t="n">
        <f aca="false">IF(F145&lt;$O$1,31,$O$1-F145)</f>
        <v>31</v>
      </c>
      <c r="P145" s="131" t="n">
        <f aca="false">O145*I145/L145</f>
        <v>20327.868852459</v>
      </c>
      <c r="Q145" s="147" t="n">
        <f aca="false">I145/12</f>
        <v>20000</v>
      </c>
      <c r="R145" s="128" t="n">
        <f aca="false">IF(F145&lt;$R$2,30,$R$2-F145)</f>
        <v>30</v>
      </c>
      <c r="S145" s="146" t="n">
        <f aca="false">R145*I145/L145</f>
        <v>19672.131147541</v>
      </c>
      <c r="T145" s="146" t="n">
        <f aca="false">I145/12</f>
        <v>20000</v>
      </c>
      <c r="U145" s="132" t="n">
        <f aca="false">IF(F146&lt;$U$2,31,$U$2-F146)</f>
        <v>31</v>
      </c>
      <c r="V145" s="131" t="n">
        <f aca="false">I145*U145/L145</f>
        <v>20327.868852459</v>
      </c>
      <c r="W145" s="141" t="n">
        <f aca="false">IF(F145&lt;$W$2,31,$W$2-F145)</f>
        <v>31</v>
      </c>
      <c r="X145" s="132" t="n">
        <f aca="false">I145/12</f>
        <v>20000</v>
      </c>
      <c r="Y145" s="131" t="n">
        <f aca="false">I145*W145/L145</f>
        <v>20327.868852459</v>
      </c>
      <c r="Z145" s="141" t="n">
        <f aca="false">IF(F145&lt;$Z$2,30,$Z$2-I145)</f>
        <v>30</v>
      </c>
      <c r="AA145" s="147" t="n">
        <f aca="false">I145/12</f>
        <v>20000</v>
      </c>
      <c r="AB145" s="147" t="n">
        <f aca="false">I145*Z145/L145</f>
        <v>19672.131147541</v>
      </c>
      <c r="AC145" s="143"/>
      <c r="AD145" s="144"/>
      <c r="AE145" s="144"/>
    </row>
    <row r="146" customFormat="false" ht="15.75" hidden="false" customHeight="true" outlineLevel="0" collapsed="false">
      <c r="A146" s="138" t="s">
        <v>129</v>
      </c>
      <c r="B146" s="139" t="n">
        <v>45717</v>
      </c>
      <c r="C146" s="145" t="s">
        <v>418</v>
      </c>
      <c r="D146" s="128" t="s">
        <v>419</v>
      </c>
      <c r="E146" s="128" t="s">
        <v>132</v>
      </c>
      <c r="F146" s="154" t="n">
        <v>45742</v>
      </c>
      <c r="G146" s="154" t="n">
        <v>45773</v>
      </c>
      <c r="H146" s="145" t="s">
        <v>19</v>
      </c>
      <c r="I146" s="157" t="n">
        <v>17700</v>
      </c>
      <c r="J146" s="132"/>
      <c r="K146" s="132"/>
      <c r="L146" s="127" t="n">
        <f aca="false">G146-F146+1</f>
        <v>32</v>
      </c>
      <c r="M146" s="128" t="n">
        <f aca="false">G146-$I$1+1</f>
        <v>26</v>
      </c>
      <c r="N146" s="132" t="n">
        <f aca="false">I146/L146*M146</f>
        <v>14381.25</v>
      </c>
      <c r="O146" s="132" t="n">
        <f aca="false">IF(F146&lt;$O$1,31,$O$1-F146)</f>
        <v>31</v>
      </c>
      <c r="P146" s="131"/>
      <c r="Q146" s="128"/>
      <c r="R146" s="128" t="n">
        <f aca="false">IF(F146&lt;$R$2,30,$R$2-F146)</f>
        <v>30</v>
      </c>
      <c r="S146" s="128"/>
      <c r="T146" s="128"/>
      <c r="U146" s="132" t="n">
        <f aca="false">IF(F147&lt;$U$2,31,$U$2-F147)</f>
        <v>31</v>
      </c>
      <c r="V146" s="128"/>
      <c r="W146" s="141" t="n">
        <v>0</v>
      </c>
      <c r="X146" s="132" t="n">
        <v>0</v>
      </c>
      <c r="Y146" s="128" t="n">
        <v>0</v>
      </c>
      <c r="Z146" s="128"/>
      <c r="AA146" s="128"/>
      <c r="AB146" s="128"/>
      <c r="AC146" s="136"/>
      <c r="AD146" s="136"/>
      <c r="AE146" s="136"/>
    </row>
    <row r="147" customFormat="false" ht="15" hidden="false" customHeight="false" outlineLevel="0" collapsed="false">
      <c r="A147" s="138" t="n">
        <v>0</v>
      </c>
      <c r="B147" s="139" t="n">
        <v>45717</v>
      </c>
      <c r="C147" s="145" t="s">
        <v>420</v>
      </c>
      <c r="D147" s="128" t="s">
        <v>421</v>
      </c>
      <c r="E147" s="128"/>
      <c r="F147" s="154" t="n">
        <v>45748</v>
      </c>
      <c r="G147" s="154" t="n">
        <v>46295</v>
      </c>
      <c r="H147" s="128" t="s">
        <v>39</v>
      </c>
      <c r="I147" s="157" t="n">
        <f aca="false">41300*3</f>
        <v>123900</v>
      </c>
      <c r="J147" s="132" t="n">
        <f aca="false">I147/18</f>
        <v>6883.33333333333</v>
      </c>
      <c r="K147" s="132" t="n">
        <f aca="false">I147/18</f>
        <v>6883.33333333333</v>
      </c>
      <c r="L147" s="127" t="n">
        <f aca="false">G147-F147+1</f>
        <v>548</v>
      </c>
      <c r="M147" s="128" t="n">
        <f aca="false">$H$1-F147+1</f>
        <v>30</v>
      </c>
      <c r="N147" s="132" t="n">
        <f aca="false">I147/L147*M147</f>
        <v>6782.84671532847</v>
      </c>
      <c r="O147" s="132" t="n">
        <f aca="false">IF(F147&lt;$O$1,31,$O$1-F147)</f>
        <v>31</v>
      </c>
      <c r="P147" s="132" t="n">
        <f aca="false">I147*O147/L147</f>
        <v>7008.94160583942</v>
      </c>
      <c r="Q147" s="147" t="n">
        <f aca="false">I147/18</f>
        <v>6883.33333333333</v>
      </c>
      <c r="R147" s="128" t="n">
        <f aca="false">IF(F147&lt;$R$2,30,$R$2-F147)</f>
        <v>30</v>
      </c>
      <c r="S147" s="146" t="n">
        <f aca="false">R147*I147/L147</f>
        <v>6782.84671532847</v>
      </c>
      <c r="T147" s="132" t="n">
        <f aca="false">I147/18</f>
        <v>6883.33333333333</v>
      </c>
      <c r="U147" s="132" t="n">
        <f aca="false">IF(F147&lt;$U$2,31,$U$2-F147)</f>
        <v>31</v>
      </c>
      <c r="V147" s="131" t="n">
        <f aca="false">I147*U147/L147</f>
        <v>7008.94160583942</v>
      </c>
      <c r="W147" s="132" t="n">
        <f aca="false">IF(F147&lt;$W$2,31,$W$2-H147)</f>
        <v>31</v>
      </c>
      <c r="X147" s="147" t="n">
        <f aca="false">I147/18</f>
        <v>6883.33333333333</v>
      </c>
      <c r="Y147" s="132" t="n">
        <f aca="false">W147*I147/L147</f>
        <v>7008.94160583942</v>
      </c>
      <c r="Z147" s="141" t="n">
        <f aca="false">IF(F147&lt;$Z$2,30,$Z$2-I147)</f>
        <v>30</v>
      </c>
      <c r="AA147" s="147" t="n">
        <f aca="false">I147/18</f>
        <v>6883.33333333333</v>
      </c>
      <c r="AB147" s="147" t="n">
        <f aca="false">Z147*I147/L147</f>
        <v>6782.84671532847</v>
      </c>
      <c r="AC147" s="143"/>
      <c r="AD147" s="144"/>
      <c r="AE147" s="144"/>
    </row>
    <row r="148" s="137" customFormat="true" ht="15" hidden="false" customHeight="false" outlineLevel="0" collapsed="false">
      <c r="A148" s="125" t="s">
        <v>129</v>
      </c>
      <c r="B148" s="126" t="n">
        <v>45717</v>
      </c>
      <c r="C148" s="142" t="s">
        <v>207</v>
      </c>
      <c r="D148" s="127" t="s">
        <v>422</v>
      </c>
      <c r="E148" s="128"/>
      <c r="F148" s="148" t="n">
        <v>45738</v>
      </c>
      <c r="G148" s="148" t="n">
        <v>45769</v>
      </c>
      <c r="H148" s="142" t="s">
        <v>19</v>
      </c>
      <c r="I148" s="131" t="n">
        <v>14750</v>
      </c>
      <c r="J148" s="132"/>
      <c r="K148" s="132"/>
      <c r="L148" s="127" t="n">
        <f aca="false">G148-F148+1</f>
        <v>32</v>
      </c>
      <c r="M148" s="127" t="n">
        <f aca="false">G148-$I$1+1</f>
        <v>22</v>
      </c>
      <c r="N148" s="132" t="n">
        <f aca="false">I148/L148*M148</f>
        <v>10140.625</v>
      </c>
      <c r="O148" s="132" t="n">
        <f aca="false">IF(F148&lt;$O$1,31,$O$1-F148)</f>
        <v>31</v>
      </c>
      <c r="P148" s="131"/>
      <c r="Q148" s="127"/>
      <c r="R148" s="127" t="n">
        <f aca="false">IF(F148&lt;$R$2,30,$R$2-F148)</f>
        <v>30</v>
      </c>
      <c r="S148" s="127"/>
      <c r="T148" s="127"/>
      <c r="U148" s="132" t="n">
        <f aca="false">IF(F149&lt;$U$2,31,$U$2-F149)</f>
        <v>31</v>
      </c>
      <c r="V148" s="127"/>
      <c r="W148" s="135" t="n">
        <v>0</v>
      </c>
      <c r="X148" s="132" t="n">
        <v>0</v>
      </c>
      <c r="Y148" s="127" t="n">
        <v>0</v>
      </c>
      <c r="Z148" s="127"/>
      <c r="AA148" s="127"/>
      <c r="AB148" s="127"/>
      <c r="AC148" s="136"/>
      <c r="AD148" s="136"/>
      <c r="AE148" s="136"/>
    </row>
    <row r="149" customFormat="false" ht="15" hidden="false" customHeight="false" outlineLevel="0" collapsed="false">
      <c r="A149" s="138" t="s">
        <v>129</v>
      </c>
      <c r="B149" s="139" t="n">
        <v>45717</v>
      </c>
      <c r="C149" s="145" t="s">
        <v>423</v>
      </c>
      <c r="D149" s="128" t="s">
        <v>424</v>
      </c>
      <c r="E149" s="128"/>
      <c r="F149" s="154" t="n">
        <v>45728</v>
      </c>
      <c r="G149" s="154" t="n">
        <v>45759</v>
      </c>
      <c r="H149" s="145" t="s">
        <v>19</v>
      </c>
      <c r="I149" s="131" t="n">
        <v>29500</v>
      </c>
      <c r="J149" s="132"/>
      <c r="K149" s="132"/>
      <c r="L149" s="127" t="n">
        <f aca="false">G149-F149+1</f>
        <v>32</v>
      </c>
      <c r="M149" s="128" t="n">
        <f aca="false">G149-$I$1+1</f>
        <v>12</v>
      </c>
      <c r="N149" s="132" t="n">
        <f aca="false">I149/L149*M149</f>
        <v>11062.5</v>
      </c>
      <c r="O149" s="132" t="n">
        <f aca="false">IF(F149&lt;$O$1,31,$O$1-F149)</f>
        <v>31</v>
      </c>
      <c r="P149" s="131"/>
      <c r="Q149" s="128"/>
      <c r="R149" s="128" t="n">
        <f aca="false">IF(F149&lt;$R$2,30,$R$2-F149)</f>
        <v>30</v>
      </c>
      <c r="S149" s="128"/>
      <c r="T149" s="128"/>
      <c r="U149" s="132" t="n">
        <f aca="false">IF(F150&lt;$U$2,31,$U$2-F150)</f>
        <v>31</v>
      </c>
      <c r="V149" s="128"/>
      <c r="W149" s="141" t="n">
        <v>0</v>
      </c>
      <c r="X149" s="132" t="n">
        <v>0</v>
      </c>
      <c r="Y149" s="128" t="n">
        <v>0</v>
      </c>
      <c r="Z149" s="128"/>
      <c r="AA149" s="128"/>
      <c r="AB149" s="128"/>
      <c r="AC149" s="136"/>
      <c r="AD149" s="136"/>
      <c r="AE149" s="136"/>
    </row>
    <row r="150" customFormat="false" ht="15" hidden="false" customHeight="false" outlineLevel="0" collapsed="false">
      <c r="A150" s="138" t="n">
        <v>0</v>
      </c>
      <c r="B150" s="139" t="n">
        <v>45689</v>
      </c>
      <c r="C150" s="150" t="s">
        <v>425</v>
      </c>
      <c r="D150" s="128" t="s">
        <v>426</v>
      </c>
      <c r="E150" s="128"/>
      <c r="F150" s="154" t="n">
        <v>45713</v>
      </c>
      <c r="G150" s="154" t="n">
        <v>46079</v>
      </c>
      <c r="H150" s="145" t="s">
        <v>9</v>
      </c>
      <c r="I150" s="131" t="n">
        <v>283200</v>
      </c>
      <c r="J150" s="132" t="n">
        <v>23600</v>
      </c>
      <c r="K150" s="132" t="n">
        <f aca="false">I150/12</f>
        <v>23600</v>
      </c>
      <c r="L150" s="127" t="n">
        <f aca="false">G150-F150+1</f>
        <v>367</v>
      </c>
      <c r="M150" s="128" t="n">
        <f aca="false">IF(F150&lt;H26,30,G150-1-4-2025)</f>
        <v>30</v>
      </c>
      <c r="N150" s="132" t="n">
        <f aca="false">I150/L150*M150</f>
        <v>23149.863760218</v>
      </c>
      <c r="O150" s="132" t="n">
        <f aca="false">IF(F150&lt;$O$1,31,$O$1-F150)</f>
        <v>31</v>
      </c>
      <c r="P150" s="131" t="n">
        <f aca="false">O150*I150/L150</f>
        <v>23921.5258855586</v>
      </c>
      <c r="Q150" s="146" t="n">
        <f aca="false">I150/12</f>
        <v>23600</v>
      </c>
      <c r="R150" s="128" t="n">
        <f aca="false">IF(F150&lt;$R$2,30,$R$2-F150)</f>
        <v>30</v>
      </c>
      <c r="S150" s="146" t="n">
        <f aca="false">R150*I150/L150</f>
        <v>23149.863760218</v>
      </c>
      <c r="T150" s="146" t="n">
        <f aca="false">I150/12</f>
        <v>23600</v>
      </c>
      <c r="U150" s="132" t="n">
        <f aca="false">IF(F151&lt;$U$2,31,$U$2-F151)</f>
        <v>31</v>
      </c>
      <c r="V150" s="131" t="n">
        <f aca="false">I150*U150/L150</f>
        <v>23921.5258855586</v>
      </c>
      <c r="W150" s="141" t="n">
        <f aca="false">IF(F150&lt;$W$2,31,$W$2-F150)</f>
        <v>31</v>
      </c>
      <c r="X150" s="132" t="n">
        <f aca="false">I150/12</f>
        <v>23600</v>
      </c>
      <c r="Y150" s="131" t="n">
        <f aca="false">I150*W150/L150</f>
        <v>23921.5258855586</v>
      </c>
      <c r="Z150" s="141" t="n">
        <f aca="false">IF(F150&lt;$Z$2,30,$Z$2-I150)</f>
        <v>30</v>
      </c>
      <c r="AA150" s="147" t="n">
        <f aca="false">I150/12</f>
        <v>23600</v>
      </c>
      <c r="AB150" s="147" t="n">
        <f aca="false">I150*Z150/L150</f>
        <v>23149.863760218</v>
      </c>
      <c r="AC150" s="143"/>
      <c r="AD150" s="144"/>
      <c r="AE150" s="144"/>
    </row>
    <row r="151" customFormat="false" ht="15" hidden="false" customHeight="false" outlineLevel="0" collapsed="false">
      <c r="A151" s="138" t="n">
        <v>0</v>
      </c>
      <c r="B151" s="139" t="n">
        <v>45689</v>
      </c>
      <c r="C151" s="150" t="s">
        <v>427</v>
      </c>
      <c r="D151" s="128" t="s">
        <v>428</v>
      </c>
      <c r="E151" s="128"/>
      <c r="F151" s="154" t="n">
        <v>45698</v>
      </c>
      <c r="G151" s="154" t="n">
        <v>46063</v>
      </c>
      <c r="H151" s="145" t="s">
        <v>9</v>
      </c>
      <c r="I151" s="131" t="n">
        <v>108000</v>
      </c>
      <c r="J151" s="132" t="n">
        <v>9000</v>
      </c>
      <c r="K151" s="132" t="n">
        <f aca="false">I151/12</f>
        <v>9000</v>
      </c>
      <c r="L151" s="127" t="n">
        <f aca="false">G151-F151+1</f>
        <v>366</v>
      </c>
      <c r="M151" s="128" t="n">
        <f aca="false">IF(F151&lt;H28,30,G151-1-4-2025)</f>
        <v>30</v>
      </c>
      <c r="N151" s="132" t="n">
        <f aca="false">I151/L151*M151</f>
        <v>8852.45901639344</v>
      </c>
      <c r="O151" s="132" t="n">
        <f aca="false">IF(F151&lt;$O$1,31,$O$1-F151)</f>
        <v>31</v>
      </c>
      <c r="P151" s="131" t="n">
        <f aca="false">O151*I151/L151</f>
        <v>9147.54098360656</v>
      </c>
      <c r="Q151" s="146" t="n">
        <f aca="false">I151/12</f>
        <v>9000</v>
      </c>
      <c r="R151" s="128" t="n">
        <f aca="false">IF(F151&lt;$R$2,30,$R$2-F151)</f>
        <v>30</v>
      </c>
      <c r="S151" s="146" t="n">
        <f aca="false">R151*I151/L151</f>
        <v>8852.45901639344</v>
      </c>
      <c r="T151" s="146" t="n">
        <f aca="false">I151/12</f>
        <v>9000</v>
      </c>
      <c r="U151" s="132" t="n">
        <f aca="false">IF(F152&lt;$U$2,31,$U$2-F152)</f>
        <v>31</v>
      </c>
      <c r="V151" s="131" t="n">
        <f aca="false">I151*U151/L151</f>
        <v>9147.54098360656</v>
      </c>
      <c r="W151" s="141" t="n">
        <f aca="false">IF(F151&lt;$W$2,31,$W$2-F151)</f>
        <v>31</v>
      </c>
      <c r="X151" s="132" t="n">
        <f aca="false">I151/12</f>
        <v>9000</v>
      </c>
      <c r="Y151" s="131" t="n">
        <f aca="false">I151*W151/L151</f>
        <v>9147.54098360656</v>
      </c>
      <c r="Z151" s="141" t="n">
        <f aca="false">IF(F151&lt;$Z$2,30,$Z$2-I151)</f>
        <v>30</v>
      </c>
      <c r="AA151" s="147" t="n">
        <f aca="false">I151/12</f>
        <v>9000</v>
      </c>
      <c r="AB151" s="147" t="n">
        <f aca="false">I151*Z151/L151</f>
        <v>8852.45901639344</v>
      </c>
      <c r="AC151" s="143"/>
      <c r="AD151" s="144"/>
      <c r="AE151" s="144"/>
    </row>
    <row r="152" customFormat="false" ht="15" hidden="false" customHeight="false" outlineLevel="0" collapsed="false">
      <c r="A152" s="138" t="n">
        <v>0</v>
      </c>
      <c r="B152" s="139" t="n">
        <v>45658</v>
      </c>
      <c r="C152" s="150" t="s">
        <v>429</v>
      </c>
      <c r="D152" s="128" t="s">
        <v>430</v>
      </c>
      <c r="E152" s="128"/>
      <c r="F152" s="154" t="n">
        <v>45671</v>
      </c>
      <c r="G152" s="154" t="n">
        <v>46035</v>
      </c>
      <c r="H152" s="145" t="s">
        <v>9</v>
      </c>
      <c r="I152" s="131" t="n">
        <v>90000</v>
      </c>
      <c r="J152" s="132" t="n">
        <v>7500</v>
      </c>
      <c r="K152" s="132" t="n">
        <f aca="false">I152/12</f>
        <v>7500</v>
      </c>
      <c r="L152" s="127" t="n">
        <f aca="false">G152-F152+1</f>
        <v>365</v>
      </c>
      <c r="M152" s="128" t="n">
        <f aca="false">IF(F152&lt;H29,30,G152-1-4-2025)</f>
        <v>30</v>
      </c>
      <c r="N152" s="132" t="n">
        <f aca="false">I152/L152*M152</f>
        <v>7397.2602739726</v>
      </c>
      <c r="O152" s="132" t="n">
        <f aca="false">IF(F152&lt;$O$1,31,$O$1-F152)</f>
        <v>31</v>
      </c>
      <c r="P152" s="131" t="n">
        <f aca="false">O152*I152/L152</f>
        <v>7643.83561643836</v>
      </c>
      <c r="Q152" s="146" t="n">
        <f aca="false">I152/12</f>
        <v>7500</v>
      </c>
      <c r="R152" s="128" t="n">
        <f aca="false">IF(F152&lt;$R$2,30,$R$2-F152)</f>
        <v>30</v>
      </c>
      <c r="S152" s="146" t="n">
        <f aca="false">R152*I152/L152</f>
        <v>7397.2602739726</v>
      </c>
      <c r="T152" s="146" t="n">
        <f aca="false">I152/12</f>
        <v>7500</v>
      </c>
      <c r="U152" s="132" t="n">
        <f aca="false">IF(F153&lt;$U$2,31,$U$2-F153)</f>
        <v>31</v>
      </c>
      <c r="V152" s="131" t="n">
        <f aca="false">I152*U152/L152</f>
        <v>7643.83561643836</v>
      </c>
      <c r="W152" s="141" t="n">
        <f aca="false">IF(F152&lt;$W$2,31,$W$2-F152)</f>
        <v>31</v>
      </c>
      <c r="X152" s="132" t="n">
        <f aca="false">I152/12</f>
        <v>7500</v>
      </c>
      <c r="Y152" s="131" t="n">
        <f aca="false">I152*W152/L152</f>
        <v>7643.83561643836</v>
      </c>
      <c r="Z152" s="141" t="n">
        <f aca="false">IF(F152&lt;$Z$2,30,$Z$2-I152)</f>
        <v>30</v>
      </c>
      <c r="AA152" s="147" t="n">
        <f aca="false">I152/12</f>
        <v>7500</v>
      </c>
      <c r="AB152" s="147" t="n">
        <f aca="false">I152*Z152/L152</f>
        <v>7397.2602739726</v>
      </c>
      <c r="AC152" s="143"/>
      <c r="AD152" s="144"/>
      <c r="AE152" s="144"/>
    </row>
    <row r="153" customFormat="false" ht="15" hidden="false" customHeight="false" outlineLevel="0" collapsed="false">
      <c r="A153" s="138" t="n">
        <v>0</v>
      </c>
      <c r="B153" s="139" t="n">
        <v>45658</v>
      </c>
      <c r="C153" s="150" t="s">
        <v>431</v>
      </c>
      <c r="D153" s="128" t="s">
        <v>432</v>
      </c>
      <c r="E153" s="128"/>
      <c r="F153" s="154" t="n">
        <v>45671</v>
      </c>
      <c r="G153" s="154" t="n">
        <v>46035</v>
      </c>
      <c r="H153" s="145" t="s">
        <v>9</v>
      </c>
      <c r="I153" s="131" t="n">
        <v>162000</v>
      </c>
      <c r="J153" s="132" t="n">
        <v>13500</v>
      </c>
      <c r="K153" s="132" t="n">
        <f aca="false">I153/12</f>
        <v>13500</v>
      </c>
      <c r="L153" s="127" t="n">
        <f aca="false">G153-F153+1</f>
        <v>365</v>
      </c>
      <c r="M153" s="128" t="n">
        <f aca="false">IF(F153&lt;H30,30,G153-1-4-2025)</f>
        <v>30</v>
      </c>
      <c r="N153" s="132" t="n">
        <f aca="false">I153/L153*M153</f>
        <v>13315.0684931507</v>
      </c>
      <c r="O153" s="132" t="n">
        <f aca="false">IF(F153&lt;$O$1,31,$O$1-F153)</f>
        <v>31</v>
      </c>
      <c r="P153" s="131" t="n">
        <f aca="false">O153*I153/L153</f>
        <v>13758.904109589</v>
      </c>
      <c r="Q153" s="146" t="n">
        <f aca="false">I153/12</f>
        <v>13500</v>
      </c>
      <c r="R153" s="128" t="n">
        <f aca="false">IF(F153&lt;$R$2,30,$R$2-F153)</f>
        <v>30</v>
      </c>
      <c r="S153" s="146" t="n">
        <f aca="false">R153*I153/L153</f>
        <v>13315.0684931507</v>
      </c>
      <c r="T153" s="146" t="n">
        <f aca="false">I153/12</f>
        <v>13500</v>
      </c>
      <c r="U153" s="132" t="n">
        <f aca="false">IF(F154&lt;$U$2,31,$U$2-F154)</f>
        <v>31</v>
      </c>
      <c r="V153" s="131" t="n">
        <f aca="false">I153*U153/L153</f>
        <v>13758.904109589</v>
      </c>
      <c r="W153" s="141" t="n">
        <f aca="false">IF(F153&lt;$W$2,31,$W$2-F153)</f>
        <v>31</v>
      </c>
      <c r="X153" s="132" t="n">
        <f aca="false">I153/12</f>
        <v>13500</v>
      </c>
      <c r="Y153" s="131" t="n">
        <f aca="false">I153*W153/L153</f>
        <v>13758.904109589</v>
      </c>
      <c r="Z153" s="141" t="n">
        <f aca="false">IF(F153&lt;$Z$2,30,$Z$2-I153)</f>
        <v>30</v>
      </c>
      <c r="AA153" s="147" t="n">
        <f aca="false">I153/12</f>
        <v>13500</v>
      </c>
      <c r="AB153" s="147" t="n">
        <f aca="false">I153*Z153/L153</f>
        <v>13315.0684931507</v>
      </c>
      <c r="AC153" s="143"/>
      <c r="AD153" s="144"/>
      <c r="AE153" s="144"/>
    </row>
    <row r="154" s="137" customFormat="true" ht="15" hidden="false" customHeight="false" outlineLevel="0" collapsed="false">
      <c r="A154" s="125" t="s">
        <v>390</v>
      </c>
      <c r="B154" s="126" t="n">
        <v>45658</v>
      </c>
      <c r="C154" s="127" t="s">
        <v>370</v>
      </c>
      <c r="D154" s="127" t="s">
        <v>433</v>
      </c>
      <c r="E154" s="128"/>
      <c r="F154" s="148" t="n">
        <v>45665</v>
      </c>
      <c r="G154" s="148" t="n">
        <v>45695</v>
      </c>
      <c r="H154" s="142" t="s">
        <v>19</v>
      </c>
      <c r="I154" s="131" t="n">
        <v>5000</v>
      </c>
      <c r="J154" s="132" t="n">
        <v>0</v>
      </c>
      <c r="K154" s="132"/>
      <c r="L154" s="127" t="n">
        <f aca="false">G154-F154+1</f>
        <v>31</v>
      </c>
      <c r="M154" s="127"/>
      <c r="N154" s="132"/>
      <c r="O154" s="132"/>
      <c r="P154" s="131"/>
      <c r="Q154" s="127"/>
      <c r="R154" s="127" t="n">
        <f aca="false">IF(F154&lt;$R$2,30,$R$2-F154)</f>
        <v>30</v>
      </c>
      <c r="S154" s="127"/>
      <c r="T154" s="127"/>
      <c r="U154" s="132" t="n">
        <f aca="false">IF(F155&lt;$U$2,31,$U$2-F155)</f>
        <v>31</v>
      </c>
      <c r="V154" s="127"/>
      <c r="W154" s="135" t="n">
        <v>0</v>
      </c>
      <c r="X154" s="132" t="n">
        <v>0</v>
      </c>
      <c r="Y154" s="127" t="n">
        <v>0</v>
      </c>
      <c r="Z154" s="127"/>
      <c r="AA154" s="127"/>
      <c r="AB154" s="127"/>
      <c r="AC154" s="136"/>
      <c r="AD154" s="136"/>
      <c r="AE154" s="136"/>
    </row>
    <row r="155" customFormat="false" ht="15" hidden="false" customHeight="false" outlineLevel="0" collapsed="false">
      <c r="A155" s="138" t="n">
        <v>0</v>
      </c>
      <c r="B155" s="139" t="n">
        <v>45658</v>
      </c>
      <c r="C155" s="150" t="s">
        <v>434</v>
      </c>
      <c r="D155" s="128" t="s">
        <v>435</v>
      </c>
      <c r="E155" s="128"/>
      <c r="F155" s="154" t="n">
        <v>45672</v>
      </c>
      <c r="G155" s="154" t="n">
        <v>46036</v>
      </c>
      <c r="H155" s="145" t="s">
        <v>9</v>
      </c>
      <c r="I155" s="131" t="n">
        <v>162000</v>
      </c>
      <c r="J155" s="132" t="n">
        <v>13500</v>
      </c>
      <c r="K155" s="132" t="n">
        <f aca="false">I155/12</f>
        <v>13500</v>
      </c>
      <c r="L155" s="127" t="n">
        <f aca="false">G155-F155+1</f>
        <v>365</v>
      </c>
      <c r="M155" s="128" t="n">
        <f aca="false">IF(F155&lt;H31,30,G155-1-4-2025)</f>
        <v>30</v>
      </c>
      <c r="N155" s="132" t="n">
        <f aca="false">I155/L155*M155</f>
        <v>13315.0684931507</v>
      </c>
      <c r="O155" s="132" t="n">
        <f aca="false">IF(F155&lt;$O$1,31,$O$1-F155)</f>
        <v>31</v>
      </c>
      <c r="P155" s="131" t="n">
        <f aca="false">O155*I155/L155</f>
        <v>13758.904109589</v>
      </c>
      <c r="Q155" s="146" t="n">
        <f aca="false">I155/12</f>
        <v>13500</v>
      </c>
      <c r="R155" s="128" t="n">
        <f aca="false">IF(F155&lt;$R$2,30,$R$2-F155)</f>
        <v>30</v>
      </c>
      <c r="S155" s="146" t="n">
        <f aca="false">R155*I155/L155</f>
        <v>13315.0684931507</v>
      </c>
      <c r="T155" s="146" t="n">
        <f aca="false">I155/12</f>
        <v>13500</v>
      </c>
      <c r="U155" s="132" t="n">
        <f aca="false">IF(F156&lt;$U$2,31,$U$2-F156)</f>
        <v>31</v>
      </c>
      <c r="V155" s="131" t="n">
        <f aca="false">I155*U155/L155</f>
        <v>13758.904109589</v>
      </c>
      <c r="W155" s="141" t="n">
        <f aca="false">IF(F155&lt;$W$2,31,$W$2-F155)</f>
        <v>31</v>
      </c>
      <c r="X155" s="132" t="n">
        <f aca="false">I155/12</f>
        <v>13500</v>
      </c>
      <c r="Y155" s="131" t="n">
        <f aca="false">I155*W155/L155</f>
        <v>13758.904109589</v>
      </c>
      <c r="Z155" s="141" t="n">
        <f aca="false">IF(F155&lt;$Z$2,30,$Z$2-I155)</f>
        <v>30</v>
      </c>
      <c r="AA155" s="147" t="n">
        <f aca="false">I155/12</f>
        <v>13500</v>
      </c>
      <c r="AB155" s="147" t="n">
        <f aca="false">I155*Z155/L155</f>
        <v>13315.0684931507</v>
      </c>
      <c r="AC155" s="143"/>
      <c r="AD155" s="144"/>
      <c r="AE155" s="144"/>
    </row>
    <row r="156" customFormat="false" ht="15" hidden="false" customHeight="false" outlineLevel="0" collapsed="false">
      <c r="A156" s="138" t="n">
        <v>0</v>
      </c>
      <c r="B156" s="139" t="n">
        <v>45658</v>
      </c>
      <c r="C156" s="150" t="s">
        <v>436</v>
      </c>
      <c r="D156" s="128" t="s">
        <v>437</v>
      </c>
      <c r="E156" s="128"/>
      <c r="F156" s="154" t="n">
        <v>45680</v>
      </c>
      <c r="G156" s="154" t="n">
        <v>46044</v>
      </c>
      <c r="H156" s="145" t="s">
        <v>9</v>
      </c>
      <c r="I156" s="131" t="n">
        <v>90000</v>
      </c>
      <c r="J156" s="132" t="n">
        <v>7500</v>
      </c>
      <c r="K156" s="132" t="n">
        <f aca="false">I156/12</f>
        <v>7500</v>
      </c>
      <c r="L156" s="127" t="n">
        <f aca="false">G156-F156+1</f>
        <v>365</v>
      </c>
      <c r="M156" s="128" t="n">
        <f aca="false">IF(F156&lt;H32,30,G156-1-4-2025)</f>
        <v>30</v>
      </c>
      <c r="N156" s="132" t="n">
        <f aca="false">I156/L156*M156</f>
        <v>7397.2602739726</v>
      </c>
      <c r="O156" s="132" t="n">
        <f aca="false">IF(F156&lt;$O$1,31,$O$1-F156)</f>
        <v>31</v>
      </c>
      <c r="P156" s="131" t="n">
        <f aca="false">O156*I156/L156</f>
        <v>7643.83561643836</v>
      </c>
      <c r="Q156" s="146" t="n">
        <f aca="false">I156/12</f>
        <v>7500</v>
      </c>
      <c r="R156" s="128" t="n">
        <f aca="false">IF(F156&lt;$R$2,30,$R$2-F156)</f>
        <v>30</v>
      </c>
      <c r="S156" s="146" t="n">
        <f aca="false">R156*I156/L156</f>
        <v>7397.2602739726</v>
      </c>
      <c r="T156" s="146" t="n">
        <f aca="false">I156/12</f>
        <v>7500</v>
      </c>
      <c r="U156" s="132" t="n">
        <f aca="false">IF(F157&lt;$U$2,31,$U$2-F157)</f>
        <v>31</v>
      </c>
      <c r="V156" s="131" t="n">
        <f aca="false">I156*U156/L156</f>
        <v>7643.83561643836</v>
      </c>
      <c r="W156" s="141" t="n">
        <f aca="false">IF(F156&lt;$W$2,31,$W$2-F156)</f>
        <v>31</v>
      </c>
      <c r="X156" s="132" t="n">
        <f aca="false">I156/12</f>
        <v>7500</v>
      </c>
      <c r="Y156" s="131" t="n">
        <f aca="false">I156*W156/L156</f>
        <v>7643.83561643836</v>
      </c>
      <c r="Z156" s="141" t="n">
        <f aca="false">IF(F156&lt;$Z$2,30,$Z$2-I156)</f>
        <v>30</v>
      </c>
      <c r="AA156" s="147" t="n">
        <f aca="false">I156/12</f>
        <v>7500</v>
      </c>
      <c r="AB156" s="147" t="n">
        <f aca="false">I156*Z156/L156</f>
        <v>7397.2602739726</v>
      </c>
      <c r="AC156" s="143"/>
      <c r="AD156" s="144"/>
      <c r="AE156" s="144"/>
    </row>
    <row r="157" customFormat="false" ht="15" hidden="false" customHeight="false" outlineLevel="0" collapsed="false">
      <c r="A157" s="138" t="s">
        <v>438</v>
      </c>
      <c r="B157" s="139" t="n">
        <v>45627</v>
      </c>
      <c r="C157" s="128" t="s">
        <v>439</v>
      </c>
      <c r="D157" s="128" t="s">
        <v>440</v>
      </c>
      <c r="E157" s="128"/>
      <c r="F157" s="154" t="n">
        <v>45639</v>
      </c>
      <c r="G157" s="154" t="n">
        <v>45729</v>
      </c>
      <c r="H157" s="150" t="s">
        <v>24</v>
      </c>
      <c r="I157" s="131" t="n">
        <v>45000</v>
      </c>
      <c r="J157" s="132"/>
      <c r="K157" s="132"/>
      <c r="L157" s="127" t="n">
        <f aca="false">G157-F157+1</f>
        <v>91</v>
      </c>
      <c r="M157" s="128"/>
      <c r="N157" s="132"/>
      <c r="O157" s="132"/>
      <c r="P157" s="131"/>
      <c r="Q157" s="128"/>
      <c r="R157" s="128" t="n">
        <f aca="false">IF(F157&lt;$R$2,30,$R$2-F157)</f>
        <v>30</v>
      </c>
      <c r="S157" s="128"/>
      <c r="T157" s="128"/>
      <c r="U157" s="132" t="n">
        <f aca="false">IF(F158&lt;$U$2,31,$U$2-F158)</f>
        <v>31</v>
      </c>
      <c r="V157" s="128"/>
      <c r="W157" s="141" t="n">
        <v>0</v>
      </c>
      <c r="X157" s="132" t="n">
        <v>0</v>
      </c>
      <c r="Y157" s="128" t="n">
        <v>0</v>
      </c>
      <c r="Z157" s="128"/>
      <c r="AA157" s="128"/>
      <c r="AB157" s="128"/>
      <c r="AC157" s="136"/>
      <c r="AD157" s="136"/>
      <c r="AE157" s="136"/>
    </row>
    <row r="158" s="137" customFormat="true" ht="15" hidden="false" customHeight="false" outlineLevel="0" collapsed="false">
      <c r="A158" s="125" t="n">
        <v>0</v>
      </c>
      <c r="B158" s="126" t="n">
        <v>45717</v>
      </c>
      <c r="C158" s="142" t="s">
        <v>130</v>
      </c>
      <c r="D158" s="127" t="s">
        <v>441</v>
      </c>
      <c r="E158" s="128"/>
      <c r="F158" s="148" t="n">
        <v>45740</v>
      </c>
      <c r="G158" s="148" t="n">
        <v>45831</v>
      </c>
      <c r="H158" s="130" t="s">
        <v>24</v>
      </c>
      <c r="I158" s="131" t="n">
        <v>53100</v>
      </c>
      <c r="J158" s="132" t="n">
        <v>17700</v>
      </c>
      <c r="K158" s="132" t="n">
        <f aca="false">I158/3</f>
        <v>17700</v>
      </c>
      <c r="L158" s="127" t="n">
        <f aca="false">G158-F158+1</f>
        <v>92</v>
      </c>
      <c r="M158" s="127" t="n">
        <f aca="false">IF(F158&lt;H33,30,G158-1-4-2025)</f>
        <v>30</v>
      </c>
      <c r="N158" s="132" t="n">
        <f aca="false">I158/L158*M158</f>
        <v>17315.2173913043</v>
      </c>
      <c r="O158" s="132" t="n">
        <f aca="false">IF(F158&lt;$O$1,31,$O$1-F158)</f>
        <v>31</v>
      </c>
      <c r="P158" s="131" t="n">
        <f aca="false">O158*I158/L158</f>
        <v>17892.3913043478</v>
      </c>
      <c r="Q158" s="127" t="n">
        <v>0</v>
      </c>
      <c r="R158" s="127" t="n">
        <v>23</v>
      </c>
      <c r="S158" s="134" t="n">
        <f aca="false">R158*I158/L158</f>
        <v>13275</v>
      </c>
      <c r="T158" s="127"/>
      <c r="U158" s="132" t="n">
        <f aca="false">IF(F159&lt;$U$2,31,$U$2-F159)</f>
        <v>31</v>
      </c>
      <c r="V158" s="127"/>
      <c r="W158" s="135" t="n">
        <v>0</v>
      </c>
      <c r="X158" s="132" t="n">
        <v>0</v>
      </c>
      <c r="Y158" s="127" t="n">
        <v>0</v>
      </c>
      <c r="Z158" s="127"/>
      <c r="AA158" s="127"/>
      <c r="AB158" s="127"/>
      <c r="AC158" s="136"/>
      <c r="AD158" s="136"/>
      <c r="AE158" s="136"/>
    </row>
    <row r="159" customFormat="false" ht="15" hidden="false" customHeight="false" outlineLevel="0" collapsed="false">
      <c r="A159" s="138" t="n">
        <v>0</v>
      </c>
      <c r="B159" s="139" t="n">
        <v>45627</v>
      </c>
      <c r="C159" s="145" t="s">
        <v>442</v>
      </c>
      <c r="D159" s="128" t="s">
        <v>443</v>
      </c>
      <c r="E159" s="128"/>
      <c r="F159" s="154" t="n">
        <v>45644</v>
      </c>
      <c r="G159" s="154" t="n">
        <v>46008</v>
      </c>
      <c r="H159" s="145" t="s">
        <v>7</v>
      </c>
      <c r="I159" s="158" t="n">
        <v>293988</v>
      </c>
      <c r="J159" s="132" t="n">
        <v>24499</v>
      </c>
      <c r="K159" s="132" t="n">
        <f aca="false">I159/12</f>
        <v>24499</v>
      </c>
      <c r="L159" s="127" t="n">
        <f aca="false">G159-F159+1</f>
        <v>365</v>
      </c>
      <c r="M159" s="128" t="n">
        <f aca="false">IF(F159&lt;H34,30,G159-1-4-2025)</f>
        <v>30</v>
      </c>
      <c r="N159" s="132" t="n">
        <f aca="false">I159/L159*M159</f>
        <v>24163.397260274</v>
      </c>
      <c r="O159" s="132" t="n">
        <f aca="false">IF(F159&lt;$O$1,31,$O$1-F159)</f>
        <v>31</v>
      </c>
      <c r="P159" s="131" t="n">
        <f aca="false">O159*I159/L159</f>
        <v>24968.8438356164</v>
      </c>
      <c r="Q159" s="147" t="n">
        <f aca="false">I159/12</f>
        <v>24499</v>
      </c>
      <c r="R159" s="128" t="n">
        <f aca="false">IF(F159&lt;$R$2,30,$R$2-F159)</f>
        <v>30</v>
      </c>
      <c r="S159" s="146" t="n">
        <f aca="false">R159*I159/L159</f>
        <v>24163.397260274</v>
      </c>
      <c r="T159" s="146" t="n">
        <f aca="false">I159/12</f>
        <v>24499</v>
      </c>
      <c r="U159" s="132" t="n">
        <f aca="false">IF(F160&lt;$U$2,31,$U$2-F160)</f>
        <v>31</v>
      </c>
      <c r="V159" s="131" t="n">
        <f aca="false">I159*U159/L159</f>
        <v>24968.8438356164</v>
      </c>
      <c r="W159" s="141" t="n">
        <f aca="false">IF(F159&lt;$W$2,31,$W$2-F159)</f>
        <v>31</v>
      </c>
      <c r="X159" s="132" t="n">
        <f aca="false">I159/12</f>
        <v>24499</v>
      </c>
      <c r="Y159" s="131" t="n">
        <f aca="false">I159*W159/L159</f>
        <v>24968.8438356164</v>
      </c>
      <c r="Z159" s="141" t="n">
        <f aca="false">IF(F159&lt;$Z$2,30,$Z$2-I159)</f>
        <v>30</v>
      </c>
      <c r="AA159" s="147" t="n">
        <f aca="false">I159/12</f>
        <v>24499</v>
      </c>
      <c r="AB159" s="147" t="n">
        <f aca="false">I159*Z159/L159</f>
        <v>24163.397260274</v>
      </c>
      <c r="AC159" s="143"/>
      <c r="AD159" s="144"/>
      <c r="AE159" s="144"/>
    </row>
    <row r="160" customFormat="false" ht="23.85" hidden="false" customHeight="false" outlineLevel="0" collapsed="false">
      <c r="A160" s="138"/>
      <c r="B160" s="139" t="s">
        <v>444</v>
      </c>
      <c r="C160" s="159" t="s">
        <v>445</v>
      </c>
      <c r="D160" s="128" t="s">
        <v>446</v>
      </c>
      <c r="E160" s="128"/>
      <c r="F160" s="154" t="n">
        <v>45645</v>
      </c>
      <c r="G160" s="154" t="n">
        <v>46022</v>
      </c>
      <c r="H160" s="145" t="s">
        <v>7</v>
      </c>
      <c r="I160" s="131" t="n">
        <v>120000</v>
      </c>
      <c r="J160" s="132" t="n">
        <v>10000</v>
      </c>
      <c r="K160" s="132" t="n">
        <f aca="false">I160/12</f>
        <v>10000</v>
      </c>
      <c r="L160" s="127" t="n">
        <f aca="false">G160-F160+1</f>
        <v>378</v>
      </c>
      <c r="M160" s="128" t="n">
        <f aca="false">IF(F160&lt;H35,30,G160-1-4-2025)</f>
        <v>30</v>
      </c>
      <c r="N160" s="132" t="n">
        <f aca="false">I160/L160*M160</f>
        <v>9523.80952380953</v>
      </c>
      <c r="O160" s="132" t="n">
        <f aca="false">IF(F160&lt;$O$1,31,$O$1-F160)</f>
        <v>31</v>
      </c>
      <c r="P160" s="131" t="n">
        <f aca="false">O160*I160/L160</f>
        <v>9841.26984126984</v>
      </c>
      <c r="Q160" s="147" t="n">
        <f aca="false">I160/12</f>
        <v>10000</v>
      </c>
      <c r="R160" s="128" t="n">
        <f aca="false">IF(F160&lt;$R$2,30,$R$2-F160)</f>
        <v>30</v>
      </c>
      <c r="S160" s="146" t="n">
        <f aca="false">R160*I160/L160</f>
        <v>9523.80952380952</v>
      </c>
      <c r="T160" s="146" t="n">
        <f aca="false">I160/12</f>
        <v>10000</v>
      </c>
      <c r="U160" s="132" t="n">
        <f aca="false">IF(F161&lt;$U$2,31,$U$2-F161)</f>
        <v>31</v>
      </c>
      <c r="V160" s="131" t="n">
        <f aca="false">I160*U160/L160</f>
        <v>9841.26984126984</v>
      </c>
      <c r="W160" s="141" t="n">
        <f aca="false">IF(F160&lt;$W$2,31,$W$2-F160)</f>
        <v>31</v>
      </c>
      <c r="X160" s="132" t="n">
        <f aca="false">I160/12</f>
        <v>10000</v>
      </c>
      <c r="Y160" s="131" t="n">
        <f aca="false">I160*W160/L160</f>
        <v>9841.26984126984</v>
      </c>
      <c r="Z160" s="141" t="n">
        <f aca="false">IF(F160&lt;$Z$2,30,$Z$2-I160)</f>
        <v>30</v>
      </c>
      <c r="AA160" s="147" t="n">
        <f aca="false">I160/12</f>
        <v>10000</v>
      </c>
      <c r="AB160" s="147" t="n">
        <f aca="false">I160*Z160/L160</f>
        <v>9523.80952380952</v>
      </c>
      <c r="AC160" s="143"/>
      <c r="AD160" s="144"/>
      <c r="AE160" s="144"/>
    </row>
    <row r="161" customFormat="false" ht="15" hidden="false" customHeight="false" outlineLevel="0" collapsed="false">
      <c r="A161" s="138" t="n">
        <v>0</v>
      </c>
      <c r="B161" s="139" t="s">
        <v>447</v>
      </c>
      <c r="C161" s="150" t="s">
        <v>448</v>
      </c>
      <c r="D161" s="128" t="s">
        <v>449</v>
      </c>
      <c r="E161" s="128"/>
      <c r="F161" s="154" t="n">
        <v>45651</v>
      </c>
      <c r="G161" s="154" t="n">
        <v>46016</v>
      </c>
      <c r="H161" s="149" t="s">
        <v>8</v>
      </c>
      <c r="I161" s="131" t="n">
        <v>147600</v>
      </c>
      <c r="J161" s="132" t="n">
        <v>12300</v>
      </c>
      <c r="K161" s="132" t="n">
        <f aca="false">I161/12</f>
        <v>12300</v>
      </c>
      <c r="L161" s="127" t="n">
        <f aca="false">G161-F161+1</f>
        <v>366</v>
      </c>
      <c r="M161" s="128" t="n">
        <f aca="false">IF(F161&lt;H36,30,G161-1-4-2025)</f>
        <v>30</v>
      </c>
      <c r="N161" s="132" t="n">
        <f aca="false">I161/L161*M161</f>
        <v>12098.3606557377</v>
      </c>
      <c r="O161" s="132" t="n">
        <f aca="false">IF(F161&lt;$O$1,31,$O$1-F161)</f>
        <v>31</v>
      </c>
      <c r="P161" s="131" t="n">
        <f aca="false">O161*I161/L161</f>
        <v>12501.6393442623</v>
      </c>
      <c r="Q161" s="147" t="n">
        <f aca="false">I161/12</f>
        <v>12300</v>
      </c>
      <c r="R161" s="128" t="n">
        <f aca="false">IF(F161&lt;$R$2,30,$R$2-F161)</f>
        <v>30</v>
      </c>
      <c r="S161" s="146" t="n">
        <f aca="false">R161*I161/L161</f>
        <v>12098.3606557377</v>
      </c>
      <c r="T161" s="146" t="n">
        <f aca="false">I161/12</f>
        <v>12300</v>
      </c>
      <c r="U161" s="132" t="n">
        <f aca="false">IF(F162&lt;$U$2,31,$U$2-F162)</f>
        <v>31</v>
      </c>
      <c r="V161" s="131" t="n">
        <f aca="false">I161*U161/L161</f>
        <v>12501.6393442623</v>
      </c>
      <c r="W161" s="141" t="n">
        <f aca="false">IF(F161&lt;$W$2,31,$W$2-F161)</f>
        <v>31</v>
      </c>
      <c r="X161" s="132" t="n">
        <f aca="false">I161/12</f>
        <v>12300</v>
      </c>
      <c r="Y161" s="131" t="n">
        <f aca="false">I161*W161/L161</f>
        <v>12501.6393442623</v>
      </c>
      <c r="Z161" s="141" t="n">
        <f aca="false">IF(F161&lt;$Z$2,30,$Z$2-I161)</f>
        <v>30</v>
      </c>
      <c r="AA161" s="147" t="n">
        <f aca="false">I161/12</f>
        <v>12300</v>
      </c>
      <c r="AB161" s="147" t="n">
        <f aca="false">I161*Z161/L161</f>
        <v>12098.3606557377</v>
      </c>
      <c r="AC161" s="143"/>
      <c r="AD161" s="144"/>
      <c r="AE161" s="144"/>
    </row>
    <row r="162" customFormat="false" ht="15" hidden="false" customHeight="false" outlineLevel="0" collapsed="false">
      <c r="A162" s="138" t="n">
        <v>0</v>
      </c>
      <c r="B162" s="139" t="s">
        <v>450</v>
      </c>
      <c r="C162" s="145" t="s">
        <v>451</v>
      </c>
      <c r="D162" s="128" t="s">
        <v>452</v>
      </c>
      <c r="E162" s="128"/>
      <c r="F162" s="154" t="n">
        <v>45728</v>
      </c>
      <c r="G162" s="154" t="n">
        <v>46124</v>
      </c>
      <c r="H162" s="145" t="s">
        <v>41</v>
      </c>
      <c r="I162" s="131" t="n">
        <f aca="false">11800*13</f>
        <v>153400</v>
      </c>
      <c r="J162" s="132" t="n">
        <f aca="false">I162/13</f>
        <v>11800</v>
      </c>
      <c r="K162" s="132" t="n">
        <f aca="false">I162/13</f>
        <v>11800</v>
      </c>
      <c r="L162" s="127" t="n">
        <f aca="false">G162-F162+1</f>
        <v>397</v>
      </c>
      <c r="M162" s="128" t="n">
        <f aca="false">IF(F162&lt;H40,30,G162-1-4-2025)</f>
        <v>30</v>
      </c>
      <c r="N162" s="132" t="n">
        <f aca="false">I162/L162*M162</f>
        <v>11591.9395465995</v>
      </c>
      <c r="O162" s="132" t="n">
        <f aca="false">IF(F162&lt;$O$1,31,$O$1-F162)</f>
        <v>31</v>
      </c>
      <c r="P162" s="131" t="n">
        <f aca="false">O162*I162/L162</f>
        <v>11978.3375314861</v>
      </c>
      <c r="Q162" s="146" t="n">
        <f aca="false">I162/13</f>
        <v>11800</v>
      </c>
      <c r="R162" s="128" t="n">
        <f aca="false">IF(F162&lt;$R$2,30,$R$2-F162)</f>
        <v>30</v>
      </c>
      <c r="S162" s="146" t="n">
        <f aca="false">R162*I162/L162</f>
        <v>11591.9395465995</v>
      </c>
      <c r="T162" s="146" t="n">
        <f aca="false">I162/13</f>
        <v>11800</v>
      </c>
      <c r="U162" s="132" t="n">
        <f aca="false">IF(F163&lt;$U$2,31,$U$2-F163)</f>
        <v>31</v>
      </c>
      <c r="V162" s="131" t="n">
        <f aca="false">I162*U162/L162</f>
        <v>11978.3375314861</v>
      </c>
      <c r="W162" s="141" t="n">
        <f aca="false">IF(F162&lt;$W$2,31,$W$2-F162)</f>
        <v>31</v>
      </c>
      <c r="X162" s="132" t="n">
        <f aca="false">I162/13</f>
        <v>11800</v>
      </c>
      <c r="Y162" s="131" t="n">
        <f aca="false">I162*W162/L162</f>
        <v>11978.3375314861</v>
      </c>
      <c r="Z162" s="141" t="n">
        <f aca="false">IF(F162&lt;$Z$2,30,$Z$2-I162)</f>
        <v>30</v>
      </c>
      <c r="AA162" s="147" t="n">
        <f aca="false">I162/13</f>
        <v>11800</v>
      </c>
      <c r="AB162" s="147" t="n">
        <f aca="false">I162*Z162/L162</f>
        <v>11591.9395465995</v>
      </c>
      <c r="AC162" s="143"/>
      <c r="AD162" s="144"/>
      <c r="AE162" s="144"/>
    </row>
    <row r="163" s="137" customFormat="true" ht="15" hidden="false" customHeight="false" outlineLevel="0" collapsed="false">
      <c r="A163" s="125" t="s">
        <v>129</v>
      </c>
      <c r="B163" s="126" t="n">
        <v>45717</v>
      </c>
      <c r="C163" s="142" t="s">
        <v>187</v>
      </c>
      <c r="D163" s="127" t="s">
        <v>453</v>
      </c>
      <c r="E163" s="128"/>
      <c r="F163" s="148" t="n">
        <v>45727</v>
      </c>
      <c r="G163" s="148" t="n">
        <v>45758</v>
      </c>
      <c r="H163" s="142" t="s">
        <v>19</v>
      </c>
      <c r="I163" s="131" t="n">
        <v>5900</v>
      </c>
      <c r="J163" s="132"/>
      <c r="K163" s="132"/>
      <c r="L163" s="127" t="n">
        <f aca="false">G163-F163+1</f>
        <v>32</v>
      </c>
      <c r="M163" s="127" t="n">
        <f aca="false">G163-I1+1</f>
        <v>11</v>
      </c>
      <c r="N163" s="132" t="n">
        <f aca="false">I163/L163*M163</f>
        <v>2028.125</v>
      </c>
      <c r="O163" s="132" t="n">
        <f aca="false">IF(F163&lt;$O$1,31,$O$1-F163)</f>
        <v>31</v>
      </c>
      <c r="P163" s="131"/>
      <c r="Q163" s="127"/>
      <c r="R163" s="127" t="n">
        <f aca="false">IF(F163&lt;$R$2,30,$R$2-F163)</f>
        <v>30</v>
      </c>
      <c r="S163" s="127"/>
      <c r="T163" s="127"/>
      <c r="U163" s="132" t="n">
        <f aca="false">IF(F164&lt;$U$2,31,$U$2-F164)</f>
        <v>31</v>
      </c>
      <c r="V163" s="127"/>
      <c r="W163" s="135" t="n">
        <v>0</v>
      </c>
      <c r="X163" s="132" t="n">
        <v>0</v>
      </c>
      <c r="Y163" s="127" t="n">
        <v>0</v>
      </c>
      <c r="Z163" s="127"/>
      <c r="AA163" s="127"/>
      <c r="AB163" s="127"/>
      <c r="AC163" s="136"/>
      <c r="AD163" s="136"/>
      <c r="AE163" s="136"/>
    </row>
    <row r="164" s="137" customFormat="true" ht="15" hidden="false" customHeight="false" outlineLevel="0" collapsed="false">
      <c r="A164" s="125" t="s">
        <v>119</v>
      </c>
      <c r="B164" s="126" t="n">
        <v>45689</v>
      </c>
      <c r="C164" s="130" t="s">
        <v>318</v>
      </c>
      <c r="D164" s="152" t="s">
        <v>454</v>
      </c>
      <c r="E164" s="128"/>
      <c r="F164" s="148" t="n">
        <v>45691</v>
      </c>
      <c r="G164" s="148" t="n">
        <v>45780</v>
      </c>
      <c r="H164" s="130" t="s">
        <v>24</v>
      </c>
      <c r="I164" s="131" t="n">
        <v>22500</v>
      </c>
      <c r="J164" s="132" t="n">
        <v>7500</v>
      </c>
      <c r="K164" s="132"/>
      <c r="L164" s="127" t="n">
        <f aca="false">G164-F164+1</f>
        <v>90</v>
      </c>
      <c r="M164" s="127" t="n">
        <f aca="false">IF(F164&lt;H43,30,G164-1-4-2025)</f>
        <v>30</v>
      </c>
      <c r="N164" s="132" t="n">
        <f aca="false">I164/L164*M164</f>
        <v>7500</v>
      </c>
      <c r="O164" s="132" t="n">
        <f aca="false">IF(G164&lt;$O$1,G164-$N$1+1,31)</f>
        <v>3</v>
      </c>
      <c r="P164" s="131" t="n">
        <f aca="false">O164*I164/L164</f>
        <v>750</v>
      </c>
      <c r="Q164" s="127"/>
      <c r="R164" s="127" t="n">
        <f aca="false">IF(F164&lt;$R$2,30,$R$2-F164)</f>
        <v>30</v>
      </c>
      <c r="S164" s="127"/>
      <c r="T164" s="127"/>
      <c r="U164" s="132" t="n">
        <f aca="false">IF(F165&lt;$U$2,31,$U$2-F165)</f>
        <v>31</v>
      </c>
      <c r="V164" s="127"/>
      <c r="W164" s="135" t="n">
        <v>0</v>
      </c>
      <c r="X164" s="132" t="n">
        <v>0</v>
      </c>
      <c r="Y164" s="127" t="n">
        <v>0</v>
      </c>
      <c r="Z164" s="127"/>
      <c r="AA164" s="127"/>
      <c r="AB164" s="127"/>
      <c r="AC164" s="136"/>
      <c r="AD164" s="136"/>
      <c r="AE164" s="136"/>
    </row>
    <row r="165" customFormat="false" ht="15" hidden="false" customHeight="false" outlineLevel="0" collapsed="false">
      <c r="A165" s="138" t="s">
        <v>119</v>
      </c>
      <c r="B165" s="139" t="n">
        <v>45689</v>
      </c>
      <c r="C165" s="150" t="s">
        <v>455</v>
      </c>
      <c r="D165" s="128" t="s">
        <v>456</v>
      </c>
      <c r="E165" s="128"/>
      <c r="F165" s="154" t="n">
        <v>45693</v>
      </c>
      <c r="G165" s="154" t="n">
        <v>45782</v>
      </c>
      <c r="H165" s="150" t="s">
        <v>24</v>
      </c>
      <c r="I165" s="131" t="n">
        <v>32000</v>
      </c>
      <c r="J165" s="132" t="n">
        <v>10666.6666666667</v>
      </c>
      <c r="K165" s="132"/>
      <c r="L165" s="127" t="n">
        <f aca="false">G165-F165+1</f>
        <v>90</v>
      </c>
      <c r="M165" s="128" t="n">
        <f aca="false">IF(F165&lt;H44,30,G165-1-4-2025)</f>
        <v>30</v>
      </c>
      <c r="N165" s="132" t="n">
        <f aca="false">I165/L165*M165</f>
        <v>10666.6666666667</v>
      </c>
      <c r="O165" s="132" t="n">
        <f aca="false">IF(G165&lt;$O$1,G165-$N$1+1,31)</f>
        <v>5</v>
      </c>
      <c r="P165" s="131" t="n">
        <f aca="false">O165*I165/L165</f>
        <v>1777.77777777778</v>
      </c>
      <c r="Q165" s="128"/>
      <c r="R165" s="128" t="n">
        <f aca="false">IF(F165&lt;$R$2,30,$R$2-F165)</f>
        <v>30</v>
      </c>
      <c r="S165" s="128"/>
      <c r="T165" s="128"/>
      <c r="U165" s="132" t="n">
        <f aca="false">IF(F166&lt;$U$2,31,$U$2-F166)</f>
        <v>31</v>
      </c>
      <c r="V165" s="128"/>
      <c r="W165" s="141" t="n">
        <v>0</v>
      </c>
      <c r="X165" s="132" t="n">
        <v>0</v>
      </c>
      <c r="Y165" s="128" t="n">
        <v>0</v>
      </c>
      <c r="Z165" s="128"/>
      <c r="AA165" s="128"/>
      <c r="AB165" s="128"/>
      <c r="AC165" s="136"/>
      <c r="AD165" s="136"/>
      <c r="AE165" s="136"/>
    </row>
    <row r="166" s="137" customFormat="true" ht="15" hidden="false" customHeight="false" outlineLevel="0" collapsed="false">
      <c r="A166" s="125" t="s">
        <v>390</v>
      </c>
      <c r="B166" s="126" t="n">
        <v>45658</v>
      </c>
      <c r="C166" s="127" t="s">
        <v>149</v>
      </c>
      <c r="D166" s="127" t="s">
        <v>457</v>
      </c>
      <c r="E166" s="128"/>
      <c r="F166" s="148" t="n">
        <v>45680</v>
      </c>
      <c r="G166" s="148" t="n">
        <v>45710</v>
      </c>
      <c r="H166" s="142" t="s">
        <v>19</v>
      </c>
      <c r="I166" s="131" t="n">
        <v>15000</v>
      </c>
      <c r="J166" s="132" t="n">
        <v>0</v>
      </c>
      <c r="K166" s="132"/>
      <c r="L166" s="127" t="n">
        <f aca="false">G166-F166+1</f>
        <v>31</v>
      </c>
      <c r="M166" s="127"/>
      <c r="N166" s="132"/>
      <c r="O166" s="132"/>
      <c r="P166" s="131"/>
      <c r="Q166" s="127"/>
      <c r="R166" s="127" t="n">
        <f aca="false">IF(F166&lt;$R$2,30,$R$2-F166)</f>
        <v>30</v>
      </c>
      <c r="S166" s="127"/>
      <c r="T166" s="127"/>
      <c r="U166" s="132" t="n">
        <f aca="false">IF(F167&lt;$U$2,31,$U$2-F167)</f>
        <v>31</v>
      </c>
      <c r="V166" s="127"/>
      <c r="W166" s="135" t="n">
        <v>0</v>
      </c>
      <c r="X166" s="132" t="n">
        <v>0</v>
      </c>
      <c r="Y166" s="127" t="n">
        <v>0</v>
      </c>
      <c r="Z166" s="127"/>
      <c r="AA166" s="127"/>
      <c r="AB166" s="127"/>
      <c r="AC166" s="136"/>
      <c r="AD166" s="136"/>
      <c r="AE166" s="136"/>
    </row>
    <row r="167" customFormat="false" ht="15" hidden="false" customHeight="false" outlineLevel="0" collapsed="false">
      <c r="A167" s="138" t="n">
        <v>0</v>
      </c>
      <c r="B167" s="139" t="n">
        <v>45658</v>
      </c>
      <c r="C167" s="150" t="s">
        <v>458</v>
      </c>
      <c r="D167" s="128" t="s">
        <v>459</v>
      </c>
      <c r="E167" s="128"/>
      <c r="F167" s="154" t="n">
        <v>45685</v>
      </c>
      <c r="G167" s="154" t="n">
        <v>46049</v>
      </c>
      <c r="H167" s="145" t="s">
        <v>9</v>
      </c>
      <c r="I167" s="131" t="n">
        <v>162000</v>
      </c>
      <c r="J167" s="132" t="n">
        <v>13500</v>
      </c>
      <c r="K167" s="132" t="n">
        <f aca="false">I167/12</f>
        <v>13500</v>
      </c>
      <c r="L167" s="127" t="n">
        <f aca="false">G167-F167+1</f>
        <v>365</v>
      </c>
      <c r="M167" s="128" t="n">
        <f aca="false">IF(F167&lt;H45,30,G167-1-4-2025)</f>
        <v>30</v>
      </c>
      <c r="N167" s="132" t="n">
        <f aca="false">I167/L167*M167</f>
        <v>13315.0684931507</v>
      </c>
      <c r="O167" s="132" t="n">
        <f aca="false">IF(F167&lt;$O$1,31,$O$1-F167)</f>
        <v>31</v>
      </c>
      <c r="P167" s="131" t="n">
        <f aca="false">O167*I167/L167</f>
        <v>13758.904109589</v>
      </c>
      <c r="Q167" s="146" t="n">
        <f aca="false">I167/12</f>
        <v>13500</v>
      </c>
      <c r="R167" s="128" t="n">
        <f aca="false">IF(F167&lt;$R$2,30,$R$2-F167)</f>
        <v>30</v>
      </c>
      <c r="S167" s="146" t="n">
        <f aca="false">R167*I167/L167</f>
        <v>13315.0684931507</v>
      </c>
      <c r="T167" s="146" t="n">
        <f aca="false">I167/12</f>
        <v>13500</v>
      </c>
      <c r="U167" s="132" t="n">
        <f aca="false">IF(F168&lt;$U$2,31,$U$2-F168)</f>
        <v>31</v>
      </c>
      <c r="V167" s="131" t="n">
        <f aca="false">I167*U167/L167</f>
        <v>13758.904109589</v>
      </c>
      <c r="W167" s="141" t="n">
        <f aca="false">IF(F167&lt;$W$2,31,$W$2-F167)</f>
        <v>31</v>
      </c>
      <c r="X167" s="132" t="n">
        <f aca="false">I167/12</f>
        <v>13500</v>
      </c>
      <c r="Y167" s="131" t="n">
        <f aca="false">I167*W167/L167</f>
        <v>13758.904109589</v>
      </c>
      <c r="Z167" s="141" t="n">
        <f aca="false">IF(F167&lt;$Z$2,30,$Z$2-I167)</f>
        <v>30</v>
      </c>
      <c r="AA167" s="147" t="n">
        <f aca="false">I167/12</f>
        <v>13500</v>
      </c>
      <c r="AB167" s="147" t="n">
        <f aca="false">I167*Z167/L167</f>
        <v>13315.0684931507</v>
      </c>
      <c r="AC167" s="143"/>
      <c r="AD167" s="144"/>
      <c r="AE167" s="144"/>
    </row>
    <row r="168" customFormat="false" ht="15" hidden="false" customHeight="false" outlineLevel="0" collapsed="false">
      <c r="A168" s="138" t="n">
        <v>0</v>
      </c>
      <c r="B168" s="139" t="n">
        <v>45689</v>
      </c>
      <c r="C168" s="150" t="s">
        <v>460</v>
      </c>
      <c r="D168" s="128" t="s">
        <v>461</v>
      </c>
      <c r="E168" s="128"/>
      <c r="F168" s="154" t="n">
        <v>45682</v>
      </c>
      <c r="G168" s="154" t="n">
        <v>46047</v>
      </c>
      <c r="H168" s="145" t="s">
        <v>9</v>
      </c>
      <c r="I168" s="131" t="n">
        <v>39960</v>
      </c>
      <c r="J168" s="132" t="n">
        <v>3330</v>
      </c>
      <c r="K168" s="132" t="n">
        <f aca="false">I168/12</f>
        <v>3330</v>
      </c>
      <c r="L168" s="127" t="n">
        <f aca="false">G168-F168+1</f>
        <v>366</v>
      </c>
      <c r="M168" s="128" t="n">
        <f aca="false">IF(F168&lt;H46,30,G168-1-4-2025)</f>
        <v>30</v>
      </c>
      <c r="N168" s="132" t="n">
        <f aca="false">I168/L168*M168</f>
        <v>3275.40983606557</v>
      </c>
      <c r="O168" s="132" t="n">
        <f aca="false">IF(F168&lt;$O$1,31,$O$1-F168)</f>
        <v>31</v>
      </c>
      <c r="P168" s="131" t="n">
        <f aca="false">O168*I168/L168</f>
        <v>3384.59016393443</v>
      </c>
      <c r="Q168" s="146" t="n">
        <f aca="false">I168/12</f>
        <v>3330</v>
      </c>
      <c r="R168" s="128" t="n">
        <f aca="false">IF(F168&lt;$R$2,30,$R$2-F168)</f>
        <v>30</v>
      </c>
      <c r="S168" s="146" t="n">
        <f aca="false">R168*I168/L168</f>
        <v>3275.40983606557</v>
      </c>
      <c r="T168" s="146" t="n">
        <f aca="false">I168/12</f>
        <v>3330</v>
      </c>
      <c r="U168" s="132" t="n">
        <f aca="false">IF(F169&lt;$U$2,31,$U$2-F169)</f>
        <v>31</v>
      </c>
      <c r="V168" s="131" t="n">
        <f aca="false">I168*U168/L168</f>
        <v>3384.59016393443</v>
      </c>
      <c r="W168" s="141" t="n">
        <f aca="false">IF(F168&lt;$W$2,31,$W$2-F168)</f>
        <v>31</v>
      </c>
      <c r="X168" s="132" t="n">
        <f aca="false">I168/12</f>
        <v>3330</v>
      </c>
      <c r="Y168" s="131" t="n">
        <f aca="false">I168*W168/L168</f>
        <v>3384.59016393443</v>
      </c>
      <c r="Z168" s="141" t="n">
        <f aca="false">IF(F168&lt;$Z$2,30,$Z$2-I168)</f>
        <v>30</v>
      </c>
      <c r="AA168" s="147" t="n">
        <f aca="false">I168/12</f>
        <v>3330</v>
      </c>
      <c r="AB168" s="147" t="n">
        <f aca="false">I168*Z168/L168</f>
        <v>3275.40983606557</v>
      </c>
      <c r="AC168" s="143"/>
      <c r="AD168" s="144"/>
      <c r="AE168" s="144"/>
    </row>
    <row r="169" customFormat="false" ht="15" hidden="false" customHeight="false" outlineLevel="0" collapsed="false">
      <c r="A169" s="138" t="n">
        <v>0</v>
      </c>
      <c r="B169" s="139" t="n">
        <v>45627</v>
      </c>
      <c r="C169" s="150" t="s">
        <v>462</v>
      </c>
      <c r="D169" s="128" t="s">
        <v>463</v>
      </c>
      <c r="E169" s="128"/>
      <c r="F169" s="154" t="n">
        <v>45626</v>
      </c>
      <c r="G169" s="154" t="n">
        <v>45961</v>
      </c>
      <c r="H169" s="145" t="s">
        <v>9</v>
      </c>
      <c r="I169" s="131" t="n">
        <f aca="false">195000-15000</f>
        <v>180000</v>
      </c>
      <c r="J169" s="132" t="n">
        <v>15000</v>
      </c>
      <c r="K169" s="132" t="n">
        <f aca="false">I169/12</f>
        <v>15000</v>
      </c>
      <c r="L169" s="127" t="n">
        <f aca="false">G169-F169+1</f>
        <v>336</v>
      </c>
      <c r="M169" s="128" t="n">
        <f aca="false">IF(F169&lt;H47,30,G169-1-4-2025)</f>
        <v>30</v>
      </c>
      <c r="N169" s="132" t="n">
        <f aca="false">I169/L169*M169</f>
        <v>16071.4285714286</v>
      </c>
      <c r="O169" s="132" t="n">
        <f aca="false">IF(F169&lt;$O$1,31,$O$1-F169)</f>
        <v>31</v>
      </c>
      <c r="P169" s="131" t="n">
        <f aca="false">O169*I169/L169</f>
        <v>16607.1428571429</v>
      </c>
      <c r="Q169" s="146" t="n">
        <f aca="false">I169/12</f>
        <v>15000</v>
      </c>
      <c r="R169" s="128" t="n">
        <f aca="false">IF(F169&lt;$R$2,30,$R$2-F169)</f>
        <v>30</v>
      </c>
      <c r="S169" s="146" t="n">
        <f aca="false">R169*I169/L169</f>
        <v>16071.4285714286</v>
      </c>
      <c r="T169" s="146" t="n">
        <f aca="false">I169/12</f>
        <v>15000</v>
      </c>
      <c r="U169" s="132" t="n">
        <f aca="false">IF(F170&lt;$U$2,31,$U$2-F170)</f>
        <v>31</v>
      </c>
      <c r="V169" s="131" t="n">
        <f aca="false">I169*U169/L169</f>
        <v>16607.1428571429</v>
      </c>
      <c r="W169" s="141" t="n">
        <f aca="false">IF(F169&lt;$W$2,31,$W$2-F169)</f>
        <v>31</v>
      </c>
      <c r="X169" s="132" t="n">
        <f aca="false">I169/12</f>
        <v>15000</v>
      </c>
      <c r="Y169" s="131" t="n">
        <f aca="false">I169*W169/L169</f>
        <v>16607.1428571429</v>
      </c>
      <c r="Z169" s="141" t="n">
        <f aca="false">IF(F169&lt;$Z$2,30,$Z$2-I169)</f>
        <v>30</v>
      </c>
      <c r="AA169" s="147" t="n">
        <f aca="false">I169/12</f>
        <v>15000</v>
      </c>
      <c r="AB169" s="147" t="n">
        <f aca="false">I169*Z169/L169</f>
        <v>16071.4285714286</v>
      </c>
      <c r="AC169" s="143"/>
      <c r="AD169" s="136"/>
      <c r="AE169" s="144"/>
    </row>
    <row r="170" s="137" customFormat="true" ht="15" hidden="false" customHeight="false" outlineLevel="0" collapsed="false">
      <c r="A170" s="125" t="s">
        <v>438</v>
      </c>
      <c r="B170" s="126" t="n">
        <v>45689</v>
      </c>
      <c r="C170" s="127" t="s">
        <v>189</v>
      </c>
      <c r="D170" s="127" t="s">
        <v>464</v>
      </c>
      <c r="E170" s="128"/>
      <c r="F170" s="148" t="n">
        <v>45713</v>
      </c>
      <c r="G170" s="148" t="n">
        <v>45740</v>
      </c>
      <c r="H170" s="142" t="s">
        <v>19</v>
      </c>
      <c r="I170" s="131" t="n">
        <v>17700</v>
      </c>
      <c r="J170" s="132"/>
      <c r="K170" s="132"/>
      <c r="L170" s="127" t="n">
        <f aca="false">G170-F170+1</f>
        <v>28</v>
      </c>
      <c r="M170" s="127"/>
      <c r="N170" s="132"/>
      <c r="O170" s="132"/>
      <c r="P170" s="131"/>
      <c r="Q170" s="127"/>
      <c r="R170" s="127" t="n">
        <f aca="false">IF(F170&lt;$R$2,30,$R$2-F170)</f>
        <v>30</v>
      </c>
      <c r="S170" s="127"/>
      <c r="T170" s="127"/>
      <c r="U170" s="132" t="n">
        <f aca="false">IF(F171&lt;$U$2,31,$U$2-F171)</f>
        <v>31</v>
      </c>
      <c r="V170" s="127"/>
      <c r="W170" s="135" t="n">
        <v>0</v>
      </c>
      <c r="X170" s="132" t="n">
        <v>0</v>
      </c>
      <c r="Y170" s="127" t="n">
        <v>0</v>
      </c>
      <c r="Z170" s="127"/>
      <c r="AA170" s="127"/>
      <c r="AB170" s="127"/>
      <c r="AC170" s="136"/>
      <c r="AD170" s="136"/>
      <c r="AE170" s="136"/>
    </row>
    <row r="171" s="137" customFormat="true" ht="15" hidden="false" customHeight="false" outlineLevel="0" collapsed="false">
      <c r="A171" s="125" t="s">
        <v>129</v>
      </c>
      <c r="B171" s="126" t="n">
        <v>45717</v>
      </c>
      <c r="C171" s="127" t="s">
        <v>236</v>
      </c>
      <c r="D171" s="127" t="s">
        <v>465</v>
      </c>
      <c r="E171" s="128"/>
      <c r="F171" s="148" t="n">
        <v>45740</v>
      </c>
      <c r="G171" s="148" t="n">
        <v>45770</v>
      </c>
      <c r="H171" s="142" t="s">
        <v>19</v>
      </c>
      <c r="I171" s="131" t="n">
        <v>3540</v>
      </c>
      <c r="J171" s="132"/>
      <c r="K171" s="132"/>
      <c r="L171" s="127" t="n">
        <f aca="false">G171-F171+1</f>
        <v>31</v>
      </c>
      <c r="M171" s="127" t="n">
        <v>23</v>
      </c>
      <c r="N171" s="132" t="n">
        <f aca="false">I171/L171*M171</f>
        <v>2626.45161290323</v>
      </c>
      <c r="O171" s="132"/>
      <c r="P171" s="131"/>
      <c r="Q171" s="127"/>
      <c r="R171" s="127" t="n">
        <f aca="false">IF(F171&lt;$R$2,30,$R$2-F171)</f>
        <v>30</v>
      </c>
      <c r="S171" s="127"/>
      <c r="T171" s="127"/>
      <c r="U171" s="132" t="n">
        <f aca="false">IF(F172&lt;$U$2,31,$U$2-F172)</f>
        <v>31</v>
      </c>
      <c r="V171" s="127"/>
      <c r="W171" s="135" t="n">
        <v>0</v>
      </c>
      <c r="X171" s="132" t="n">
        <v>0</v>
      </c>
      <c r="Y171" s="127" t="n">
        <v>0</v>
      </c>
      <c r="Z171" s="127"/>
      <c r="AA171" s="127"/>
      <c r="AB171" s="127"/>
      <c r="AC171" s="136"/>
      <c r="AD171" s="136"/>
      <c r="AE171" s="136"/>
    </row>
    <row r="172" customFormat="false" ht="15" hidden="false" customHeight="false" outlineLevel="0" collapsed="false">
      <c r="A172" s="138" t="s">
        <v>129</v>
      </c>
      <c r="B172" s="139" t="n">
        <v>45717</v>
      </c>
      <c r="C172" s="128" t="s">
        <v>466</v>
      </c>
      <c r="D172" s="128" t="s">
        <v>467</v>
      </c>
      <c r="E172" s="128"/>
      <c r="F172" s="154" t="n">
        <v>45744</v>
      </c>
      <c r="G172" s="154" t="n">
        <v>45774</v>
      </c>
      <c r="H172" s="145" t="s">
        <v>19</v>
      </c>
      <c r="I172" s="131" t="n">
        <v>59000</v>
      </c>
      <c r="J172" s="132"/>
      <c r="K172" s="132"/>
      <c r="L172" s="127" t="n">
        <f aca="false">G172-F172+1</f>
        <v>31</v>
      </c>
      <c r="M172" s="128" t="n">
        <v>27</v>
      </c>
      <c r="N172" s="132" t="n">
        <f aca="false">I172/L172*M172</f>
        <v>51387.0967741935</v>
      </c>
      <c r="O172" s="132"/>
      <c r="P172" s="131"/>
      <c r="Q172" s="128"/>
      <c r="R172" s="128" t="n">
        <f aca="false">IF(F172&lt;$R$2,30,$R$2-F172)</f>
        <v>30</v>
      </c>
      <c r="S172" s="128"/>
      <c r="T172" s="128"/>
      <c r="U172" s="132" t="n">
        <f aca="false">IF(F173&lt;$U$2,31,$U$2-F173)</f>
        <v>31</v>
      </c>
      <c r="V172" s="128"/>
      <c r="W172" s="141" t="n">
        <v>0</v>
      </c>
      <c r="X172" s="132" t="n">
        <v>0</v>
      </c>
      <c r="Y172" s="128" t="n">
        <v>0</v>
      </c>
      <c r="Z172" s="128"/>
      <c r="AA172" s="128"/>
      <c r="AB172" s="128"/>
      <c r="AC172" s="136"/>
      <c r="AD172" s="136"/>
      <c r="AE172" s="136"/>
    </row>
    <row r="173" s="137" customFormat="true" ht="15" hidden="false" customHeight="false" outlineLevel="0" collapsed="false">
      <c r="A173" s="125" t="s">
        <v>129</v>
      </c>
      <c r="B173" s="126" t="n">
        <v>45717</v>
      </c>
      <c r="C173" s="127" t="s">
        <v>468</v>
      </c>
      <c r="D173" s="127" t="s">
        <v>469</v>
      </c>
      <c r="E173" s="128"/>
      <c r="F173" s="148" t="n">
        <v>45721</v>
      </c>
      <c r="G173" s="148" t="n">
        <v>45751</v>
      </c>
      <c r="H173" s="142" t="s">
        <v>19</v>
      </c>
      <c r="I173" s="131" t="n">
        <v>18880</v>
      </c>
      <c r="J173" s="132"/>
      <c r="K173" s="132"/>
      <c r="L173" s="127" t="n">
        <f aca="false">G173-F173+1</f>
        <v>31</v>
      </c>
      <c r="M173" s="127" t="n">
        <v>4</v>
      </c>
      <c r="N173" s="132" t="n">
        <f aca="false">I173/L173*M173</f>
        <v>2436.12903225806</v>
      </c>
      <c r="O173" s="132"/>
      <c r="P173" s="131"/>
      <c r="Q173" s="127"/>
      <c r="R173" s="127" t="n">
        <f aca="false">IF(F173&lt;$R$2,30,$R$2-F173)</f>
        <v>30</v>
      </c>
      <c r="S173" s="127"/>
      <c r="T173" s="127"/>
      <c r="U173" s="132" t="n">
        <f aca="false">IF(F174&lt;$U$2,31,$U$2-F174)</f>
        <v>31</v>
      </c>
      <c r="V173" s="127"/>
      <c r="W173" s="135" t="n">
        <v>0</v>
      </c>
      <c r="X173" s="132" t="n">
        <v>0</v>
      </c>
      <c r="Y173" s="127" t="n">
        <v>0</v>
      </c>
      <c r="Z173" s="127"/>
      <c r="AA173" s="127"/>
      <c r="AB173" s="127"/>
      <c r="AC173" s="136"/>
      <c r="AD173" s="136"/>
      <c r="AE173" s="136"/>
    </row>
    <row r="174" s="137" customFormat="true" ht="15" hidden="false" customHeight="false" outlineLevel="0" collapsed="false">
      <c r="A174" s="125" t="s">
        <v>390</v>
      </c>
      <c r="B174" s="126" t="n">
        <v>45658</v>
      </c>
      <c r="C174" s="127" t="s">
        <v>470</v>
      </c>
      <c r="D174" s="127" t="s">
        <v>471</v>
      </c>
      <c r="E174" s="128"/>
      <c r="F174" s="148" t="n">
        <v>45681</v>
      </c>
      <c r="G174" s="148" t="n">
        <v>45713</v>
      </c>
      <c r="H174" s="142" t="s">
        <v>19</v>
      </c>
      <c r="I174" s="131" t="n">
        <v>10000</v>
      </c>
      <c r="J174" s="132" t="n">
        <v>0</v>
      </c>
      <c r="K174" s="132"/>
      <c r="L174" s="127" t="n">
        <f aca="false">G174-F174+1</f>
        <v>33</v>
      </c>
      <c r="M174" s="127"/>
      <c r="N174" s="132"/>
      <c r="O174" s="132"/>
      <c r="P174" s="131"/>
      <c r="Q174" s="127"/>
      <c r="R174" s="127" t="n">
        <f aca="false">IF(F174&lt;$R$2,30,$R$2-F174)</f>
        <v>30</v>
      </c>
      <c r="S174" s="127"/>
      <c r="T174" s="127"/>
      <c r="U174" s="132" t="n">
        <f aca="false">IF(F175&lt;$U$2,31,$U$2-F175)</f>
        <v>31</v>
      </c>
      <c r="V174" s="127"/>
      <c r="W174" s="135" t="n">
        <v>0</v>
      </c>
      <c r="X174" s="132" t="n">
        <v>0</v>
      </c>
      <c r="Y174" s="127" t="n">
        <v>0</v>
      </c>
      <c r="Z174" s="127"/>
      <c r="AA174" s="127"/>
      <c r="AB174" s="127"/>
      <c r="AC174" s="136"/>
      <c r="AD174" s="136"/>
      <c r="AE174" s="136"/>
    </row>
    <row r="175" s="137" customFormat="true" ht="15" hidden="false" customHeight="false" outlineLevel="0" collapsed="false">
      <c r="A175" s="125" t="s">
        <v>129</v>
      </c>
      <c r="B175" s="126" t="n">
        <v>45717</v>
      </c>
      <c r="C175" s="127" t="s">
        <v>470</v>
      </c>
      <c r="D175" s="127" t="s">
        <v>472</v>
      </c>
      <c r="E175" s="128"/>
      <c r="F175" s="148" t="n">
        <v>45735</v>
      </c>
      <c r="G175" s="148" t="n">
        <v>45765</v>
      </c>
      <c r="H175" s="142" t="s">
        <v>19</v>
      </c>
      <c r="I175" s="131" t="n">
        <v>36750</v>
      </c>
      <c r="J175" s="132"/>
      <c r="K175" s="132"/>
      <c r="L175" s="127" t="n">
        <f aca="false">G175-F175+1</f>
        <v>31</v>
      </c>
      <c r="M175" s="127" t="n">
        <v>18</v>
      </c>
      <c r="N175" s="132" t="n">
        <f aca="false">I175/L175*M175</f>
        <v>21338.7096774194</v>
      </c>
      <c r="O175" s="132"/>
      <c r="P175" s="131"/>
      <c r="Q175" s="127"/>
      <c r="R175" s="127" t="n">
        <f aca="false">IF(F175&lt;$R$2,30,$R$2-F175)</f>
        <v>30</v>
      </c>
      <c r="S175" s="127"/>
      <c r="T175" s="127"/>
      <c r="U175" s="132" t="n">
        <f aca="false">IF(F176&lt;$U$2,31,$U$2-F176)</f>
        <v>31</v>
      </c>
      <c r="V175" s="127"/>
      <c r="W175" s="135" t="n">
        <v>0</v>
      </c>
      <c r="X175" s="132" t="n">
        <v>0</v>
      </c>
      <c r="Y175" s="127" t="n">
        <v>0</v>
      </c>
      <c r="Z175" s="127"/>
      <c r="AA175" s="127"/>
      <c r="AB175" s="127"/>
      <c r="AC175" s="136"/>
      <c r="AD175" s="136"/>
      <c r="AE175" s="136"/>
    </row>
    <row r="176" customFormat="false" ht="15" hidden="false" customHeight="false" outlineLevel="0" collapsed="false">
      <c r="A176" s="138" t="s">
        <v>438</v>
      </c>
      <c r="B176" s="139" t="n">
        <v>45658</v>
      </c>
      <c r="C176" s="128" t="s">
        <v>473</v>
      </c>
      <c r="D176" s="128" t="s">
        <v>474</v>
      </c>
      <c r="E176" s="128"/>
      <c r="F176" s="154" t="n">
        <v>45662</v>
      </c>
      <c r="G176" s="154" t="n">
        <v>45721</v>
      </c>
      <c r="H176" s="145" t="s">
        <v>20</v>
      </c>
      <c r="I176" s="131" t="n">
        <v>49998</v>
      </c>
      <c r="J176" s="132" t="n">
        <v>0</v>
      </c>
      <c r="K176" s="132"/>
      <c r="L176" s="127" t="n">
        <f aca="false">G176-F176+1</f>
        <v>60</v>
      </c>
      <c r="M176" s="128"/>
      <c r="N176" s="132"/>
      <c r="O176" s="132"/>
      <c r="P176" s="131"/>
      <c r="Q176" s="128"/>
      <c r="R176" s="128" t="n">
        <f aca="false">IF(F176&lt;$R$2,30,$R$2-F176)</f>
        <v>30</v>
      </c>
      <c r="S176" s="128"/>
      <c r="T176" s="128"/>
      <c r="U176" s="132" t="n">
        <f aca="false">IF(F177&lt;$U$2,31,$U$2-F177)</f>
        <v>31</v>
      </c>
      <c r="V176" s="128"/>
      <c r="W176" s="141" t="n">
        <v>0</v>
      </c>
      <c r="X176" s="132" t="n">
        <v>0</v>
      </c>
      <c r="Y176" s="128" t="n">
        <v>0</v>
      </c>
      <c r="Z176" s="128"/>
      <c r="AA176" s="128"/>
      <c r="AB176" s="128"/>
      <c r="AC176" s="136"/>
      <c r="AD176" s="136"/>
      <c r="AE176" s="136"/>
    </row>
    <row r="177" customFormat="false" ht="15" hidden="false" customHeight="false" outlineLevel="0" collapsed="false">
      <c r="A177" s="138" t="s">
        <v>390</v>
      </c>
      <c r="B177" s="139" t="s">
        <v>475</v>
      </c>
      <c r="C177" s="128" t="s">
        <v>476</v>
      </c>
      <c r="D177" s="128" t="s">
        <v>477</v>
      </c>
      <c r="E177" s="128"/>
      <c r="F177" s="154" t="n">
        <v>45557</v>
      </c>
      <c r="G177" s="154" t="n">
        <v>45710</v>
      </c>
      <c r="H177" s="145" t="s">
        <v>26</v>
      </c>
      <c r="I177" s="131" t="n">
        <v>19995</v>
      </c>
      <c r="J177" s="132"/>
      <c r="K177" s="132"/>
      <c r="L177" s="127" t="n">
        <f aca="false">G177-F177+1</f>
        <v>154</v>
      </c>
      <c r="M177" s="128"/>
      <c r="N177" s="132"/>
      <c r="O177" s="132"/>
      <c r="P177" s="131"/>
      <c r="Q177" s="128"/>
      <c r="R177" s="128" t="n">
        <f aca="false">IF(F177&lt;$R$2,30,$R$2-F177)</f>
        <v>30</v>
      </c>
      <c r="S177" s="128"/>
      <c r="T177" s="128"/>
      <c r="U177" s="132" t="n">
        <f aca="false">IF(F178&lt;$U$2,31,$U$2-F178)</f>
        <v>31</v>
      </c>
      <c r="V177" s="128"/>
      <c r="W177" s="141" t="n">
        <v>0</v>
      </c>
      <c r="X177" s="132" t="n">
        <v>0</v>
      </c>
      <c r="Y177" s="128" t="n">
        <v>0</v>
      </c>
      <c r="Z177" s="128"/>
      <c r="AA177" s="128"/>
      <c r="AB177" s="128"/>
      <c r="AC177" s="136"/>
      <c r="AD177" s="136"/>
      <c r="AE177" s="136"/>
    </row>
    <row r="178" customFormat="false" ht="15" hidden="false" customHeight="false" outlineLevel="0" collapsed="false">
      <c r="A178" s="138" t="s">
        <v>390</v>
      </c>
      <c r="B178" s="139" t="n">
        <v>45658</v>
      </c>
      <c r="C178" s="128" t="s">
        <v>478</v>
      </c>
      <c r="D178" s="128" t="s">
        <v>479</v>
      </c>
      <c r="E178" s="128"/>
      <c r="F178" s="154" t="n">
        <v>45685</v>
      </c>
      <c r="G178" s="154" t="n">
        <v>45716</v>
      </c>
      <c r="H178" s="145" t="s">
        <v>19</v>
      </c>
      <c r="I178" s="131" t="n">
        <v>10000</v>
      </c>
      <c r="J178" s="132" t="n">
        <v>0</v>
      </c>
      <c r="K178" s="132"/>
      <c r="L178" s="127" t="n">
        <f aca="false">G178-F178+1</f>
        <v>32</v>
      </c>
      <c r="M178" s="128"/>
      <c r="N178" s="132"/>
      <c r="O178" s="132"/>
      <c r="P178" s="131"/>
      <c r="Q178" s="128"/>
      <c r="R178" s="128" t="n">
        <f aca="false">IF(F178&lt;$R$2,30,$R$2-F178)</f>
        <v>30</v>
      </c>
      <c r="S178" s="128"/>
      <c r="T178" s="128"/>
      <c r="U178" s="132" t="n">
        <f aca="false">IF(F179&lt;$U$2,31,$U$2-F179)</f>
        <v>31</v>
      </c>
      <c r="V178" s="128"/>
      <c r="W178" s="141" t="n">
        <v>0</v>
      </c>
      <c r="X178" s="132" t="n">
        <v>0</v>
      </c>
      <c r="Y178" s="128" t="n">
        <v>0</v>
      </c>
      <c r="Z178" s="128"/>
      <c r="AA178" s="128"/>
      <c r="AB178" s="128"/>
      <c r="AC178" s="136"/>
      <c r="AD178" s="136"/>
      <c r="AE178" s="136"/>
    </row>
    <row r="179" customFormat="false" ht="15" hidden="false" customHeight="false" outlineLevel="0" collapsed="false">
      <c r="A179" s="138" t="s">
        <v>438</v>
      </c>
      <c r="B179" s="139" t="s">
        <v>480</v>
      </c>
      <c r="C179" s="128" t="s">
        <v>481</v>
      </c>
      <c r="D179" s="128" t="s">
        <v>482</v>
      </c>
      <c r="E179" s="128"/>
      <c r="F179" s="154" t="n">
        <v>45620</v>
      </c>
      <c r="G179" s="154" t="n">
        <v>45739</v>
      </c>
      <c r="H179" s="145" t="s">
        <v>25</v>
      </c>
      <c r="I179" s="131" t="n">
        <f aca="false">2499*4</f>
        <v>9996</v>
      </c>
      <c r="J179" s="132"/>
      <c r="K179" s="132"/>
      <c r="L179" s="127" t="n">
        <f aca="false">G179-F179+1</f>
        <v>120</v>
      </c>
      <c r="M179" s="128"/>
      <c r="N179" s="132"/>
      <c r="O179" s="132"/>
      <c r="P179" s="131"/>
      <c r="Q179" s="128"/>
      <c r="R179" s="128" t="n">
        <f aca="false">IF(F179&lt;$R$2,30,$R$2-F179)</f>
        <v>30</v>
      </c>
      <c r="S179" s="128"/>
      <c r="T179" s="128"/>
      <c r="U179" s="132" t="n">
        <f aca="false">IF(F180&lt;$U$2,31,$U$2-F180)</f>
        <v>31</v>
      </c>
      <c r="V179" s="128"/>
      <c r="W179" s="141" t="n">
        <v>0</v>
      </c>
      <c r="X179" s="132" t="n">
        <v>0</v>
      </c>
      <c r="Y179" s="128" t="n">
        <v>0</v>
      </c>
      <c r="Z179" s="128"/>
      <c r="AA179" s="128"/>
      <c r="AB179" s="128"/>
      <c r="AC179" s="136"/>
      <c r="AD179" s="136"/>
      <c r="AE179" s="136"/>
    </row>
    <row r="180" s="137" customFormat="true" ht="15" hidden="false" customHeight="false" outlineLevel="0" collapsed="false">
      <c r="A180" s="125" t="s">
        <v>438</v>
      </c>
      <c r="B180" s="126" t="n">
        <v>45689</v>
      </c>
      <c r="C180" s="127" t="s">
        <v>483</v>
      </c>
      <c r="D180" s="127" t="s">
        <v>484</v>
      </c>
      <c r="E180" s="128"/>
      <c r="F180" s="148" t="n">
        <v>45693</v>
      </c>
      <c r="G180" s="148" t="n">
        <v>45720</v>
      </c>
      <c r="H180" s="142" t="s">
        <v>19</v>
      </c>
      <c r="I180" s="131" t="n">
        <f aca="false">22500</f>
        <v>22500</v>
      </c>
      <c r="J180" s="132"/>
      <c r="K180" s="132"/>
      <c r="L180" s="127" t="n">
        <f aca="false">G180-F180+1</f>
        <v>28</v>
      </c>
      <c r="M180" s="127"/>
      <c r="N180" s="132"/>
      <c r="O180" s="132"/>
      <c r="P180" s="131"/>
      <c r="Q180" s="127"/>
      <c r="R180" s="127" t="n">
        <f aca="false">IF(F180&lt;$R$2,30,$R$2-F180)</f>
        <v>30</v>
      </c>
      <c r="S180" s="127"/>
      <c r="T180" s="127"/>
      <c r="U180" s="132" t="n">
        <f aca="false">IF(F181&lt;$U$2,31,$U$2-F181)</f>
        <v>31</v>
      </c>
      <c r="V180" s="127"/>
      <c r="W180" s="135" t="n">
        <v>0</v>
      </c>
      <c r="X180" s="132" t="n">
        <v>0</v>
      </c>
      <c r="Y180" s="127" t="n">
        <v>0</v>
      </c>
      <c r="Z180" s="127"/>
      <c r="AA180" s="127"/>
      <c r="AB180" s="127"/>
      <c r="AC180" s="136"/>
      <c r="AD180" s="136"/>
      <c r="AE180" s="136"/>
    </row>
    <row r="181" s="137" customFormat="true" ht="15" hidden="false" customHeight="false" outlineLevel="0" collapsed="false">
      <c r="A181" s="125" t="s">
        <v>438</v>
      </c>
      <c r="B181" s="126" t="n">
        <v>45689</v>
      </c>
      <c r="C181" s="142" t="s">
        <v>403</v>
      </c>
      <c r="D181" s="127" t="s">
        <v>485</v>
      </c>
      <c r="E181" s="128"/>
      <c r="F181" s="148" t="n">
        <v>45713</v>
      </c>
      <c r="G181" s="148" t="n">
        <v>45742</v>
      </c>
      <c r="H181" s="142" t="s">
        <v>19</v>
      </c>
      <c r="I181" s="131" t="n">
        <v>11799</v>
      </c>
      <c r="J181" s="132"/>
      <c r="K181" s="132"/>
      <c r="L181" s="127" t="n">
        <f aca="false">G181-F181+1</f>
        <v>30</v>
      </c>
      <c r="M181" s="127"/>
      <c r="N181" s="132"/>
      <c r="O181" s="132"/>
      <c r="P181" s="131"/>
      <c r="Q181" s="127"/>
      <c r="R181" s="127" t="n">
        <f aca="false">IF(F181&lt;$R$2,30,$R$2-F181)</f>
        <v>30</v>
      </c>
      <c r="S181" s="127"/>
      <c r="T181" s="127"/>
      <c r="U181" s="132" t="n">
        <f aca="false">IF(F182&lt;$U$2,31,$U$2-F182)</f>
        <v>31</v>
      </c>
      <c r="V181" s="127"/>
      <c r="W181" s="135" t="n">
        <v>0</v>
      </c>
      <c r="X181" s="132" t="n">
        <v>0</v>
      </c>
      <c r="Y181" s="127" t="n">
        <v>0</v>
      </c>
      <c r="Z181" s="127"/>
      <c r="AA181" s="127"/>
      <c r="AB181" s="127"/>
      <c r="AC181" s="136"/>
      <c r="AD181" s="136"/>
      <c r="AE181" s="136"/>
    </row>
    <row r="182" customFormat="false" ht="15" hidden="false" customHeight="false" outlineLevel="0" collapsed="false">
      <c r="A182" s="138" t="s">
        <v>129</v>
      </c>
      <c r="B182" s="139" t="n">
        <v>45717</v>
      </c>
      <c r="C182" s="128" t="s">
        <v>486</v>
      </c>
      <c r="D182" s="128" t="s">
        <v>487</v>
      </c>
      <c r="E182" s="128"/>
      <c r="F182" s="154" t="n">
        <v>45739</v>
      </c>
      <c r="G182" s="154" t="n">
        <v>45770</v>
      </c>
      <c r="H182" s="145" t="s">
        <v>19</v>
      </c>
      <c r="I182" s="131" t="n">
        <v>11800</v>
      </c>
      <c r="J182" s="132"/>
      <c r="K182" s="132"/>
      <c r="L182" s="127" t="n">
        <f aca="false">G182-F182+1</f>
        <v>32</v>
      </c>
      <c r="M182" s="128" t="n">
        <v>23</v>
      </c>
      <c r="N182" s="132" t="n">
        <f aca="false">I182/L182*M182</f>
        <v>8481.25</v>
      </c>
      <c r="O182" s="132"/>
      <c r="P182" s="131"/>
      <c r="Q182" s="128"/>
      <c r="R182" s="128" t="n">
        <f aca="false">IF(F182&lt;$R$2,30,$R$2-F182)</f>
        <v>30</v>
      </c>
      <c r="S182" s="128"/>
      <c r="T182" s="128"/>
      <c r="U182" s="132" t="n">
        <f aca="false">IF(F183&lt;$U$2,31,$U$2-F183)</f>
        <v>31</v>
      </c>
      <c r="V182" s="128"/>
      <c r="W182" s="141" t="n">
        <v>0</v>
      </c>
      <c r="X182" s="132" t="n">
        <v>0</v>
      </c>
      <c r="Y182" s="128" t="n">
        <v>0</v>
      </c>
      <c r="Z182" s="128"/>
      <c r="AA182" s="128"/>
      <c r="AB182" s="128"/>
      <c r="AC182" s="136"/>
      <c r="AD182" s="136"/>
      <c r="AE182" s="136"/>
    </row>
    <row r="183" customFormat="false" ht="15" hidden="false" customHeight="false" outlineLevel="0" collapsed="false">
      <c r="A183" s="138" t="s">
        <v>129</v>
      </c>
      <c r="B183" s="139" t="n">
        <v>45717</v>
      </c>
      <c r="C183" s="128" t="s">
        <v>488</v>
      </c>
      <c r="D183" s="128" t="s">
        <v>489</v>
      </c>
      <c r="E183" s="128"/>
      <c r="F183" s="154" t="n">
        <v>45740</v>
      </c>
      <c r="G183" s="154" t="n">
        <v>45770</v>
      </c>
      <c r="H183" s="145" t="s">
        <v>19</v>
      </c>
      <c r="I183" s="131" t="n">
        <v>5900</v>
      </c>
      <c r="J183" s="132"/>
      <c r="K183" s="132"/>
      <c r="L183" s="127" t="n">
        <f aca="false">G183-F183+1</f>
        <v>31</v>
      </c>
      <c r="M183" s="128" t="n">
        <v>23</v>
      </c>
      <c r="N183" s="132" t="n">
        <f aca="false">I183/L183*M183</f>
        <v>4377.41935483871</v>
      </c>
      <c r="O183" s="132"/>
      <c r="P183" s="131"/>
      <c r="Q183" s="128"/>
      <c r="R183" s="128" t="n">
        <f aca="false">IF(F183&lt;$R$2,30,$R$2-F183)</f>
        <v>30</v>
      </c>
      <c r="S183" s="128"/>
      <c r="T183" s="128"/>
      <c r="U183" s="132" t="n">
        <f aca="false">IF(F184&lt;$U$2,31,$U$2-F184)</f>
        <v>31</v>
      </c>
      <c r="V183" s="128"/>
      <c r="W183" s="141" t="n">
        <v>0</v>
      </c>
      <c r="X183" s="132" t="n">
        <v>0</v>
      </c>
      <c r="Y183" s="128" t="n">
        <v>0</v>
      </c>
      <c r="Z183" s="128"/>
      <c r="AA183" s="128"/>
      <c r="AB183" s="128"/>
      <c r="AC183" s="136"/>
      <c r="AD183" s="136"/>
      <c r="AE183" s="136"/>
    </row>
    <row r="184" customFormat="false" ht="15" hidden="false" customHeight="false" outlineLevel="0" collapsed="false">
      <c r="A184" s="138" t="s">
        <v>129</v>
      </c>
      <c r="B184" s="139" t="n">
        <v>45717</v>
      </c>
      <c r="C184" s="128" t="s">
        <v>490</v>
      </c>
      <c r="D184" s="128" t="s">
        <v>491</v>
      </c>
      <c r="E184" s="128"/>
      <c r="F184" s="154" t="n">
        <v>45747</v>
      </c>
      <c r="G184" s="154" t="n">
        <v>45777</v>
      </c>
      <c r="H184" s="145" t="s">
        <v>19</v>
      </c>
      <c r="I184" s="131" t="n">
        <v>10000</v>
      </c>
      <c r="J184" s="132"/>
      <c r="K184" s="132"/>
      <c r="L184" s="127" t="n">
        <f aca="false">G184-F184+1</f>
        <v>31</v>
      </c>
      <c r="M184" s="128" t="n">
        <v>30</v>
      </c>
      <c r="N184" s="132" t="n">
        <f aca="false">I184/L184*M184</f>
        <v>9677.41935483871</v>
      </c>
      <c r="O184" s="132"/>
      <c r="P184" s="131"/>
      <c r="Q184" s="128"/>
      <c r="R184" s="128" t="n">
        <f aca="false">IF(F184&lt;$R$2,30,$R$2-F184)</f>
        <v>30</v>
      </c>
      <c r="S184" s="128"/>
      <c r="T184" s="128"/>
      <c r="U184" s="132" t="n">
        <f aca="false">IF(F185&lt;$U$2,31,$U$2-F185)</f>
        <v>31</v>
      </c>
      <c r="V184" s="128"/>
      <c r="W184" s="141" t="n">
        <v>0</v>
      </c>
      <c r="X184" s="132" t="n">
        <v>0</v>
      </c>
      <c r="Y184" s="128" t="n">
        <v>0</v>
      </c>
      <c r="Z184" s="128"/>
      <c r="AA184" s="128"/>
      <c r="AB184" s="128"/>
      <c r="AC184" s="136"/>
      <c r="AD184" s="136"/>
      <c r="AE184" s="136"/>
    </row>
    <row r="185" customFormat="false" ht="15" hidden="false" customHeight="false" outlineLevel="0" collapsed="false">
      <c r="A185" s="138" t="s">
        <v>129</v>
      </c>
      <c r="B185" s="139" t="n">
        <v>45717</v>
      </c>
      <c r="C185" s="128" t="s">
        <v>492</v>
      </c>
      <c r="D185" s="128" t="s">
        <v>493</v>
      </c>
      <c r="E185" s="128"/>
      <c r="F185" s="154" t="n">
        <v>45747</v>
      </c>
      <c r="G185" s="154" t="n">
        <v>45777</v>
      </c>
      <c r="H185" s="145" t="s">
        <v>19</v>
      </c>
      <c r="I185" s="131" t="n">
        <v>5900</v>
      </c>
      <c r="J185" s="132"/>
      <c r="K185" s="132"/>
      <c r="L185" s="127" t="n">
        <f aca="false">G185-F185+1</f>
        <v>31</v>
      </c>
      <c r="M185" s="128" t="n">
        <v>30</v>
      </c>
      <c r="N185" s="132" t="n">
        <f aca="false">I185/L185*M185</f>
        <v>5709.67741935484</v>
      </c>
      <c r="O185" s="132"/>
      <c r="P185" s="131"/>
      <c r="Q185" s="128"/>
      <c r="R185" s="128" t="n">
        <f aca="false">IF(F185&lt;$R$2,30,$R$2-F185)</f>
        <v>30</v>
      </c>
      <c r="S185" s="128"/>
      <c r="T185" s="128"/>
      <c r="U185" s="132" t="n">
        <f aca="false">IF(F186&lt;$U$2,31,$U$2-F186)</f>
        <v>31</v>
      </c>
      <c r="V185" s="128"/>
      <c r="W185" s="141" t="n">
        <v>0</v>
      </c>
      <c r="X185" s="132" t="n">
        <v>0</v>
      </c>
      <c r="Y185" s="128" t="n">
        <v>0</v>
      </c>
      <c r="Z185" s="128"/>
      <c r="AA185" s="128"/>
      <c r="AB185" s="128"/>
      <c r="AC185" s="136"/>
      <c r="AD185" s="136"/>
      <c r="AE185" s="136"/>
    </row>
    <row r="186" customFormat="false" ht="15" hidden="false" customHeight="false" outlineLevel="0" collapsed="false">
      <c r="A186" s="138" t="s">
        <v>494</v>
      </c>
      <c r="B186" s="139" t="n">
        <v>45566</v>
      </c>
      <c r="C186" s="142" t="s">
        <v>412</v>
      </c>
      <c r="D186" s="160" t="s">
        <v>495</v>
      </c>
      <c r="E186" s="128"/>
      <c r="F186" s="154" t="n">
        <v>45584</v>
      </c>
      <c r="G186" s="154" t="n">
        <v>45645</v>
      </c>
      <c r="H186" s="128" t="s">
        <v>21</v>
      </c>
      <c r="I186" s="131" t="n">
        <f aca="false">3999*2</f>
        <v>7998</v>
      </c>
      <c r="J186" s="132"/>
      <c r="K186" s="132"/>
      <c r="L186" s="127" t="n">
        <f aca="false">G186-F186+1</f>
        <v>62</v>
      </c>
      <c r="M186" s="128"/>
      <c r="N186" s="132"/>
      <c r="O186" s="132"/>
      <c r="P186" s="131"/>
      <c r="Q186" s="128"/>
      <c r="R186" s="128" t="n">
        <f aca="false">IF(F186&lt;$R$2,30,$R$2-F186)</f>
        <v>30</v>
      </c>
      <c r="S186" s="128"/>
      <c r="T186" s="128"/>
      <c r="U186" s="132" t="n">
        <f aca="false">IF(F187&lt;$U$2,31,$U$2-F187)</f>
        <v>31</v>
      </c>
      <c r="V186" s="128"/>
      <c r="W186" s="141" t="n">
        <v>0</v>
      </c>
      <c r="X186" s="132" t="n">
        <v>0</v>
      </c>
      <c r="Y186" s="128" t="n">
        <v>0</v>
      </c>
      <c r="Z186" s="128"/>
      <c r="AA186" s="128"/>
      <c r="AB186" s="128"/>
      <c r="AC186" s="136"/>
      <c r="AD186" s="136"/>
      <c r="AE186" s="136"/>
    </row>
    <row r="187" customFormat="false" ht="15" hidden="false" customHeight="false" outlineLevel="0" collapsed="false">
      <c r="A187" s="138" t="s">
        <v>494</v>
      </c>
      <c r="B187" s="139" t="n">
        <v>45566</v>
      </c>
      <c r="C187" s="161" t="s">
        <v>496</v>
      </c>
      <c r="D187" s="160" t="s">
        <v>497</v>
      </c>
      <c r="E187" s="128"/>
      <c r="F187" s="154" t="n">
        <v>45586</v>
      </c>
      <c r="G187" s="154" t="n">
        <v>45647</v>
      </c>
      <c r="H187" s="128" t="s">
        <v>21</v>
      </c>
      <c r="I187" s="131" t="n">
        <v>15000</v>
      </c>
      <c r="J187" s="132"/>
      <c r="K187" s="132"/>
      <c r="L187" s="127" t="n">
        <f aca="false">G187-F187+1</f>
        <v>62</v>
      </c>
      <c r="M187" s="128"/>
      <c r="N187" s="132"/>
      <c r="O187" s="132"/>
      <c r="P187" s="131"/>
      <c r="Q187" s="128"/>
      <c r="R187" s="128" t="n">
        <f aca="false">IF(F187&lt;$R$2,30,$R$2-F187)</f>
        <v>30</v>
      </c>
      <c r="S187" s="128"/>
      <c r="T187" s="128"/>
      <c r="U187" s="132" t="n">
        <f aca="false">IF(F188&lt;$U$2,31,$U$2-F188)</f>
        <v>31</v>
      </c>
      <c r="V187" s="128"/>
      <c r="W187" s="141" t="n">
        <v>0</v>
      </c>
      <c r="X187" s="132" t="n">
        <v>0</v>
      </c>
      <c r="Y187" s="128" t="n">
        <v>0</v>
      </c>
      <c r="Z187" s="128"/>
      <c r="AA187" s="128"/>
      <c r="AB187" s="128"/>
      <c r="AC187" s="136"/>
      <c r="AD187" s="136"/>
      <c r="AE187" s="136"/>
    </row>
    <row r="188" customFormat="false" ht="15" hidden="false" customHeight="false" outlineLevel="0" collapsed="false">
      <c r="A188" s="138" t="s">
        <v>494</v>
      </c>
      <c r="B188" s="139" t="n">
        <v>45597</v>
      </c>
      <c r="C188" s="161" t="s">
        <v>498</v>
      </c>
      <c r="D188" s="160" t="s">
        <v>499</v>
      </c>
      <c r="E188" s="128"/>
      <c r="F188" s="154" t="n">
        <v>45616</v>
      </c>
      <c r="G188" s="154" t="n">
        <v>45645</v>
      </c>
      <c r="H188" s="145" t="s">
        <v>19</v>
      </c>
      <c r="I188" s="131" t="n">
        <f aca="false">4999</f>
        <v>4999</v>
      </c>
      <c r="J188" s="132"/>
      <c r="K188" s="132"/>
      <c r="L188" s="127" t="n">
        <f aca="false">G188-F188+1</f>
        <v>30</v>
      </c>
      <c r="M188" s="128"/>
      <c r="N188" s="132"/>
      <c r="O188" s="132"/>
      <c r="P188" s="131"/>
      <c r="Q188" s="128"/>
      <c r="R188" s="128" t="n">
        <f aca="false">IF(F188&lt;$R$2,30,$R$2-F188)</f>
        <v>30</v>
      </c>
      <c r="S188" s="128"/>
      <c r="T188" s="128"/>
      <c r="U188" s="132" t="n">
        <f aca="false">IF(F189&lt;$U$2,31,$U$2-F189)</f>
        <v>31</v>
      </c>
      <c r="V188" s="128"/>
      <c r="W188" s="141" t="n">
        <v>0</v>
      </c>
      <c r="X188" s="132" t="n">
        <v>0</v>
      </c>
      <c r="Y188" s="128" t="n">
        <v>0</v>
      </c>
      <c r="Z188" s="128"/>
      <c r="AA188" s="128"/>
      <c r="AB188" s="128"/>
      <c r="AC188" s="136"/>
      <c r="AD188" s="136"/>
      <c r="AE188" s="136"/>
    </row>
    <row r="189" customFormat="false" ht="15" hidden="false" customHeight="false" outlineLevel="0" collapsed="false">
      <c r="A189" s="138" t="s">
        <v>494</v>
      </c>
      <c r="B189" s="139" t="s">
        <v>500</v>
      </c>
      <c r="C189" s="161" t="s">
        <v>501</v>
      </c>
      <c r="D189" s="160" t="s">
        <v>502</v>
      </c>
      <c r="E189" s="128"/>
      <c r="F189" s="154" t="n">
        <v>45586</v>
      </c>
      <c r="G189" s="154" t="n">
        <v>45645</v>
      </c>
      <c r="H189" s="145" t="s">
        <v>20</v>
      </c>
      <c r="I189" s="131" t="n">
        <f aca="false">15000*2</f>
        <v>30000</v>
      </c>
      <c r="J189" s="132"/>
      <c r="K189" s="132"/>
      <c r="L189" s="127" t="n">
        <f aca="false">G189-F189+1</f>
        <v>60</v>
      </c>
      <c r="M189" s="128"/>
      <c r="N189" s="132"/>
      <c r="O189" s="132"/>
      <c r="P189" s="131"/>
      <c r="Q189" s="128"/>
      <c r="R189" s="128" t="n">
        <f aca="false">IF(F189&lt;$R$2,30,$R$2-F189)</f>
        <v>30</v>
      </c>
      <c r="S189" s="128"/>
      <c r="T189" s="128"/>
      <c r="U189" s="132" t="n">
        <f aca="false">IF(F190&lt;$U$2,31,$U$2-F190)</f>
        <v>31</v>
      </c>
      <c r="V189" s="128"/>
      <c r="W189" s="141" t="n">
        <v>0</v>
      </c>
      <c r="X189" s="132" t="n">
        <v>0</v>
      </c>
      <c r="Y189" s="128" t="n">
        <v>0</v>
      </c>
      <c r="Z189" s="128"/>
      <c r="AA189" s="128"/>
      <c r="AB189" s="128"/>
      <c r="AC189" s="136"/>
      <c r="AD189" s="136"/>
      <c r="AE189" s="136"/>
    </row>
    <row r="190" customFormat="false" ht="15" hidden="false" customHeight="false" outlineLevel="0" collapsed="false">
      <c r="A190" s="138" t="s">
        <v>438</v>
      </c>
      <c r="B190" s="139" t="n">
        <v>45717</v>
      </c>
      <c r="C190" s="161" t="s">
        <v>503</v>
      </c>
      <c r="D190" s="160" t="s">
        <v>504</v>
      </c>
      <c r="E190" s="128"/>
      <c r="F190" s="154" t="n">
        <v>45748</v>
      </c>
      <c r="G190" s="154" t="n">
        <v>45777</v>
      </c>
      <c r="H190" s="145" t="s">
        <v>19</v>
      </c>
      <c r="I190" s="131" t="n">
        <v>23600</v>
      </c>
      <c r="J190" s="132" t="n">
        <f aca="false">I190</f>
        <v>23600</v>
      </c>
      <c r="K190" s="132"/>
      <c r="L190" s="127" t="n">
        <f aca="false">G190-F190+1</f>
        <v>30</v>
      </c>
      <c r="M190" s="128" t="n">
        <f aca="false">IF(F190&gt;N1,30,G190-I1+1)</f>
        <v>30</v>
      </c>
      <c r="N190" s="132" t="n">
        <f aca="false">I190/L190*M190</f>
        <v>23600</v>
      </c>
      <c r="O190" s="132"/>
      <c r="P190" s="131"/>
      <c r="Q190" s="128"/>
      <c r="R190" s="128"/>
      <c r="S190" s="128"/>
      <c r="T190" s="128"/>
      <c r="U190" s="132" t="n">
        <f aca="false">IF(F191&lt;$U$2,31,$U$2-F191)</f>
        <v>31</v>
      </c>
      <c r="V190" s="128"/>
      <c r="W190" s="141" t="n">
        <v>0</v>
      </c>
      <c r="X190" s="132" t="n">
        <v>0</v>
      </c>
      <c r="Y190" s="128" t="n">
        <v>0</v>
      </c>
      <c r="Z190" s="128"/>
      <c r="AA190" s="128"/>
      <c r="AB190" s="128"/>
      <c r="AC190" s="136"/>
      <c r="AD190" s="136"/>
      <c r="AE190" s="136"/>
    </row>
    <row r="191" customFormat="false" ht="15" hidden="false" customHeight="false" outlineLevel="0" collapsed="false">
      <c r="A191" s="138" t="s">
        <v>129</v>
      </c>
      <c r="B191" s="139" t="s">
        <v>505</v>
      </c>
      <c r="C191" s="150" t="s">
        <v>506</v>
      </c>
      <c r="D191" s="128" t="s">
        <v>507</v>
      </c>
      <c r="E191" s="128"/>
      <c r="F191" s="154" t="n">
        <v>45684</v>
      </c>
      <c r="G191" s="154" t="n">
        <v>45774</v>
      </c>
      <c r="H191" s="145" t="s">
        <v>23</v>
      </c>
      <c r="I191" s="131" t="n">
        <f aca="false">27000*3</f>
        <v>81000</v>
      </c>
      <c r="J191" s="132" t="n">
        <v>0</v>
      </c>
      <c r="K191" s="132"/>
      <c r="L191" s="127" t="n">
        <f aca="false">G191-F191+1</f>
        <v>91</v>
      </c>
      <c r="M191" s="128" t="n">
        <f aca="false">IF(F191&gt;N1,30,G191-I1+1)</f>
        <v>27</v>
      </c>
      <c r="N191" s="132" t="n">
        <f aca="false">I191/L191*M191</f>
        <v>24032.967032967</v>
      </c>
      <c r="O191" s="132"/>
      <c r="P191" s="131" t="n">
        <f aca="false">O191*I191/L191</f>
        <v>0</v>
      </c>
      <c r="Q191" s="128"/>
      <c r="R191" s="128" t="n">
        <f aca="false">IF(F191&lt;$R$2,30,$R$2-F191)</f>
        <v>30</v>
      </c>
      <c r="S191" s="128"/>
      <c r="T191" s="128"/>
      <c r="U191" s="132" t="n">
        <f aca="false">IF(F192&lt;$U$2,31,$U$2-F192)</f>
        <v>31</v>
      </c>
      <c r="V191" s="128"/>
      <c r="W191" s="141" t="n">
        <v>0</v>
      </c>
      <c r="X191" s="132" t="n">
        <v>0</v>
      </c>
      <c r="Y191" s="128" t="n">
        <v>0</v>
      </c>
      <c r="Z191" s="128"/>
      <c r="AA191" s="128"/>
      <c r="AB191" s="128"/>
      <c r="AC191" s="136"/>
      <c r="AD191" s="136"/>
      <c r="AE191" s="136"/>
    </row>
    <row r="192" s="137" customFormat="true" ht="15" hidden="false" customHeight="false" outlineLevel="0" collapsed="false">
      <c r="A192" s="127"/>
      <c r="B192" s="162" t="n">
        <v>45809</v>
      </c>
      <c r="C192" s="127" t="s">
        <v>125</v>
      </c>
      <c r="D192" s="127" t="s">
        <v>508</v>
      </c>
      <c r="E192" s="128"/>
      <c r="F192" s="148" t="n">
        <v>45809</v>
      </c>
      <c r="G192" s="148" t="n">
        <v>45838</v>
      </c>
      <c r="H192" s="142" t="s">
        <v>19</v>
      </c>
      <c r="I192" s="131" t="n">
        <v>44840</v>
      </c>
      <c r="J192" s="127"/>
      <c r="K192" s="132"/>
      <c r="L192" s="127" t="n">
        <f aca="false">G192-F192+1</f>
        <v>30</v>
      </c>
      <c r="M192" s="127"/>
      <c r="N192" s="132"/>
      <c r="O192" s="132"/>
      <c r="P192" s="132"/>
      <c r="Q192" s="133" t="n">
        <f aca="false">I192</f>
        <v>44840</v>
      </c>
      <c r="R192" s="127" t="n">
        <f aca="false">$R$2-F192+1</f>
        <v>30</v>
      </c>
      <c r="S192" s="134" t="n">
        <f aca="false">R192*I192/L192</f>
        <v>44840</v>
      </c>
      <c r="T192" s="127"/>
      <c r="U192" s="132" t="n">
        <f aca="false">IF(F193&lt;$U$2,31,$U$2-F193)</f>
        <v>31</v>
      </c>
      <c r="V192" s="127"/>
      <c r="W192" s="135" t="n">
        <v>0</v>
      </c>
      <c r="X192" s="132" t="n">
        <v>0</v>
      </c>
      <c r="Y192" s="127" t="n">
        <v>0</v>
      </c>
      <c r="Z192" s="127"/>
      <c r="AA192" s="127"/>
      <c r="AB192" s="127"/>
      <c r="AC192" s="136"/>
      <c r="AD192" s="136"/>
      <c r="AE192" s="136"/>
    </row>
    <row r="193" s="137" customFormat="true" ht="15.75" hidden="false" customHeight="true" outlineLevel="0" collapsed="false">
      <c r="A193" s="127"/>
      <c r="B193" s="162" t="n">
        <v>45809</v>
      </c>
      <c r="C193" s="127" t="s">
        <v>509</v>
      </c>
      <c r="D193" s="127" t="s">
        <v>510</v>
      </c>
      <c r="E193" s="128"/>
      <c r="F193" s="148" t="n">
        <v>45810</v>
      </c>
      <c r="G193" s="148" t="n">
        <v>45839</v>
      </c>
      <c r="H193" s="142" t="s">
        <v>19</v>
      </c>
      <c r="I193" s="131" t="n">
        <v>23600</v>
      </c>
      <c r="J193" s="127"/>
      <c r="K193" s="132"/>
      <c r="L193" s="127" t="n">
        <f aca="false">G193-F193+1</f>
        <v>30</v>
      </c>
      <c r="M193" s="127"/>
      <c r="N193" s="132"/>
      <c r="O193" s="132"/>
      <c r="P193" s="132"/>
      <c r="Q193" s="133" t="n">
        <f aca="false">I193</f>
        <v>23600</v>
      </c>
      <c r="R193" s="127" t="n">
        <f aca="false">$R$2-F193+1</f>
        <v>29</v>
      </c>
      <c r="S193" s="134" t="n">
        <f aca="false">R193*I193/L193</f>
        <v>22813.3333333333</v>
      </c>
      <c r="T193" s="127"/>
      <c r="U193" s="132" t="n">
        <f aca="false">G193-$R$2</f>
        <v>1</v>
      </c>
      <c r="V193" s="132" t="n">
        <f aca="false">U193*I193/L193</f>
        <v>786.666666666667</v>
      </c>
      <c r="W193" s="135" t="n">
        <v>0</v>
      </c>
      <c r="X193" s="132" t="n">
        <v>0</v>
      </c>
      <c r="Y193" s="127" t="n">
        <v>0</v>
      </c>
      <c r="Z193" s="127"/>
      <c r="AA193" s="127"/>
      <c r="AB193" s="127"/>
      <c r="AC193" s="136"/>
      <c r="AD193" s="136"/>
      <c r="AE193" s="136"/>
    </row>
    <row r="194" customFormat="false" ht="15.75" hidden="false" customHeight="true" outlineLevel="0" collapsed="false">
      <c r="A194" s="128"/>
      <c r="B194" s="163" t="n">
        <v>45809</v>
      </c>
      <c r="C194" s="128" t="s">
        <v>511</v>
      </c>
      <c r="D194" s="128" t="s">
        <v>512</v>
      </c>
      <c r="E194" s="128"/>
      <c r="F194" s="154" t="n">
        <v>45810</v>
      </c>
      <c r="G194" s="154" t="n">
        <v>45839</v>
      </c>
      <c r="H194" s="145" t="s">
        <v>19</v>
      </c>
      <c r="I194" s="131" t="n">
        <v>23600</v>
      </c>
      <c r="J194" s="128"/>
      <c r="K194" s="132"/>
      <c r="L194" s="127" t="n">
        <f aca="false">G194-F194+1</f>
        <v>30</v>
      </c>
      <c r="M194" s="128"/>
      <c r="N194" s="132"/>
      <c r="O194" s="132"/>
      <c r="P194" s="132"/>
      <c r="Q194" s="146" t="n">
        <f aca="false">I194</f>
        <v>23600</v>
      </c>
      <c r="R194" s="128" t="n">
        <f aca="false">$R$2-F194+1</f>
        <v>29</v>
      </c>
      <c r="S194" s="147" t="n">
        <f aca="false">R194*I194/L194</f>
        <v>22813.3333333333</v>
      </c>
      <c r="T194" s="128"/>
      <c r="U194" s="132" t="n">
        <f aca="false">G194-$R$2</f>
        <v>1</v>
      </c>
      <c r="V194" s="132" t="n">
        <f aca="false">U194*I194/L194</f>
        <v>786.666666666667</v>
      </c>
      <c r="W194" s="141" t="n">
        <v>0</v>
      </c>
      <c r="X194" s="132" t="n">
        <v>0</v>
      </c>
      <c r="Y194" s="128" t="n">
        <v>0</v>
      </c>
      <c r="Z194" s="128"/>
      <c r="AA194" s="128"/>
      <c r="AB194" s="128"/>
      <c r="AC194" s="136"/>
      <c r="AD194" s="136"/>
      <c r="AE194" s="136"/>
    </row>
    <row r="195" s="137" customFormat="true" ht="15.75" hidden="false" customHeight="true" outlineLevel="0" collapsed="false">
      <c r="A195" s="127"/>
      <c r="B195" s="162" t="n">
        <v>45809</v>
      </c>
      <c r="C195" s="127" t="s">
        <v>288</v>
      </c>
      <c r="D195" s="127" t="s">
        <v>513</v>
      </c>
      <c r="E195" s="128"/>
      <c r="F195" s="148" t="n">
        <v>45810</v>
      </c>
      <c r="G195" s="148" t="n">
        <v>45839</v>
      </c>
      <c r="H195" s="142" t="s">
        <v>19</v>
      </c>
      <c r="I195" s="131" t="n">
        <v>17700</v>
      </c>
      <c r="J195" s="127"/>
      <c r="K195" s="132"/>
      <c r="L195" s="127" t="n">
        <f aca="false">G195-F195+1</f>
        <v>30</v>
      </c>
      <c r="M195" s="127"/>
      <c r="N195" s="132"/>
      <c r="O195" s="132"/>
      <c r="P195" s="132"/>
      <c r="Q195" s="133" t="n">
        <f aca="false">I195</f>
        <v>17700</v>
      </c>
      <c r="R195" s="127" t="n">
        <f aca="false">$R$2-F195+1</f>
        <v>29</v>
      </c>
      <c r="S195" s="134" t="n">
        <f aca="false">R195*I195/L195</f>
        <v>17110</v>
      </c>
      <c r="T195" s="127"/>
      <c r="U195" s="132" t="n">
        <f aca="false">G195-$R$2</f>
        <v>1</v>
      </c>
      <c r="V195" s="132" t="n">
        <f aca="false">U195*I195/L195</f>
        <v>590</v>
      </c>
      <c r="W195" s="135" t="n">
        <v>0</v>
      </c>
      <c r="X195" s="132" t="n">
        <v>0</v>
      </c>
      <c r="Y195" s="127" t="n">
        <v>0</v>
      </c>
      <c r="Z195" s="127"/>
      <c r="AA195" s="127"/>
      <c r="AB195" s="127"/>
      <c r="AC195" s="136"/>
      <c r="AD195" s="136"/>
      <c r="AE195" s="136"/>
    </row>
    <row r="196" s="137" customFormat="true" ht="15.75" hidden="false" customHeight="true" outlineLevel="0" collapsed="false">
      <c r="A196" s="127"/>
      <c r="B196" s="162" t="n">
        <v>45809</v>
      </c>
      <c r="C196" s="127" t="s">
        <v>514</v>
      </c>
      <c r="D196" s="127" t="s">
        <v>515</v>
      </c>
      <c r="E196" s="128"/>
      <c r="F196" s="148" t="n">
        <v>45812</v>
      </c>
      <c r="G196" s="148" t="n">
        <v>45841</v>
      </c>
      <c r="H196" s="142" t="s">
        <v>19</v>
      </c>
      <c r="I196" s="131" t="n">
        <v>8260</v>
      </c>
      <c r="J196" s="127"/>
      <c r="K196" s="132"/>
      <c r="L196" s="127" t="n">
        <f aca="false">G196-F196+1</f>
        <v>30</v>
      </c>
      <c r="M196" s="127"/>
      <c r="N196" s="132"/>
      <c r="O196" s="132"/>
      <c r="P196" s="132"/>
      <c r="Q196" s="133" t="n">
        <f aca="false">I196</f>
        <v>8260</v>
      </c>
      <c r="R196" s="127" t="n">
        <f aca="false">$R$2-F196+1</f>
        <v>27</v>
      </c>
      <c r="S196" s="134" t="n">
        <f aca="false">R196*I196/L196</f>
        <v>7434</v>
      </c>
      <c r="T196" s="127"/>
      <c r="U196" s="132" t="n">
        <f aca="false">G196-$R$2</f>
        <v>3</v>
      </c>
      <c r="V196" s="132" t="n">
        <f aca="false">U196*I196/L196</f>
        <v>826</v>
      </c>
      <c r="W196" s="135" t="n">
        <v>0</v>
      </c>
      <c r="X196" s="132" t="n">
        <v>0</v>
      </c>
      <c r="Y196" s="127" t="n">
        <v>0</v>
      </c>
      <c r="Z196" s="127"/>
      <c r="AA196" s="127"/>
      <c r="AB196" s="127"/>
      <c r="AC196" s="136"/>
      <c r="AD196" s="136"/>
      <c r="AE196" s="136"/>
    </row>
    <row r="197" customFormat="false" ht="15.75" hidden="false" customHeight="true" outlineLevel="0" collapsed="false">
      <c r="A197" s="128"/>
      <c r="B197" s="163" t="n">
        <v>45809</v>
      </c>
      <c r="C197" s="128" t="s">
        <v>516</v>
      </c>
      <c r="D197" s="128" t="s">
        <v>517</v>
      </c>
      <c r="E197" s="128"/>
      <c r="F197" s="154" t="n">
        <v>45812</v>
      </c>
      <c r="G197" s="154" t="n">
        <v>46176</v>
      </c>
      <c r="H197" s="128" t="s">
        <v>9</v>
      </c>
      <c r="I197" s="131" t="n">
        <v>254880</v>
      </c>
      <c r="J197" s="128"/>
      <c r="K197" s="132"/>
      <c r="L197" s="127" t="n">
        <f aca="false">G197-F197+1</f>
        <v>365</v>
      </c>
      <c r="M197" s="128"/>
      <c r="N197" s="132"/>
      <c r="O197" s="132"/>
      <c r="P197" s="132"/>
      <c r="Q197" s="146" t="n">
        <f aca="false">I197/12</f>
        <v>21240</v>
      </c>
      <c r="R197" s="128" t="n">
        <f aca="false">$R$2-F197+1</f>
        <v>27</v>
      </c>
      <c r="S197" s="147" t="n">
        <f aca="false">R197*I197/L197</f>
        <v>18854.1369863014</v>
      </c>
      <c r="T197" s="146" t="n">
        <f aca="false">I197/12</f>
        <v>21240</v>
      </c>
      <c r="U197" s="132" t="n">
        <f aca="false">IF(F198&lt;$U$2,31,$U$2-F198)</f>
        <v>31</v>
      </c>
      <c r="V197" s="131" t="n">
        <f aca="false">I197*U197/L197</f>
        <v>21647.3424657534</v>
      </c>
      <c r="W197" s="141" t="n">
        <f aca="false">IF(F197&lt;$W$2,31,$W$2-F197)</f>
        <v>31</v>
      </c>
      <c r="X197" s="132" t="n">
        <f aca="false">I197/12</f>
        <v>21240</v>
      </c>
      <c r="Y197" s="131" t="n">
        <f aca="false">I197*W197/L197</f>
        <v>21647.3424657534</v>
      </c>
      <c r="Z197" s="141" t="n">
        <f aca="false">IF(F197&lt;$Z$2,30,$Z$2-I197)</f>
        <v>30</v>
      </c>
      <c r="AA197" s="147" t="n">
        <f aca="false">I197/12</f>
        <v>21240</v>
      </c>
      <c r="AB197" s="147" t="n">
        <f aca="false">I197*Z197/L197</f>
        <v>20949.0410958904</v>
      </c>
      <c r="AC197" s="143"/>
      <c r="AD197" s="144"/>
      <c r="AE197" s="144"/>
    </row>
    <row r="198" s="137" customFormat="true" ht="15.75" hidden="false" customHeight="true" outlineLevel="0" collapsed="false">
      <c r="A198" s="127"/>
      <c r="B198" s="162" t="n">
        <v>45809</v>
      </c>
      <c r="C198" s="127" t="s">
        <v>518</v>
      </c>
      <c r="D198" s="127" t="s">
        <v>519</v>
      </c>
      <c r="E198" s="128"/>
      <c r="F198" s="148" t="n">
        <v>45812</v>
      </c>
      <c r="G198" s="148" t="n">
        <v>45841</v>
      </c>
      <c r="H198" s="142" t="s">
        <v>19</v>
      </c>
      <c r="I198" s="131" t="n">
        <v>10000</v>
      </c>
      <c r="J198" s="127"/>
      <c r="K198" s="132"/>
      <c r="L198" s="127" t="n">
        <f aca="false">G198-F198+1</f>
        <v>30</v>
      </c>
      <c r="M198" s="127"/>
      <c r="N198" s="132"/>
      <c r="O198" s="132"/>
      <c r="P198" s="132"/>
      <c r="Q198" s="133" t="n">
        <f aca="false">I198</f>
        <v>10000</v>
      </c>
      <c r="R198" s="127" t="n">
        <f aca="false">$R$2-F198+1</f>
        <v>27</v>
      </c>
      <c r="S198" s="134" t="n">
        <f aca="false">R198*I198/L198</f>
        <v>9000</v>
      </c>
      <c r="T198" s="127"/>
      <c r="U198" s="132" t="n">
        <f aca="false">G198-$R$2</f>
        <v>3</v>
      </c>
      <c r="V198" s="132" t="n">
        <f aca="false">U198*I198/L198</f>
        <v>1000</v>
      </c>
      <c r="W198" s="135" t="n">
        <v>0</v>
      </c>
      <c r="X198" s="132" t="n">
        <v>0</v>
      </c>
      <c r="Y198" s="127" t="n">
        <v>0</v>
      </c>
      <c r="Z198" s="127"/>
      <c r="AA198" s="127"/>
      <c r="AB198" s="127"/>
      <c r="AC198" s="136"/>
      <c r="AD198" s="136"/>
      <c r="AE198" s="136"/>
    </row>
    <row r="199" customFormat="false" ht="15.75" hidden="false" customHeight="true" outlineLevel="0" collapsed="false">
      <c r="A199" s="128"/>
      <c r="B199" s="163" t="n">
        <v>45809</v>
      </c>
      <c r="C199" s="128" t="s">
        <v>520</v>
      </c>
      <c r="D199" s="128" t="s">
        <v>521</v>
      </c>
      <c r="E199" s="128"/>
      <c r="F199" s="154" t="n">
        <v>45814</v>
      </c>
      <c r="G199" s="154" t="n">
        <v>46178</v>
      </c>
      <c r="H199" s="128" t="s">
        <v>9</v>
      </c>
      <c r="I199" s="131" t="n">
        <v>74340</v>
      </c>
      <c r="J199" s="128"/>
      <c r="K199" s="132"/>
      <c r="L199" s="127" t="n">
        <f aca="false">G199-F199+1</f>
        <v>365</v>
      </c>
      <c r="M199" s="128"/>
      <c r="N199" s="132"/>
      <c r="O199" s="132"/>
      <c r="P199" s="132"/>
      <c r="Q199" s="146" t="n">
        <f aca="false">I199/12</f>
        <v>6195</v>
      </c>
      <c r="R199" s="128" t="n">
        <f aca="false">$R$2-F199+1</f>
        <v>25</v>
      </c>
      <c r="S199" s="147" t="n">
        <f aca="false">R199*I199/L199</f>
        <v>5091.78082191781</v>
      </c>
      <c r="T199" s="146" t="n">
        <f aca="false">I199/12</f>
        <v>6195</v>
      </c>
      <c r="U199" s="132" t="n">
        <f aca="false">IF(F200&lt;$U$2,31,$U$2-F200)</f>
        <v>31</v>
      </c>
      <c r="V199" s="131" t="n">
        <f aca="false">I199*U199/L199</f>
        <v>6313.80821917808</v>
      </c>
      <c r="W199" s="141" t="n">
        <f aca="false">IF(F199&lt;$W$2,31,$W$2-F199)</f>
        <v>31</v>
      </c>
      <c r="X199" s="132" t="n">
        <f aca="false">I199/12</f>
        <v>6195</v>
      </c>
      <c r="Y199" s="131" t="n">
        <f aca="false">I199*W199/L199</f>
        <v>6313.80821917808</v>
      </c>
      <c r="Z199" s="141" t="n">
        <f aca="false">IF(F199&lt;$Z$2,30,$Z$2-I199)</f>
        <v>30</v>
      </c>
      <c r="AA199" s="147" t="n">
        <f aca="false">I199/12</f>
        <v>6195</v>
      </c>
      <c r="AB199" s="147" t="n">
        <f aca="false">I199*Z199/L199</f>
        <v>6110.13698630137</v>
      </c>
      <c r="AC199" s="143"/>
      <c r="AD199" s="144"/>
      <c r="AE199" s="144"/>
    </row>
    <row r="200" s="137" customFormat="true" ht="15.75" hidden="false" customHeight="true" outlineLevel="0" collapsed="false">
      <c r="A200" s="127"/>
      <c r="B200" s="162" t="n">
        <v>45809</v>
      </c>
      <c r="C200" s="127" t="s">
        <v>522</v>
      </c>
      <c r="D200" s="127" t="s">
        <v>523</v>
      </c>
      <c r="E200" s="128"/>
      <c r="F200" s="148" t="n">
        <v>45814</v>
      </c>
      <c r="G200" s="148" t="n">
        <v>45843</v>
      </c>
      <c r="H200" s="142" t="s">
        <v>19</v>
      </c>
      <c r="I200" s="131" t="n">
        <v>10000</v>
      </c>
      <c r="J200" s="127"/>
      <c r="K200" s="132"/>
      <c r="L200" s="127" t="n">
        <f aca="false">G200-F200+1</f>
        <v>30</v>
      </c>
      <c r="M200" s="127"/>
      <c r="N200" s="132"/>
      <c r="O200" s="132"/>
      <c r="P200" s="132"/>
      <c r="Q200" s="133" t="n">
        <f aca="false">I200</f>
        <v>10000</v>
      </c>
      <c r="R200" s="127" t="n">
        <f aca="false">$R$2-F200+1</f>
        <v>25</v>
      </c>
      <c r="S200" s="134" t="n">
        <f aca="false">R200*I200/L200</f>
        <v>8333.33333333333</v>
      </c>
      <c r="T200" s="127"/>
      <c r="U200" s="132" t="n">
        <f aca="false">G200-$R$2</f>
        <v>5</v>
      </c>
      <c r="V200" s="132" t="n">
        <f aca="false">U200*I200/L200</f>
        <v>1666.66666666667</v>
      </c>
      <c r="W200" s="135" t="n">
        <v>0</v>
      </c>
      <c r="X200" s="132" t="n">
        <v>0</v>
      </c>
      <c r="Y200" s="127" t="n">
        <v>0</v>
      </c>
      <c r="Z200" s="127"/>
      <c r="AA200" s="127"/>
      <c r="AB200" s="127"/>
      <c r="AC200" s="136"/>
      <c r="AD200" s="136"/>
      <c r="AE200" s="136"/>
    </row>
    <row r="201" s="137" customFormat="true" ht="15.75" hidden="false" customHeight="true" outlineLevel="0" collapsed="false">
      <c r="A201" s="127"/>
      <c r="B201" s="162" t="n">
        <v>45809</v>
      </c>
      <c r="C201" s="127" t="s">
        <v>524</v>
      </c>
      <c r="D201" s="127" t="s">
        <v>525</v>
      </c>
      <c r="E201" s="128"/>
      <c r="F201" s="148" t="n">
        <v>45814</v>
      </c>
      <c r="G201" s="148" t="n">
        <v>45843</v>
      </c>
      <c r="H201" s="142" t="s">
        <v>19</v>
      </c>
      <c r="I201" s="131" t="n">
        <v>8260</v>
      </c>
      <c r="J201" s="127"/>
      <c r="K201" s="132"/>
      <c r="L201" s="127" t="n">
        <f aca="false">G201-F201+1</f>
        <v>30</v>
      </c>
      <c r="M201" s="127"/>
      <c r="N201" s="132"/>
      <c r="O201" s="132"/>
      <c r="P201" s="132"/>
      <c r="Q201" s="133" t="n">
        <f aca="false">I201</f>
        <v>8260</v>
      </c>
      <c r="R201" s="127" t="n">
        <f aca="false">$R$2-F201+1</f>
        <v>25</v>
      </c>
      <c r="S201" s="134" t="n">
        <f aca="false">R201*I201/L201</f>
        <v>6883.33333333333</v>
      </c>
      <c r="T201" s="127"/>
      <c r="U201" s="132" t="n">
        <f aca="false">G201-$R$2</f>
        <v>5</v>
      </c>
      <c r="V201" s="132" t="n">
        <f aca="false">U201*I201/L201</f>
        <v>1376.66666666667</v>
      </c>
      <c r="W201" s="135" t="n">
        <v>0</v>
      </c>
      <c r="X201" s="132" t="n">
        <v>0</v>
      </c>
      <c r="Y201" s="127" t="n">
        <v>0</v>
      </c>
      <c r="Z201" s="127"/>
      <c r="AA201" s="127"/>
      <c r="AB201" s="127"/>
      <c r="AC201" s="136"/>
      <c r="AD201" s="136"/>
      <c r="AE201" s="136"/>
    </row>
    <row r="202" customFormat="false" ht="15.75" hidden="false" customHeight="true" outlineLevel="0" collapsed="false">
      <c r="A202" s="128"/>
      <c r="B202" s="163" t="n">
        <v>45809</v>
      </c>
      <c r="C202" s="128" t="s">
        <v>526</v>
      </c>
      <c r="D202" s="128" t="s">
        <v>527</v>
      </c>
      <c r="E202" s="128"/>
      <c r="F202" s="154" t="n">
        <v>45814</v>
      </c>
      <c r="G202" s="154" t="n">
        <v>46178</v>
      </c>
      <c r="H202" s="128" t="s">
        <v>9</v>
      </c>
      <c r="I202" s="131" t="n">
        <v>94400</v>
      </c>
      <c r="J202" s="128"/>
      <c r="K202" s="132"/>
      <c r="L202" s="127" t="n">
        <f aca="false">G202-F202+1</f>
        <v>365</v>
      </c>
      <c r="M202" s="128"/>
      <c r="N202" s="132"/>
      <c r="O202" s="132"/>
      <c r="P202" s="132"/>
      <c r="Q202" s="146" t="n">
        <f aca="false">I202/12</f>
        <v>7866.66666666667</v>
      </c>
      <c r="R202" s="128" t="n">
        <f aca="false">$R$2-F202+1</f>
        <v>25</v>
      </c>
      <c r="S202" s="147" t="n">
        <f aca="false">R202*I202/L202</f>
        <v>6465.75342465753</v>
      </c>
      <c r="T202" s="146" t="n">
        <f aca="false">I202/12</f>
        <v>7866.66666666667</v>
      </c>
      <c r="U202" s="132" t="n">
        <f aca="false">IF(F203&lt;$U$2,31,$U$2-F203)</f>
        <v>31</v>
      </c>
      <c r="V202" s="131" t="n">
        <f aca="false">I202*U202/L202</f>
        <v>8017.53424657534</v>
      </c>
      <c r="W202" s="141" t="n">
        <f aca="false">IF(F202&lt;$W$2,31,$W$2-F202)</f>
        <v>31</v>
      </c>
      <c r="X202" s="132" t="n">
        <f aca="false">I202/12</f>
        <v>7866.66666666667</v>
      </c>
      <c r="Y202" s="131" t="n">
        <f aca="false">I202*W202/L202</f>
        <v>8017.53424657534</v>
      </c>
      <c r="Z202" s="141" t="n">
        <f aca="false">IF(F202&lt;$Z$2,30,$Z$2-I202)</f>
        <v>30</v>
      </c>
      <c r="AA202" s="147" t="n">
        <f aca="false">I202/12</f>
        <v>7866.66666666667</v>
      </c>
      <c r="AB202" s="147" t="n">
        <f aca="false">I202*Z202/L202</f>
        <v>7758.90410958904</v>
      </c>
      <c r="AC202" s="143"/>
      <c r="AD202" s="144"/>
      <c r="AE202" s="144"/>
    </row>
    <row r="203" customFormat="false" ht="15.75" hidden="false" customHeight="true" outlineLevel="0" collapsed="false">
      <c r="A203" s="128"/>
      <c r="B203" s="163" t="n">
        <v>45809</v>
      </c>
      <c r="C203" s="128" t="s">
        <v>528</v>
      </c>
      <c r="D203" s="128" t="s">
        <v>529</v>
      </c>
      <c r="E203" s="128"/>
      <c r="F203" s="154" t="n">
        <v>45814</v>
      </c>
      <c r="G203" s="154" t="n">
        <v>45843</v>
      </c>
      <c r="H203" s="145" t="s">
        <v>19</v>
      </c>
      <c r="I203" s="131" t="n">
        <v>23600</v>
      </c>
      <c r="J203" s="128"/>
      <c r="K203" s="132"/>
      <c r="L203" s="127" t="n">
        <f aca="false">G203-F203+1</f>
        <v>30</v>
      </c>
      <c r="M203" s="128"/>
      <c r="N203" s="132"/>
      <c r="O203" s="132"/>
      <c r="P203" s="132"/>
      <c r="Q203" s="146" t="n">
        <f aca="false">I203</f>
        <v>23600</v>
      </c>
      <c r="R203" s="128" t="n">
        <f aca="false">$R$2-F203+1</f>
        <v>25</v>
      </c>
      <c r="S203" s="147" t="n">
        <f aca="false">R203*I203/L203</f>
        <v>19666.6666666667</v>
      </c>
      <c r="T203" s="128"/>
      <c r="U203" s="132" t="n">
        <f aca="false">G203-$R$2</f>
        <v>5</v>
      </c>
      <c r="V203" s="132" t="n">
        <f aca="false">U203*I203/L203</f>
        <v>3933.33333333333</v>
      </c>
      <c r="W203" s="141" t="n">
        <v>0</v>
      </c>
      <c r="X203" s="132" t="n">
        <v>0</v>
      </c>
      <c r="Y203" s="128" t="n">
        <v>0</v>
      </c>
      <c r="Z203" s="128"/>
      <c r="AA203" s="128"/>
      <c r="AB203" s="128"/>
      <c r="AC203" s="136"/>
      <c r="AD203" s="136"/>
      <c r="AE203" s="136"/>
    </row>
    <row r="204" customFormat="false" ht="15.75" hidden="false" customHeight="true" outlineLevel="0" collapsed="false">
      <c r="A204" s="128"/>
      <c r="B204" s="163" t="n">
        <v>45809</v>
      </c>
      <c r="C204" s="128" t="s">
        <v>530</v>
      </c>
      <c r="D204" s="128" t="s">
        <v>531</v>
      </c>
      <c r="E204" s="128"/>
      <c r="F204" s="154" t="n">
        <v>45817</v>
      </c>
      <c r="G204" s="154" t="n">
        <v>46181</v>
      </c>
      <c r="H204" s="128" t="s">
        <v>9</v>
      </c>
      <c r="I204" s="131" t="n">
        <v>495600</v>
      </c>
      <c r="J204" s="128"/>
      <c r="K204" s="132"/>
      <c r="L204" s="127" t="n">
        <f aca="false">G204-F204+1</f>
        <v>365</v>
      </c>
      <c r="M204" s="128"/>
      <c r="N204" s="132"/>
      <c r="O204" s="132"/>
      <c r="P204" s="132"/>
      <c r="Q204" s="146" t="n">
        <f aca="false">I204/12</f>
        <v>41300</v>
      </c>
      <c r="R204" s="128" t="n">
        <f aca="false">$R$2-F204+1</f>
        <v>22</v>
      </c>
      <c r="S204" s="147" t="n">
        <f aca="false">R204*I204/L204</f>
        <v>29871.7808219178</v>
      </c>
      <c r="T204" s="146" t="n">
        <f aca="false">I204/12</f>
        <v>41300</v>
      </c>
      <c r="U204" s="132" t="n">
        <f aca="false">IF(F205&lt;$U$2,31,$U$2-F205)</f>
        <v>31</v>
      </c>
      <c r="V204" s="131" t="n">
        <f aca="false">I204*U204/L204</f>
        <v>42092.0547945206</v>
      </c>
      <c r="W204" s="141" t="n">
        <f aca="false">IF(F204&lt;$W$2,31,$W$2-F204)</f>
        <v>31</v>
      </c>
      <c r="X204" s="132" t="n">
        <f aca="false">I204/12</f>
        <v>41300</v>
      </c>
      <c r="Y204" s="131" t="n">
        <f aca="false">I204*W204/L204</f>
        <v>42092.0547945206</v>
      </c>
      <c r="Z204" s="141" t="n">
        <f aca="false">IF(F204&lt;$Z$2,30,$Z$2-I204)</f>
        <v>30</v>
      </c>
      <c r="AA204" s="147" t="n">
        <f aca="false">I204/12</f>
        <v>41300</v>
      </c>
      <c r="AB204" s="147" t="n">
        <f aca="false">I204*Z204/L204</f>
        <v>40734.2465753425</v>
      </c>
      <c r="AC204" s="143"/>
      <c r="AD204" s="144"/>
      <c r="AE204" s="144"/>
    </row>
    <row r="205" customFormat="false" ht="15.75" hidden="false" customHeight="true" outlineLevel="0" collapsed="false">
      <c r="A205" s="128"/>
      <c r="B205" s="163" t="n">
        <v>45809</v>
      </c>
      <c r="C205" s="128" t="s">
        <v>532</v>
      </c>
      <c r="D205" s="128" t="s">
        <v>533</v>
      </c>
      <c r="E205" s="128"/>
      <c r="F205" s="154" t="n">
        <v>45817</v>
      </c>
      <c r="G205" s="154" t="n">
        <v>45846</v>
      </c>
      <c r="H205" s="145" t="s">
        <v>19</v>
      </c>
      <c r="I205" s="131" t="n">
        <v>17700</v>
      </c>
      <c r="J205" s="128"/>
      <c r="K205" s="132"/>
      <c r="L205" s="127" t="n">
        <f aca="false">G205-F205+1</f>
        <v>30</v>
      </c>
      <c r="M205" s="128"/>
      <c r="N205" s="132"/>
      <c r="O205" s="132"/>
      <c r="P205" s="132"/>
      <c r="Q205" s="146" t="n">
        <f aca="false">I205</f>
        <v>17700</v>
      </c>
      <c r="R205" s="128" t="n">
        <f aca="false">$R$2-F205+1</f>
        <v>22</v>
      </c>
      <c r="S205" s="147" t="n">
        <f aca="false">R205*I205/L205</f>
        <v>12980</v>
      </c>
      <c r="T205" s="128"/>
      <c r="U205" s="132" t="n">
        <f aca="false">G205-$R$2</f>
        <v>8</v>
      </c>
      <c r="V205" s="132" t="n">
        <f aca="false">U205*I205/L205</f>
        <v>4720</v>
      </c>
      <c r="W205" s="141" t="n">
        <v>0</v>
      </c>
      <c r="X205" s="132" t="n">
        <v>0</v>
      </c>
      <c r="Y205" s="128" t="n">
        <v>0</v>
      </c>
      <c r="Z205" s="128"/>
      <c r="AA205" s="128"/>
      <c r="AB205" s="128"/>
      <c r="AC205" s="136"/>
      <c r="AD205" s="136"/>
      <c r="AE205" s="136"/>
    </row>
    <row r="206" customFormat="false" ht="15.75" hidden="false" customHeight="true" outlineLevel="0" collapsed="false">
      <c r="A206" s="128"/>
      <c r="B206" s="163" t="n">
        <v>45809</v>
      </c>
      <c r="C206" s="128" t="s">
        <v>534</v>
      </c>
      <c r="D206" s="128" t="s">
        <v>535</v>
      </c>
      <c r="E206" s="128"/>
      <c r="F206" s="154" t="n">
        <v>45817</v>
      </c>
      <c r="G206" s="154" t="n">
        <v>46181</v>
      </c>
      <c r="H206" s="128" t="s">
        <v>9</v>
      </c>
      <c r="I206" s="131" t="n">
        <v>127440</v>
      </c>
      <c r="J206" s="128"/>
      <c r="K206" s="132"/>
      <c r="L206" s="127" t="n">
        <f aca="false">G206-F206+1</f>
        <v>365</v>
      </c>
      <c r="M206" s="128"/>
      <c r="N206" s="132"/>
      <c r="O206" s="132"/>
      <c r="P206" s="132"/>
      <c r="Q206" s="146" t="n">
        <f aca="false">I206/12</f>
        <v>10620</v>
      </c>
      <c r="R206" s="128" t="n">
        <f aca="false">$R$2-F206+1</f>
        <v>22</v>
      </c>
      <c r="S206" s="147" t="n">
        <f aca="false">R206*I206/L206</f>
        <v>7681.31506849315</v>
      </c>
      <c r="T206" s="146" t="n">
        <f aca="false">I206/12</f>
        <v>10620</v>
      </c>
      <c r="U206" s="132" t="n">
        <f aca="false">IF(F207&lt;$U$2,31,$U$2-F207)</f>
        <v>31</v>
      </c>
      <c r="V206" s="131" t="n">
        <f aca="false">I206*U206/L206</f>
        <v>10823.6712328767</v>
      </c>
      <c r="W206" s="141" t="n">
        <f aca="false">IF(F206&lt;$W$2,31,$W$2-F206)</f>
        <v>31</v>
      </c>
      <c r="X206" s="132" t="n">
        <f aca="false">I206/12</f>
        <v>10620</v>
      </c>
      <c r="Y206" s="131" t="n">
        <f aca="false">I206*W206/L206</f>
        <v>10823.6712328767</v>
      </c>
      <c r="Z206" s="141" t="n">
        <f aca="false">IF(F206&lt;$Z$2,30,$Z$2-I206)</f>
        <v>30</v>
      </c>
      <c r="AA206" s="147" t="n">
        <f aca="false">I206/12</f>
        <v>10620</v>
      </c>
      <c r="AB206" s="147" t="n">
        <f aca="false">I206*Z206/L206</f>
        <v>10474.5205479452</v>
      </c>
      <c r="AC206" s="143"/>
      <c r="AD206" s="144"/>
      <c r="AE206" s="144"/>
    </row>
    <row r="207" customFormat="false" ht="15.75" hidden="false" customHeight="true" outlineLevel="0" collapsed="false">
      <c r="A207" s="128"/>
      <c r="B207" s="163" t="n">
        <v>45809</v>
      </c>
      <c r="C207" s="128" t="s">
        <v>536</v>
      </c>
      <c r="D207" s="128" t="s">
        <v>537</v>
      </c>
      <c r="E207" s="128"/>
      <c r="F207" s="154" t="n">
        <v>45817</v>
      </c>
      <c r="G207" s="154" t="n">
        <v>46181</v>
      </c>
      <c r="H207" s="128" t="s">
        <v>9</v>
      </c>
      <c r="I207" s="131" t="n">
        <v>127440</v>
      </c>
      <c r="J207" s="128"/>
      <c r="K207" s="132"/>
      <c r="L207" s="127" t="n">
        <f aca="false">G207-F207+1</f>
        <v>365</v>
      </c>
      <c r="M207" s="128"/>
      <c r="N207" s="132"/>
      <c r="O207" s="132"/>
      <c r="P207" s="132"/>
      <c r="Q207" s="146" t="n">
        <f aca="false">I207/12</f>
        <v>10620</v>
      </c>
      <c r="R207" s="128" t="n">
        <f aca="false">$R$2-F207+1</f>
        <v>22</v>
      </c>
      <c r="S207" s="147" t="n">
        <f aca="false">R207*I207/L207</f>
        <v>7681.31506849315</v>
      </c>
      <c r="T207" s="146" t="n">
        <f aca="false">I207/12</f>
        <v>10620</v>
      </c>
      <c r="U207" s="132" t="n">
        <f aca="false">IF(F208&lt;$U$2,31,$U$2-F208)</f>
        <v>31</v>
      </c>
      <c r="V207" s="131" t="n">
        <f aca="false">I207*U207/L207</f>
        <v>10823.6712328767</v>
      </c>
      <c r="W207" s="141" t="n">
        <f aca="false">IF(F207&lt;$W$2,31,$W$2-F207)</f>
        <v>31</v>
      </c>
      <c r="X207" s="132" t="n">
        <f aca="false">I207/12</f>
        <v>10620</v>
      </c>
      <c r="Y207" s="131" t="n">
        <f aca="false">I207*W207/L207</f>
        <v>10823.6712328767</v>
      </c>
      <c r="Z207" s="141" t="n">
        <f aca="false">IF(F207&lt;$Z$2,30,$Z$2-I207)</f>
        <v>30</v>
      </c>
      <c r="AA207" s="147" t="n">
        <f aca="false">I207/12</f>
        <v>10620</v>
      </c>
      <c r="AB207" s="147" t="n">
        <f aca="false">I207*Z207/L207</f>
        <v>10474.5205479452</v>
      </c>
      <c r="AC207" s="143"/>
      <c r="AD207" s="144"/>
      <c r="AE207" s="144"/>
    </row>
    <row r="208" s="137" customFormat="true" ht="15.75" hidden="false" customHeight="true" outlineLevel="0" collapsed="false">
      <c r="A208" s="127"/>
      <c r="B208" s="162" t="n">
        <v>45809</v>
      </c>
      <c r="C208" s="127" t="s">
        <v>483</v>
      </c>
      <c r="D208" s="127" t="s">
        <v>538</v>
      </c>
      <c r="E208" s="128"/>
      <c r="F208" s="148" t="n">
        <v>45739</v>
      </c>
      <c r="G208" s="148" t="n">
        <v>45800</v>
      </c>
      <c r="H208" s="127" t="s">
        <v>21</v>
      </c>
      <c r="I208" s="131" t="n">
        <v>35400</v>
      </c>
      <c r="J208" s="127" t="n">
        <f aca="false">I208/2</f>
        <v>17700</v>
      </c>
      <c r="K208" s="132"/>
      <c r="L208" s="127" t="n">
        <f aca="false">G208-F208+1</f>
        <v>62</v>
      </c>
      <c r="M208" s="127" t="n">
        <f aca="false">IF(F208&lt;H83,30,G208-1-4-2025)</f>
        <v>30</v>
      </c>
      <c r="N208" s="132" t="n">
        <f aca="false">I208/L208*M208</f>
        <v>17129.0322580645</v>
      </c>
      <c r="O208" s="132" t="n">
        <f aca="false">G208-H1</f>
        <v>23</v>
      </c>
      <c r="P208" s="131" t="n">
        <f aca="false">O208*I208/L208</f>
        <v>13132.2580645161</v>
      </c>
      <c r="Q208" s="127"/>
      <c r="R208" s="127" t="n">
        <f aca="false">IF(F208&lt;$R$2,30,$R$2-F208)</f>
        <v>30</v>
      </c>
      <c r="S208" s="127"/>
      <c r="T208" s="127"/>
      <c r="U208" s="132" t="n">
        <f aca="false">IF(F209&lt;$U$2,31,$U$2-F209)</f>
        <v>31</v>
      </c>
      <c r="V208" s="127"/>
      <c r="W208" s="135" t="n">
        <v>0</v>
      </c>
      <c r="X208" s="132" t="n">
        <v>0</v>
      </c>
      <c r="Y208" s="127" t="n">
        <v>0</v>
      </c>
      <c r="Z208" s="127"/>
      <c r="AA208" s="127"/>
      <c r="AB208" s="127"/>
      <c r="AC208" s="136"/>
      <c r="AD208" s="136"/>
      <c r="AE208" s="136"/>
    </row>
    <row r="209" customFormat="false" ht="15.75" hidden="false" customHeight="true" outlineLevel="0" collapsed="false">
      <c r="A209" s="128"/>
      <c r="B209" s="163" t="s">
        <v>539</v>
      </c>
      <c r="C209" s="128" t="s">
        <v>540</v>
      </c>
      <c r="D209" s="128" t="s">
        <v>541</v>
      </c>
      <c r="E209" s="128"/>
      <c r="F209" s="154" t="n">
        <v>45819</v>
      </c>
      <c r="G209" s="154" t="n">
        <v>46183</v>
      </c>
      <c r="H209" s="128" t="s">
        <v>10</v>
      </c>
      <c r="I209" s="131" t="n">
        <f aca="false">10000*12</f>
        <v>120000</v>
      </c>
      <c r="J209" s="128"/>
      <c r="K209" s="132"/>
      <c r="L209" s="127" t="n">
        <f aca="false">G209-F209+1</f>
        <v>365</v>
      </c>
      <c r="M209" s="128"/>
      <c r="N209" s="132"/>
      <c r="O209" s="132"/>
      <c r="P209" s="132"/>
      <c r="Q209" s="146" t="n">
        <f aca="false">I209/12</f>
        <v>10000</v>
      </c>
      <c r="R209" s="128" t="n">
        <f aca="false">$R$2-F209+1</f>
        <v>20</v>
      </c>
      <c r="S209" s="147" t="n">
        <f aca="false">R209*I209/L209</f>
        <v>6575.34246575342</v>
      </c>
      <c r="T209" s="146" t="n">
        <f aca="false">I209/12</f>
        <v>10000</v>
      </c>
      <c r="U209" s="132" t="n">
        <f aca="false">IF(F210&lt;$U$2,31,$U$2-F210)</f>
        <v>31</v>
      </c>
      <c r="V209" s="131" t="n">
        <f aca="false">I209*U209/L209</f>
        <v>10191.7808219178</v>
      </c>
      <c r="W209" s="141" t="n">
        <f aca="false">IF(F209&lt;$W$2,31,$W$2-F209)</f>
        <v>31</v>
      </c>
      <c r="X209" s="132" t="n">
        <f aca="false">I209/12</f>
        <v>10000</v>
      </c>
      <c r="Y209" s="131" t="n">
        <f aca="false">I209*W209/L209</f>
        <v>10191.7808219178</v>
      </c>
      <c r="Z209" s="141" t="n">
        <f aca="false">IF(F209&lt;$Z$2,30,$Z$2-I209)</f>
        <v>30</v>
      </c>
      <c r="AA209" s="147" t="n">
        <f aca="false">I209/12</f>
        <v>10000</v>
      </c>
      <c r="AB209" s="147" t="n">
        <f aca="false">I209*Z209/L209</f>
        <v>9863.01369863014</v>
      </c>
      <c r="AC209" s="143"/>
      <c r="AD209" s="144"/>
      <c r="AE209" s="144"/>
    </row>
    <row r="210" customFormat="false" ht="15.75" hidden="false" customHeight="true" outlineLevel="0" collapsed="false">
      <c r="A210" s="128"/>
      <c r="B210" s="163" t="n">
        <v>45809</v>
      </c>
      <c r="C210" s="128" t="s">
        <v>542</v>
      </c>
      <c r="D210" s="128" t="s">
        <v>543</v>
      </c>
      <c r="E210" s="128"/>
      <c r="F210" s="154" t="n">
        <v>45819</v>
      </c>
      <c r="G210" s="154" t="n">
        <v>45849</v>
      </c>
      <c r="H210" s="145" t="s">
        <v>19</v>
      </c>
      <c r="I210" s="131" t="n">
        <v>59000</v>
      </c>
      <c r="J210" s="128"/>
      <c r="K210" s="132"/>
      <c r="L210" s="127" t="n">
        <f aca="false">G210-F210+1</f>
        <v>31</v>
      </c>
      <c r="M210" s="128"/>
      <c r="N210" s="132"/>
      <c r="O210" s="132"/>
      <c r="P210" s="132"/>
      <c r="Q210" s="146" t="n">
        <f aca="false">I210</f>
        <v>59000</v>
      </c>
      <c r="R210" s="128" t="n">
        <f aca="false">$R$2-F210+1</f>
        <v>20</v>
      </c>
      <c r="S210" s="147" t="n">
        <f aca="false">R210*I210/L210</f>
        <v>38064.5161290323</v>
      </c>
      <c r="T210" s="128"/>
      <c r="U210" s="132" t="n">
        <f aca="false">G210-$R$2</f>
        <v>11</v>
      </c>
      <c r="V210" s="132" t="n">
        <f aca="false">U210*I210/L210</f>
        <v>20935.4838709677</v>
      </c>
      <c r="W210" s="141" t="n">
        <v>0</v>
      </c>
      <c r="X210" s="132" t="n">
        <v>0</v>
      </c>
      <c r="Y210" s="128" t="n">
        <v>0</v>
      </c>
      <c r="Z210" s="128"/>
      <c r="AA210" s="128"/>
      <c r="AB210" s="128"/>
      <c r="AC210" s="136"/>
      <c r="AD210" s="136"/>
      <c r="AE210" s="136"/>
    </row>
    <row r="211" s="137" customFormat="true" ht="15.75" hidden="false" customHeight="true" outlineLevel="0" collapsed="false">
      <c r="A211" s="127"/>
      <c r="B211" s="162" t="n">
        <v>45809</v>
      </c>
      <c r="C211" s="127" t="s">
        <v>147</v>
      </c>
      <c r="D211" s="127" t="s">
        <v>544</v>
      </c>
      <c r="E211" s="128"/>
      <c r="F211" s="148" t="n">
        <v>45787</v>
      </c>
      <c r="G211" s="148" t="n">
        <v>45817</v>
      </c>
      <c r="H211" s="142" t="s">
        <v>19</v>
      </c>
      <c r="I211" s="131" t="n">
        <v>24780</v>
      </c>
      <c r="J211" s="132"/>
      <c r="K211" s="132" t="n">
        <f aca="false">I211</f>
        <v>24780</v>
      </c>
      <c r="L211" s="127" t="n">
        <f aca="false">G211-F211+1</f>
        <v>31</v>
      </c>
      <c r="M211" s="127"/>
      <c r="N211" s="132"/>
      <c r="O211" s="132" t="n">
        <f aca="false">31-10+1</f>
        <v>22</v>
      </c>
      <c r="P211" s="131" t="n">
        <f aca="false">O211*I211/L211</f>
        <v>17585.8064516129</v>
      </c>
      <c r="Q211" s="127"/>
      <c r="R211" s="127" t="n">
        <v>9</v>
      </c>
      <c r="S211" s="134" t="n">
        <f aca="false">R211*I211/L211</f>
        <v>7194.1935483871</v>
      </c>
      <c r="T211" s="127"/>
      <c r="U211" s="132" t="n">
        <f aca="false">IF(F212&lt;$U$2,31,$U$2-F212)</f>
        <v>31</v>
      </c>
      <c r="V211" s="127"/>
      <c r="W211" s="135" t="n">
        <v>0</v>
      </c>
      <c r="X211" s="132" t="n">
        <v>0</v>
      </c>
      <c r="Y211" s="127" t="n">
        <v>0</v>
      </c>
      <c r="Z211" s="127"/>
      <c r="AA211" s="127"/>
      <c r="AB211" s="127"/>
      <c r="AC211" s="136"/>
      <c r="AD211" s="136"/>
      <c r="AE211" s="136"/>
    </row>
    <row r="212" s="137" customFormat="true" ht="15.75" hidden="false" customHeight="true" outlineLevel="0" collapsed="false">
      <c r="A212" s="127"/>
      <c r="B212" s="162" t="n">
        <v>45809</v>
      </c>
      <c r="C212" s="127" t="s">
        <v>147</v>
      </c>
      <c r="D212" s="127" t="s">
        <v>545</v>
      </c>
      <c r="E212" s="128"/>
      <c r="F212" s="148" t="n">
        <v>45818</v>
      </c>
      <c r="G212" s="148" t="n">
        <v>45847</v>
      </c>
      <c r="H212" s="142" t="s">
        <v>19</v>
      </c>
      <c r="I212" s="131" t="n">
        <v>16520</v>
      </c>
      <c r="J212" s="132"/>
      <c r="K212" s="132"/>
      <c r="L212" s="127" t="n">
        <f aca="false">G212-F212+1</f>
        <v>30</v>
      </c>
      <c r="M212" s="127"/>
      <c r="N212" s="132"/>
      <c r="O212" s="132"/>
      <c r="P212" s="132"/>
      <c r="Q212" s="133" t="n">
        <f aca="false">I212</f>
        <v>16520</v>
      </c>
      <c r="R212" s="127" t="n">
        <f aca="false">$R$2-F212+1</f>
        <v>21</v>
      </c>
      <c r="S212" s="134" t="n">
        <f aca="false">R212*I212/L212</f>
        <v>11564</v>
      </c>
      <c r="T212" s="127"/>
      <c r="U212" s="132" t="n">
        <f aca="false">G212-$R$2</f>
        <v>9</v>
      </c>
      <c r="V212" s="132" t="n">
        <f aca="false">U212*I212/L212</f>
        <v>4956</v>
      </c>
      <c r="W212" s="135" t="n">
        <v>0</v>
      </c>
      <c r="X212" s="132" t="n">
        <v>0</v>
      </c>
      <c r="Y212" s="127" t="n">
        <v>0</v>
      </c>
      <c r="Z212" s="127"/>
      <c r="AA212" s="127"/>
      <c r="AB212" s="127"/>
      <c r="AC212" s="136"/>
      <c r="AD212" s="136"/>
      <c r="AE212" s="136"/>
    </row>
    <row r="213" customFormat="false" ht="15.75" hidden="false" customHeight="true" outlineLevel="0" collapsed="false">
      <c r="A213" s="128"/>
      <c r="B213" s="163" t="n">
        <v>45809</v>
      </c>
      <c r="C213" s="128" t="s">
        <v>546</v>
      </c>
      <c r="D213" s="128" t="s">
        <v>547</v>
      </c>
      <c r="E213" s="128"/>
      <c r="F213" s="154" t="n">
        <v>45824</v>
      </c>
      <c r="G213" s="154" t="n">
        <v>46188</v>
      </c>
      <c r="H213" s="128" t="s">
        <v>9</v>
      </c>
      <c r="I213" s="131" t="n">
        <v>70800</v>
      </c>
      <c r="J213" s="128"/>
      <c r="K213" s="132"/>
      <c r="L213" s="127" t="n">
        <f aca="false">G213-F213+1</f>
        <v>365</v>
      </c>
      <c r="M213" s="128"/>
      <c r="N213" s="132"/>
      <c r="O213" s="132"/>
      <c r="P213" s="132"/>
      <c r="Q213" s="146" t="n">
        <f aca="false">I213/12</f>
        <v>5900</v>
      </c>
      <c r="R213" s="128" t="n">
        <f aca="false">$R$2-F213+1</f>
        <v>15</v>
      </c>
      <c r="S213" s="147" t="n">
        <f aca="false">R213*I213/L213</f>
        <v>2909.58904109589</v>
      </c>
      <c r="T213" s="146" t="n">
        <f aca="false">I213/12</f>
        <v>5900</v>
      </c>
      <c r="U213" s="132" t="n">
        <f aca="false">IF(F214&lt;$U$2,31,$U$2-F214)</f>
        <v>31</v>
      </c>
      <c r="V213" s="131" t="n">
        <f aca="false">I213*U213/L213</f>
        <v>6013.15068493151</v>
      </c>
      <c r="W213" s="141" t="n">
        <f aca="false">IF(F213&lt;$W$2,31,$W$2-F213)</f>
        <v>31</v>
      </c>
      <c r="X213" s="132" t="n">
        <f aca="false">I213/12</f>
        <v>5900</v>
      </c>
      <c r="Y213" s="131" t="n">
        <f aca="false">I213*W213/L213</f>
        <v>6013.15068493151</v>
      </c>
      <c r="Z213" s="141" t="n">
        <f aca="false">IF(F213&lt;$Z$2,30,$Z$2-I213)</f>
        <v>30</v>
      </c>
      <c r="AA213" s="147" t="n">
        <f aca="false">I213/12</f>
        <v>5900</v>
      </c>
      <c r="AB213" s="147" t="n">
        <f aca="false">I213*Z213/L213</f>
        <v>5819.17808219178</v>
      </c>
      <c r="AC213" s="143"/>
      <c r="AD213" s="144"/>
      <c r="AE213" s="144"/>
    </row>
    <row r="214" s="137" customFormat="true" ht="15.75" hidden="false" customHeight="true" outlineLevel="0" collapsed="false">
      <c r="A214" s="127"/>
      <c r="B214" s="162" t="n">
        <v>45809</v>
      </c>
      <c r="C214" s="127" t="s">
        <v>164</v>
      </c>
      <c r="D214" s="127" t="s">
        <v>548</v>
      </c>
      <c r="E214" s="128"/>
      <c r="F214" s="148" t="n">
        <v>45824</v>
      </c>
      <c r="G214" s="148" t="n">
        <v>46188</v>
      </c>
      <c r="H214" s="127" t="s">
        <v>9</v>
      </c>
      <c r="I214" s="131" t="n">
        <v>82600</v>
      </c>
      <c r="J214" s="127"/>
      <c r="K214" s="132"/>
      <c r="L214" s="127" t="n">
        <f aca="false">G214-F214+1</f>
        <v>365</v>
      </c>
      <c r="M214" s="127"/>
      <c r="N214" s="132"/>
      <c r="O214" s="132"/>
      <c r="P214" s="132"/>
      <c r="Q214" s="133" t="n">
        <f aca="false">I214/12</f>
        <v>6883.33333333333</v>
      </c>
      <c r="R214" s="127" t="n">
        <f aca="false">$R$2-F214+1</f>
        <v>15</v>
      </c>
      <c r="S214" s="134" t="n">
        <f aca="false">R214*I214/L214</f>
        <v>3394.52054794521</v>
      </c>
      <c r="T214" s="133" t="n">
        <f aca="false">I214/12</f>
        <v>6883.33333333333</v>
      </c>
      <c r="U214" s="132" t="n">
        <f aca="false">IF(F215&lt;$U$2,31,$U$2-F215)</f>
        <v>31</v>
      </c>
      <c r="V214" s="131" t="n">
        <f aca="false">I214*U214/L214</f>
        <v>7015.34246575342</v>
      </c>
      <c r="W214" s="135" t="n">
        <f aca="false">IF(F214&lt;$W$2,31,$W$2-F214)</f>
        <v>31</v>
      </c>
      <c r="X214" s="132" t="n">
        <f aca="false">I214/12</f>
        <v>6883.33333333333</v>
      </c>
      <c r="Y214" s="131" t="n">
        <f aca="false">I214*W214/L214</f>
        <v>7015.34246575342</v>
      </c>
      <c r="Z214" s="135" t="n">
        <f aca="false">IF(F214&lt;$Z$2,30,$Z$2-I214)</f>
        <v>30</v>
      </c>
      <c r="AA214" s="134" t="n">
        <f aca="false">I214/12</f>
        <v>6883.33333333333</v>
      </c>
      <c r="AB214" s="134" t="n">
        <f aca="false">I214*Z214/L214</f>
        <v>6789.04109589041</v>
      </c>
      <c r="AC214" s="143"/>
      <c r="AD214" s="144"/>
      <c r="AE214" s="144"/>
    </row>
    <row r="215" s="137" customFormat="true" ht="15.75" hidden="false" customHeight="true" outlineLevel="0" collapsed="false">
      <c r="A215" s="127"/>
      <c r="B215" s="162" t="n">
        <v>45809</v>
      </c>
      <c r="C215" s="127" t="s">
        <v>549</v>
      </c>
      <c r="D215" s="127" t="s">
        <v>550</v>
      </c>
      <c r="E215" s="128"/>
      <c r="F215" s="148" t="n">
        <v>45821</v>
      </c>
      <c r="G215" s="148" t="n">
        <v>45850</v>
      </c>
      <c r="H215" s="142" t="s">
        <v>19</v>
      </c>
      <c r="I215" s="131" t="n">
        <v>9440</v>
      </c>
      <c r="J215" s="127"/>
      <c r="K215" s="132"/>
      <c r="L215" s="127" t="n">
        <f aca="false">G215-F215+1</f>
        <v>30</v>
      </c>
      <c r="M215" s="127"/>
      <c r="N215" s="132"/>
      <c r="O215" s="132"/>
      <c r="P215" s="132"/>
      <c r="Q215" s="133" t="n">
        <f aca="false">I215</f>
        <v>9440</v>
      </c>
      <c r="R215" s="127" t="n">
        <f aca="false">$R$2-F215+1</f>
        <v>18</v>
      </c>
      <c r="S215" s="134" t="n">
        <f aca="false">R215*I215/L215</f>
        <v>5664</v>
      </c>
      <c r="T215" s="127"/>
      <c r="U215" s="132" t="n">
        <f aca="false">G215-$R$2</f>
        <v>12</v>
      </c>
      <c r="V215" s="132" t="n">
        <f aca="false">U215*I215/L215</f>
        <v>3776</v>
      </c>
      <c r="W215" s="135" t="n">
        <v>0</v>
      </c>
      <c r="X215" s="132" t="n">
        <v>0</v>
      </c>
      <c r="Y215" s="127" t="n">
        <v>0</v>
      </c>
      <c r="Z215" s="127"/>
      <c r="AA215" s="127"/>
      <c r="AB215" s="127"/>
      <c r="AC215" s="136"/>
      <c r="AD215" s="136"/>
      <c r="AE215" s="136"/>
    </row>
    <row r="216" customFormat="false" ht="15.75" hidden="false" customHeight="true" outlineLevel="0" collapsed="false">
      <c r="A216" s="128"/>
      <c r="B216" s="163" t="n">
        <v>45809</v>
      </c>
      <c r="C216" s="128" t="s">
        <v>551</v>
      </c>
      <c r="D216" s="128" t="s">
        <v>552</v>
      </c>
      <c r="E216" s="128"/>
      <c r="F216" s="154" t="n">
        <v>45823</v>
      </c>
      <c r="G216" s="154" t="n">
        <v>46005</v>
      </c>
      <c r="H216" s="145" t="s">
        <v>29</v>
      </c>
      <c r="I216" s="131" t="n">
        <v>42480</v>
      </c>
      <c r="J216" s="128"/>
      <c r="K216" s="132"/>
      <c r="L216" s="127" t="n">
        <f aca="false">G216-F216+1</f>
        <v>183</v>
      </c>
      <c r="M216" s="128"/>
      <c r="N216" s="132"/>
      <c r="O216" s="132"/>
      <c r="P216" s="132"/>
      <c r="Q216" s="146" t="n">
        <f aca="false">I216/6</f>
        <v>7080</v>
      </c>
      <c r="R216" s="128" t="n">
        <f aca="false">$R$2-F216+1</f>
        <v>16</v>
      </c>
      <c r="S216" s="147" t="n">
        <f aca="false">R216*I216/L216</f>
        <v>3714.09836065574</v>
      </c>
      <c r="T216" s="146" t="n">
        <f aca="false">I216/6</f>
        <v>7080</v>
      </c>
      <c r="U216" s="132" t="n">
        <f aca="false">IF(F217&lt;$U$2,31,$U$2-F217)</f>
        <v>31</v>
      </c>
      <c r="V216" s="131" t="n">
        <f aca="false">I216*U216/L216</f>
        <v>7196.06557377049</v>
      </c>
      <c r="W216" s="141" t="n">
        <f aca="false">IF(F216&lt;$W$2,31,$W$2-F216)</f>
        <v>31</v>
      </c>
      <c r="X216" s="132" t="n">
        <f aca="false">I216/6</f>
        <v>7080</v>
      </c>
      <c r="Y216" s="131" t="n">
        <f aca="false">I216*W216/L216</f>
        <v>7196.06557377049</v>
      </c>
      <c r="Z216" s="141" t="n">
        <f aca="false">IF(F216&lt;$Z$2,30,$Z$2-I216)</f>
        <v>30</v>
      </c>
      <c r="AA216" s="147" t="n">
        <f aca="false">I216/6</f>
        <v>7080</v>
      </c>
      <c r="AB216" s="147" t="n">
        <f aca="false">Z216*I216/L216</f>
        <v>6963.93442622951</v>
      </c>
      <c r="AC216" s="143"/>
      <c r="AD216" s="144"/>
      <c r="AE216" s="144"/>
    </row>
    <row r="217" s="137" customFormat="true" ht="15.75" hidden="false" customHeight="true" outlineLevel="0" collapsed="false">
      <c r="A217" s="127"/>
      <c r="B217" s="162" t="n">
        <v>45809</v>
      </c>
      <c r="C217" s="127" t="s">
        <v>181</v>
      </c>
      <c r="D217" s="127" t="s">
        <v>553</v>
      </c>
      <c r="E217" s="128"/>
      <c r="F217" s="148" t="n">
        <v>45825</v>
      </c>
      <c r="G217" s="148" t="n">
        <v>46189</v>
      </c>
      <c r="H217" s="127" t="s">
        <v>9</v>
      </c>
      <c r="I217" s="131" t="n">
        <v>127440</v>
      </c>
      <c r="J217" s="127"/>
      <c r="K217" s="132"/>
      <c r="L217" s="127" t="n">
        <f aca="false">G217-F217+1</f>
        <v>365</v>
      </c>
      <c r="M217" s="127"/>
      <c r="N217" s="132"/>
      <c r="O217" s="132"/>
      <c r="P217" s="132"/>
      <c r="Q217" s="133" t="n">
        <f aca="false">I217/12</f>
        <v>10620</v>
      </c>
      <c r="R217" s="127" t="n">
        <f aca="false">$R$2-F217+1</f>
        <v>14</v>
      </c>
      <c r="S217" s="134" t="n">
        <f aca="false">R217*I217/L217</f>
        <v>4888.1095890411</v>
      </c>
      <c r="T217" s="133" t="n">
        <f aca="false">I217/12</f>
        <v>10620</v>
      </c>
      <c r="U217" s="132" t="n">
        <f aca="false">IF(F218&lt;$U$2,31,$U$2-F218)</f>
        <v>31</v>
      </c>
      <c r="V217" s="131" t="n">
        <f aca="false">I217*U217/L217</f>
        <v>10823.6712328767</v>
      </c>
      <c r="W217" s="135" t="n">
        <f aca="false">IF(F217&lt;$W$2,31,$W$2-F217)</f>
        <v>31</v>
      </c>
      <c r="X217" s="132" t="n">
        <f aca="false">I217/12</f>
        <v>10620</v>
      </c>
      <c r="Y217" s="131" t="n">
        <f aca="false">I217*W217/L217</f>
        <v>10823.6712328767</v>
      </c>
      <c r="Z217" s="135" t="n">
        <f aca="false">IF(F217&lt;$Z$2,30,$Z$2-I217)</f>
        <v>30</v>
      </c>
      <c r="AA217" s="134" t="n">
        <f aca="false">I217/12</f>
        <v>10620</v>
      </c>
      <c r="AB217" s="134" t="n">
        <f aca="false">I217*Z217/L217</f>
        <v>10474.5205479452</v>
      </c>
      <c r="AC217" s="143"/>
      <c r="AD217" s="144"/>
      <c r="AE217" s="144"/>
    </row>
    <row r="218" customFormat="false" ht="15.75" hidden="false" customHeight="true" outlineLevel="0" collapsed="false">
      <c r="A218" s="128"/>
      <c r="B218" s="163" t="n">
        <v>45809</v>
      </c>
      <c r="C218" s="128" t="s">
        <v>554</v>
      </c>
      <c r="D218" s="128" t="s">
        <v>555</v>
      </c>
      <c r="E218" s="128"/>
      <c r="F218" s="154" t="n">
        <v>45825</v>
      </c>
      <c r="G218" s="154" t="n">
        <v>46189</v>
      </c>
      <c r="H218" s="128" t="s">
        <v>9</v>
      </c>
      <c r="I218" s="131" t="n">
        <v>241900</v>
      </c>
      <c r="J218" s="128"/>
      <c r="K218" s="132"/>
      <c r="L218" s="127" t="n">
        <f aca="false">G218-F218+1</f>
        <v>365</v>
      </c>
      <c r="M218" s="128"/>
      <c r="N218" s="132"/>
      <c r="O218" s="132"/>
      <c r="P218" s="132"/>
      <c r="Q218" s="146" t="n">
        <f aca="false">I218/12</f>
        <v>20158.3333333333</v>
      </c>
      <c r="R218" s="128" t="n">
        <f aca="false">$R$2-F218+1</f>
        <v>14</v>
      </c>
      <c r="S218" s="147" t="n">
        <f aca="false">R218*I218/L218</f>
        <v>9278.35616438356</v>
      </c>
      <c r="T218" s="146" t="n">
        <f aca="false">I218/12</f>
        <v>20158.3333333333</v>
      </c>
      <c r="U218" s="132" t="n">
        <f aca="false">IF(F219&lt;$U$2,31,$U$2-F219)</f>
        <v>31</v>
      </c>
      <c r="V218" s="131" t="n">
        <f aca="false">I218*U218/L218</f>
        <v>20544.9315068493</v>
      </c>
      <c r="W218" s="141" t="n">
        <f aca="false">IF(F218&lt;$W$2,31,$W$2-F218)</f>
        <v>31</v>
      </c>
      <c r="X218" s="132" t="n">
        <f aca="false">I218/12</f>
        <v>20158.3333333333</v>
      </c>
      <c r="Y218" s="131" t="n">
        <f aca="false">I218*W218/L218</f>
        <v>20544.9315068493</v>
      </c>
      <c r="Z218" s="141" t="n">
        <f aca="false">IF(F218&lt;$Z$2,30,$Z$2-I218)</f>
        <v>30</v>
      </c>
      <c r="AA218" s="147" t="n">
        <f aca="false">I218/12</f>
        <v>20158.3333333333</v>
      </c>
      <c r="AB218" s="147" t="n">
        <f aca="false">I218*Z218/L218</f>
        <v>19882.1917808219</v>
      </c>
      <c r="AC218" s="143"/>
      <c r="AD218" s="144"/>
      <c r="AE218" s="144"/>
    </row>
    <row r="219" customFormat="false" ht="15.75" hidden="false" customHeight="true" outlineLevel="0" collapsed="false">
      <c r="A219" s="128"/>
      <c r="B219" s="163" t="n">
        <v>45809</v>
      </c>
      <c r="C219" s="128" t="s">
        <v>556</v>
      </c>
      <c r="D219" s="128" t="s">
        <v>557</v>
      </c>
      <c r="E219" s="128"/>
      <c r="F219" s="154" t="n">
        <v>45826</v>
      </c>
      <c r="G219" s="154" t="n">
        <v>45855</v>
      </c>
      <c r="H219" s="145" t="s">
        <v>19</v>
      </c>
      <c r="I219" s="131" t="n">
        <v>8260</v>
      </c>
      <c r="J219" s="128"/>
      <c r="K219" s="132"/>
      <c r="L219" s="127" t="n">
        <f aca="false">G219-F219+1</f>
        <v>30</v>
      </c>
      <c r="M219" s="128"/>
      <c r="N219" s="132"/>
      <c r="O219" s="132"/>
      <c r="P219" s="132"/>
      <c r="Q219" s="146" t="n">
        <f aca="false">I219</f>
        <v>8260</v>
      </c>
      <c r="R219" s="128" t="n">
        <f aca="false">$R$2-F219+1</f>
        <v>13</v>
      </c>
      <c r="S219" s="147" t="n">
        <f aca="false">R219*I219/L219</f>
        <v>3579.33333333333</v>
      </c>
      <c r="T219" s="128"/>
      <c r="U219" s="132" t="n">
        <f aca="false">G219-$R$2</f>
        <v>17</v>
      </c>
      <c r="V219" s="132" t="n">
        <f aca="false">U219*I219/L219</f>
        <v>4680.66666666667</v>
      </c>
      <c r="W219" s="141" t="n">
        <v>0</v>
      </c>
      <c r="X219" s="132" t="n">
        <v>0</v>
      </c>
      <c r="Y219" s="128" t="n">
        <v>0</v>
      </c>
      <c r="Z219" s="128"/>
      <c r="AA219" s="128"/>
      <c r="AB219" s="128"/>
      <c r="AC219" s="136"/>
      <c r="AD219" s="136"/>
      <c r="AE219" s="136"/>
    </row>
    <row r="220" s="137" customFormat="true" ht="15.75" hidden="false" customHeight="true" outlineLevel="0" collapsed="false">
      <c r="A220" s="127"/>
      <c r="B220" s="162" t="s">
        <v>558</v>
      </c>
      <c r="C220" s="127" t="s">
        <v>322</v>
      </c>
      <c r="D220" s="127" t="s">
        <v>559</v>
      </c>
      <c r="E220" s="128"/>
      <c r="F220" s="148" t="n">
        <v>45831</v>
      </c>
      <c r="G220" s="148" t="n">
        <v>46195</v>
      </c>
      <c r="H220" s="164" t="s">
        <v>8</v>
      </c>
      <c r="I220" s="131" t="n">
        <v>594720</v>
      </c>
      <c r="J220" s="127"/>
      <c r="K220" s="132"/>
      <c r="L220" s="127" t="n">
        <f aca="false">G220-F220+1</f>
        <v>365</v>
      </c>
      <c r="M220" s="127"/>
      <c r="N220" s="132"/>
      <c r="O220" s="132"/>
      <c r="P220" s="132"/>
      <c r="Q220" s="134" t="n">
        <f aca="false">I220/12</f>
        <v>49560</v>
      </c>
      <c r="R220" s="127" t="n">
        <f aca="false">$R$2-F220+1</f>
        <v>8</v>
      </c>
      <c r="S220" s="134" t="n">
        <f aca="false">R220*I220/L220</f>
        <v>13034.9589041096</v>
      </c>
      <c r="T220" s="133" t="n">
        <f aca="false">I220/12</f>
        <v>49560</v>
      </c>
      <c r="U220" s="132" t="n">
        <f aca="false">IF(F221&lt;$U$2,31,$U$2-F221)</f>
        <v>31</v>
      </c>
      <c r="V220" s="131" t="n">
        <f aca="false">I220*U220/L220</f>
        <v>50510.4657534247</v>
      </c>
      <c r="W220" s="135" t="n">
        <f aca="false">IF(F220&lt;$W$2,31,$W$2-F220)</f>
        <v>31</v>
      </c>
      <c r="X220" s="132" t="n">
        <f aca="false">I220/12</f>
        <v>49560</v>
      </c>
      <c r="Y220" s="131" t="n">
        <f aca="false">I220*W220/L220</f>
        <v>50510.4657534247</v>
      </c>
      <c r="Z220" s="135" t="n">
        <f aca="false">IF(F220&lt;$Z$2,30,$Z$2-I220)</f>
        <v>30</v>
      </c>
      <c r="AA220" s="134" t="n">
        <f aca="false">I220/12</f>
        <v>49560</v>
      </c>
      <c r="AB220" s="134" t="n">
        <f aca="false">I220*Z220/L220</f>
        <v>48881.095890411</v>
      </c>
      <c r="AC220" s="143"/>
      <c r="AD220" s="144"/>
      <c r="AE220" s="144"/>
    </row>
    <row r="221" s="137" customFormat="true" ht="15.75" hidden="false" customHeight="true" outlineLevel="0" collapsed="false">
      <c r="A221" s="127" t="s">
        <v>560</v>
      </c>
      <c r="B221" s="162" t="s">
        <v>558</v>
      </c>
      <c r="C221" s="127" t="s">
        <v>133</v>
      </c>
      <c r="D221" s="127" t="s">
        <v>561</v>
      </c>
      <c r="E221" s="128"/>
      <c r="F221" s="148" t="n">
        <v>45816</v>
      </c>
      <c r="G221" s="148" t="n">
        <v>46191</v>
      </c>
      <c r="H221" s="164" t="s">
        <v>8</v>
      </c>
      <c r="I221" s="131" t="n">
        <v>84960</v>
      </c>
      <c r="J221" s="127"/>
      <c r="K221" s="132"/>
      <c r="L221" s="127" t="n">
        <f aca="false">G221-F221+1</f>
        <v>376</v>
      </c>
      <c r="M221" s="127"/>
      <c r="N221" s="132"/>
      <c r="O221" s="132"/>
      <c r="P221" s="132"/>
      <c r="Q221" s="134" t="n">
        <f aca="false">I221/12</f>
        <v>7080</v>
      </c>
      <c r="R221" s="127" t="n">
        <f aca="false">$R$2-F221+1</f>
        <v>23</v>
      </c>
      <c r="S221" s="134" t="n">
        <f aca="false">R221*I221/L221</f>
        <v>5197.02127659575</v>
      </c>
      <c r="T221" s="133" t="n">
        <f aca="false">I221/12</f>
        <v>7080</v>
      </c>
      <c r="U221" s="132" t="n">
        <f aca="false">IF(F222&lt;$U$2,31,$U$2-F222)</f>
        <v>31</v>
      </c>
      <c r="V221" s="131" t="n">
        <f aca="false">I221*U221/L221</f>
        <v>7004.68085106383</v>
      </c>
      <c r="W221" s="135" t="n">
        <f aca="false">IF(F221&lt;$W$2,31,$W$2-F221)</f>
        <v>31</v>
      </c>
      <c r="X221" s="132" t="n">
        <f aca="false">I221/12</f>
        <v>7080</v>
      </c>
      <c r="Y221" s="131" t="n">
        <f aca="false">I221*W221/L221</f>
        <v>7004.68085106383</v>
      </c>
      <c r="Z221" s="135" t="n">
        <f aca="false">IF(F221&lt;$Z$2,30,$Z$2-I221)</f>
        <v>30</v>
      </c>
      <c r="AA221" s="134" t="n">
        <f aca="false">I221/12</f>
        <v>7080</v>
      </c>
      <c r="AB221" s="134" t="n">
        <f aca="false">I221*Z221/L221</f>
        <v>6778.72340425532</v>
      </c>
      <c r="AC221" s="143"/>
      <c r="AD221" s="144"/>
      <c r="AE221" s="144"/>
    </row>
    <row r="222" s="137" customFormat="true" ht="15.75" hidden="false" customHeight="true" outlineLevel="0" collapsed="false">
      <c r="A222" s="127"/>
      <c r="B222" s="162" t="s">
        <v>562</v>
      </c>
      <c r="C222" s="127" t="s">
        <v>563</v>
      </c>
      <c r="D222" s="127" t="s">
        <v>564</v>
      </c>
      <c r="E222" s="128"/>
      <c r="F222" s="148" t="n">
        <v>45857</v>
      </c>
      <c r="G222" s="148" t="n">
        <v>46191</v>
      </c>
      <c r="H222" s="156" t="s">
        <v>38</v>
      </c>
      <c r="I222" s="131" t="n">
        <f aca="false">7080*11</f>
        <v>77880</v>
      </c>
      <c r="J222" s="127"/>
      <c r="K222" s="132"/>
      <c r="L222" s="127" t="n">
        <f aca="false">G222-F222+1</f>
        <v>335</v>
      </c>
      <c r="M222" s="127"/>
      <c r="N222" s="132"/>
      <c r="O222" s="132"/>
      <c r="P222" s="132"/>
      <c r="Q222" s="133" t="n">
        <v>0</v>
      </c>
      <c r="R222" s="127" t="n">
        <v>0</v>
      </c>
      <c r="S222" s="134" t="n">
        <f aca="false">R222*I222/L222</f>
        <v>0</v>
      </c>
      <c r="T222" s="133" t="n">
        <f aca="false">I222/11</f>
        <v>7080</v>
      </c>
      <c r="U222" s="132" t="n">
        <f aca="false">IF(F223&lt;$U$2,31,$U$2-F223)</f>
        <v>31</v>
      </c>
      <c r="V222" s="131" t="n">
        <f aca="false">I222*U222/L222</f>
        <v>7206.80597014925</v>
      </c>
      <c r="W222" s="135" t="n">
        <f aca="false">IF(F222&lt;$W$2,31,$W$2-F222)</f>
        <v>31</v>
      </c>
      <c r="X222" s="132" t="n">
        <f aca="false">I222/11</f>
        <v>7080</v>
      </c>
      <c r="Y222" s="131" t="n">
        <f aca="false">I222*W222/L222</f>
        <v>7206.80597014925</v>
      </c>
      <c r="Z222" s="135" t="n">
        <f aca="false">IF(F222&lt;$Z$2,30,$Z$2-I222)</f>
        <v>30</v>
      </c>
      <c r="AA222" s="134" t="n">
        <f aca="false">I222/11</f>
        <v>7080</v>
      </c>
      <c r="AB222" s="134" t="n">
        <f aca="false">Z222*I222/L222</f>
        <v>6974.32835820896</v>
      </c>
      <c r="AC222" s="143"/>
      <c r="AD222" s="144"/>
      <c r="AE222" s="144"/>
    </row>
    <row r="223" customFormat="false" ht="15.75" hidden="false" customHeight="true" outlineLevel="0" collapsed="false">
      <c r="A223" s="128"/>
      <c r="B223" s="163" t="s">
        <v>565</v>
      </c>
      <c r="C223" s="128" t="s">
        <v>566</v>
      </c>
      <c r="D223" s="128" t="s">
        <v>567</v>
      </c>
      <c r="E223" s="128"/>
      <c r="F223" s="154" t="n">
        <v>45827</v>
      </c>
      <c r="G223" s="154" t="n">
        <v>46191</v>
      </c>
      <c r="H223" s="145" t="s">
        <v>10</v>
      </c>
      <c r="I223" s="131" t="n">
        <v>70800</v>
      </c>
      <c r="J223" s="128"/>
      <c r="K223" s="132"/>
      <c r="L223" s="127" t="n">
        <f aca="false">G223-F223+1</f>
        <v>365</v>
      </c>
      <c r="M223" s="128"/>
      <c r="N223" s="132"/>
      <c r="O223" s="132"/>
      <c r="P223" s="132"/>
      <c r="Q223" s="146" t="n">
        <f aca="false">I223/12</f>
        <v>5900</v>
      </c>
      <c r="R223" s="128" t="n">
        <f aca="false">$R$2-F223+1</f>
        <v>12</v>
      </c>
      <c r="S223" s="147" t="n">
        <f aca="false">R223*I223/L223</f>
        <v>2327.67123287671</v>
      </c>
      <c r="T223" s="146" t="n">
        <f aca="false">I223/12</f>
        <v>5900</v>
      </c>
      <c r="U223" s="132" t="n">
        <f aca="false">IF(F224&lt;$U$2,31,$U$2-F224)</f>
        <v>31</v>
      </c>
      <c r="V223" s="131" t="n">
        <f aca="false">I223*U223/L223</f>
        <v>6013.15068493151</v>
      </c>
      <c r="W223" s="141" t="n">
        <f aca="false">IF(F223&lt;$W$2,31,$W$2-F223)</f>
        <v>31</v>
      </c>
      <c r="X223" s="132" t="n">
        <f aca="false">I223/12</f>
        <v>5900</v>
      </c>
      <c r="Y223" s="131" t="n">
        <f aca="false">I223*W223/L223</f>
        <v>6013.15068493151</v>
      </c>
      <c r="Z223" s="141" t="n">
        <f aca="false">IF(F223&lt;$Z$2,30,$Z$2-I223)</f>
        <v>30</v>
      </c>
      <c r="AA223" s="147" t="n">
        <f aca="false">I223/12</f>
        <v>5900</v>
      </c>
      <c r="AB223" s="147" t="n">
        <f aca="false">I223*Z223/L223</f>
        <v>5819.17808219178</v>
      </c>
      <c r="AC223" s="143"/>
      <c r="AD223" s="144"/>
      <c r="AE223" s="144"/>
    </row>
    <row r="224" s="137" customFormat="true" ht="15.75" hidden="false" customHeight="true" outlineLevel="0" collapsed="false">
      <c r="A224" s="127"/>
      <c r="B224" s="162" t="n">
        <v>45809</v>
      </c>
      <c r="C224" s="127" t="s">
        <v>311</v>
      </c>
      <c r="D224" s="127" t="s">
        <v>568</v>
      </c>
      <c r="E224" s="128"/>
      <c r="F224" s="148" t="n">
        <v>45789</v>
      </c>
      <c r="G224" s="148" t="n">
        <v>46153</v>
      </c>
      <c r="H224" s="127" t="s">
        <v>9</v>
      </c>
      <c r="I224" s="131" t="n">
        <v>191160</v>
      </c>
      <c r="J224" s="127"/>
      <c r="K224" s="132" t="n">
        <f aca="false">I224/12</f>
        <v>15930</v>
      </c>
      <c r="L224" s="127" t="n">
        <f aca="false">G224-F224+1</f>
        <v>365</v>
      </c>
      <c r="M224" s="127"/>
      <c r="N224" s="132"/>
      <c r="O224" s="132" t="n">
        <f aca="false">$O$1-F224</f>
        <v>19</v>
      </c>
      <c r="P224" s="132" t="n">
        <f aca="false">I224*O224/L224</f>
        <v>9950.79452054795</v>
      </c>
      <c r="Q224" s="133" t="n">
        <f aca="false">I224/12</f>
        <v>15930</v>
      </c>
      <c r="R224" s="127" t="n">
        <f aca="false">IF(F224&lt;$R$2,30,$R$2-F224)</f>
        <v>30</v>
      </c>
      <c r="S224" s="133" t="n">
        <f aca="false">R224*I224/L224</f>
        <v>15711.7808219178</v>
      </c>
      <c r="T224" s="133" t="n">
        <f aca="false">I224/12</f>
        <v>15930</v>
      </c>
      <c r="U224" s="132" t="n">
        <f aca="false">IF(F225&lt;$U$2,31,$U$2-F225)</f>
        <v>31</v>
      </c>
      <c r="V224" s="131" t="n">
        <f aca="false">I224*U224/L224</f>
        <v>16235.5068493151</v>
      </c>
      <c r="W224" s="135" t="n">
        <f aca="false">IF(F224&lt;$W$2,31,$W$2-F224)</f>
        <v>31</v>
      </c>
      <c r="X224" s="132" t="n">
        <f aca="false">I224/12</f>
        <v>15930</v>
      </c>
      <c r="Y224" s="131" t="n">
        <f aca="false">I224*W224/L224</f>
        <v>16235.5068493151</v>
      </c>
      <c r="Z224" s="135" t="n">
        <f aca="false">IF(F224&lt;$Z$2,30,$Z$2-I224)</f>
        <v>30</v>
      </c>
      <c r="AA224" s="134" t="n">
        <f aca="false">I224/12</f>
        <v>15930</v>
      </c>
      <c r="AB224" s="134" t="n">
        <f aca="false">I224*Z224/L224</f>
        <v>15711.7808219178</v>
      </c>
      <c r="AC224" s="143"/>
      <c r="AD224" s="144"/>
      <c r="AE224" s="144"/>
    </row>
    <row r="225" customFormat="false" ht="15.75" hidden="false" customHeight="true" outlineLevel="0" collapsed="false">
      <c r="A225" s="128"/>
      <c r="B225" s="163" t="n">
        <v>45809</v>
      </c>
      <c r="C225" s="128" t="s">
        <v>569</v>
      </c>
      <c r="D225" s="128" t="s">
        <v>570</v>
      </c>
      <c r="E225" s="128"/>
      <c r="F225" s="154" t="n">
        <v>45829</v>
      </c>
      <c r="G225" s="154" t="n">
        <v>46194</v>
      </c>
      <c r="H225" s="128" t="s">
        <v>9</v>
      </c>
      <c r="I225" s="131" t="n">
        <v>66080</v>
      </c>
      <c r="J225" s="128"/>
      <c r="K225" s="132"/>
      <c r="L225" s="127" t="n">
        <f aca="false">G225-F225+1</f>
        <v>366</v>
      </c>
      <c r="M225" s="128"/>
      <c r="N225" s="132"/>
      <c r="O225" s="132"/>
      <c r="P225" s="132"/>
      <c r="Q225" s="146" t="n">
        <f aca="false">I225/12</f>
        <v>5506.66666666667</v>
      </c>
      <c r="R225" s="128" t="n">
        <f aca="false">$R$2-F225+1</f>
        <v>10</v>
      </c>
      <c r="S225" s="147" t="n">
        <f aca="false">R225*I225/L225</f>
        <v>1805.46448087432</v>
      </c>
      <c r="T225" s="146" t="n">
        <f aca="false">I225/12</f>
        <v>5506.66666666667</v>
      </c>
      <c r="U225" s="132" t="n">
        <f aca="false">IF(F226&lt;$U$2,31,$U$2-F226)</f>
        <v>31</v>
      </c>
      <c r="V225" s="131" t="n">
        <f aca="false">I225*U225/L225</f>
        <v>5596.93989071038</v>
      </c>
      <c r="W225" s="141" t="n">
        <f aca="false">IF(F225&lt;$W$2,31,$W$2-F225)</f>
        <v>31</v>
      </c>
      <c r="X225" s="132" t="n">
        <f aca="false">I225/12</f>
        <v>5506.66666666667</v>
      </c>
      <c r="Y225" s="131" t="n">
        <f aca="false">I225*W225/L225</f>
        <v>5596.93989071038</v>
      </c>
      <c r="Z225" s="141" t="n">
        <f aca="false">IF(F225&lt;$Z$2,30,$Z$2-I225)</f>
        <v>30</v>
      </c>
      <c r="AA225" s="147" t="n">
        <f aca="false">I225/12</f>
        <v>5506.66666666667</v>
      </c>
      <c r="AB225" s="147" t="n">
        <f aca="false">I225*Z225/L225</f>
        <v>5416.39344262295</v>
      </c>
      <c r="AC225" s="143"/>
      <c r="AD225" s="144"/>
      <c r="AE225" s="144"/>
    </row>
    <row r="226" customFormat="false" ht="15.75" hidden="false" customHeight="true" outlineLevel="0" collapsed="false">
      <c r="A226" s="128"/>
      <c r="B226" s="163" t="n">
        <v>45809</v>
      </c>
      <c r="C226" s="128" t="s">
        <v>571</v>
      </c>
      <c r="D226" s="128" t="s">
        <v>572</v>
      </c>
      <c r="E226" s="128"/>
      <c r="F226" s="154" t="n">
        <v>45832</v>
      </c>
      <c r="G226" s="154" t="n">
        <v>46014</v>
      </c>
      <c r="H226" s="145" t="s">
        <v>29</v>
      </c>
      <c r="I226" s="131" t="n">
        <v>41300</v>
      </c>
      <c r="J226" s="128"/>
      <c r="K226" s="132"/>
      <c r="L226" s="127" t="n">
        <f aca="false">G226-F226+1</f>
        <v>183</v>
      </c>
      <c r="M226" s="128"/>
      <c r="N226" s="132"/>
      <c r="O226" s="132"/>
      <c r="P226" s="132"/>
      <c r="Q226" s="146" t="n">
        <f aca="false">I226/6</f>
        <v>6883.33333333333</v>
      </c>
      <c r="R226" s="128" t="n">
        <f aca="false">$R$2-F226+1</f>
        <v>7</v>
      </c>
      <c r="S226" s="147" t="n">
        <f aca="false">R226*I226/L226</f>
        <v>1579.78142076503</v>
      </c>
      <c r="T226" s="146" t="n">
        <f aca="false">I226/6</f>
        <v>6883.33333333333</v>
      </c>
      <c r="U226" s="132" t="n">
        <f aca="false">IF(F227&lt;$U$2,31,$U$2-F227)</f>
        <v>31</v>
      </c>
      <c r="V226" s="131" t="n">
        <f aca="false">I226*U226/L226</f>
        <v>6996.17486338798</v>
      </c>
      <c r="W226" s="141" t="n">
        <f aca="false">IF(F226&lt;$W$2,31,$W$2-F226)</f>
        <v>31</v>
      </c>
      <c r="X226" s="132" t="n">
        <f aca="false">I226/6</f>
        <v>6883.33333333333</v>
      </c>
      <c r="Y226" s="131" t="n">
        <f aca="false">I226*W226/L226</f>
        <v>6996.17486338798</v>
      </c>
      <c r="Z226" s="141" t="n">
        <f aca="false">IF(F226&lt;$Z$2,30,$Z$2-I226)</f>
        <v>30</v>
      </c>
      <c r="AA226" s="147" t="n">
        <f aca="false">I226/6</f>
        <v>6883.33333333333</v>
      </c>
      <c r="AB226" s="147" t="n">
        <f aca="false">Z226*I226/L226</f>
        <v>6770.49180327869</v>
      </c>
      <c r="AC226" s="143"/>
      <c r="AD226" s="144"/>
      <c r="AE226" s="144"/>
    </row>
    <row r="227" s="137" customFormat="true" ht="15.75" hidden="false" customHeight="true" outlineLevel="0" collapsed="false">
      <c r="A227" s="127"/>
      <c r="B227" s="162" t="n">
        <v>45809</v>
      </c>
      <c r="C227" s="127" t="s">
        <v>573</v>
      </c>
      <c r="D227" s="127" t="s">
        <v>574</v>
      </c>
      <c r="E227" s="128"/>
      <c r="F227" s="148" t="n">
        <v>45839</v>
      </c>
      <c r="G227" s="148" t="n">
        <v>45869</v>
      </c>
      <c r="H227" s="142" t="s">
        <v>19</v>
      </c>
      <c r="I227" s="131" t="n">
        <v>47200</v>
      </c>
      <c r="J227" s="127"/>
      <c r="K227" s="132"/>
      <c r="L227" s="127" t="n">
        <f aca="false">G227-F227+1</f>
        <v>31</v>
      </c>
      <c r="M227" s="127"/>
      <c r="N227" s="132"/>
      <c r="O227" s="132"/>
      <c r="P227" s="132"/>
      <c r="Q227" s="127"/>
      <c r="R227" s="127" t="n">
        <f aca="false">$R$2-F227+1</f>
        <v>0</v>
      </c>
      <c r="S227" s="127"/>
      <c r="T227" s="133" t="n">
        <f aca="false">I227/1</f>
        <v>47200</v>
      </c>
      <c r="U227" s="132" t="n">
        <f aca="false">G227-$R$2</f>
        <v>31</v>
      </c>
      <c r="V227" s="132" t="n">
        <f aca="false">U227*I227/L227</f>
        <v>47200</v>
      </c>
      <c r="W227" s="135" t="n">
        <v>0</v>
      </c>
      <c r="X227" s="132" t="n">
        <v>0</v>
      </c>
      <c r="Y227" s="127" t="n">
        <v>0</v>
      </c>
      <c r="Z227" s="127"/>
      <c r="AA227" s="127"/>
      <c r="AB227" s="127"/>
      <c r="AC227" s="136"/>
      <c r="AD227" s="136"/>
      <c r="AE227" s="136"/>
    </row>
    <row r="228" s="137" customFormat="true" ht="15.75" hidden="false" customHeight="true" outlineLevel="0" collapsed="false">
      <c r="A228" s="127"/>
      <c r="B228" s="162" t="n">
        <v>45809</v>
      </c>
      <c r="C228" s="127" t="s">
        <v>575</v>
      </c>
      <c r="D228" s="127" t="s">
        <v>576</v>
      </c>
      <c r="E228" s="128"/>
      <c r="F228" s="148" t="n">
        <v>45835</v>
      </c>
      <c r="G228" s="148" t="n">
        <v>45926</v>
      </c>
      <c r="H228" s="130" t="s">
        <v>24</v>
      </c>
      <c r="I228" s="131" t="n">
        <v>63720</v>
      </c>
      <c r="J228" s="127"/>
      <c r="K228" s="132"/>
      <c r="L228" s="127" t="n">
        <f aca="false">G228-F228+1</f>
        <v>92</v>
      </c>
      <c r="M228" s="127"/>
      <c r="N228" s="132"/>
      <c r="O228" s="132"/>
      <c r="P228" s="132"/>
      <c r="Q228" s="127" t="n">
        <f aca="false">I228/3</f>
        <v>21240</v>
      </c>
      <c r="R228" s="127" t="n">
        <f aca="false">$R$2-F228+1</f>
        <v>4</v>
      </c>
      <c r="S228" s="134" t="n">
        <f aca="false">R228*I228/L228</f>
        <v>2770.4347826087</v>
      </c>
      <c r="T228" s="134" t="n">
        <f aca="false">I228/3</f>
        <v>21240</v>
      </c>
      <c r="U228" s="132" t="n">
        <f aca="false">IF(F229&lt;$U$2,31,$U$2-F229)</f>
        <v>31</v>
      </c>
      <c r="V228" s="131" t="n">
        <f aca="false">I228*U228/L228</f>
        <v>21470.8695652174</v>
      </c>
      <c r="W228" s="135" t="n">
        <f aca="false">IF(F228&lt;$W$2,31,$W$2-F228)</f>
        <v>31</v>
      </c>
      <c r="X228" s="132" t="n">
        <f aca="false">I228/3</f>
        <v>21240</v>
      </c>
      <c r="Y228" s="131" t="n">
        <f aca="false">I228*W228/L228</f>
        <v>21470.8695652174</v>
      </c>
      <c r="Z228" s="127" t="n">
        <f aca="false">G228-$W$2</f>
        <v>26</v>
      </c>
      <c r="AA228" s="127"/>
      <c r="AB228" s="134" t="n">
        <f aca="false">Z228*I228/L228</f>
        <v>18007.8260869565</v>
      </c>
      <c r="AC228" s="136"/>
      <c r="AD228" s="136"/>
      <c r="AE228" s="136"/>
    </row>
    <row r="229" s="137" customFormat="true" ht="15.75" hidden="false" customHeight="true" outlineLevel="0" collapsed="false">
      <c r="A229" s="127"/>
      <c r="B229" s="162" t="n">
        <v>45809</v>
      </c>
      <c r="C229" s="127" t="s">
        <v>130</v>
      </c>
      <c r="D229" s="127" t="s">
        <v>577</v>
      </c>
      <c r="E229" s="128"/>
      <c r="F229" s="148" t="n">
        <v>45832</v>
      </c>
      <c r="G229" s="148" t="n">
        <v>46196</v>
      </c>
      <c r="H229" s="127" t="s">
        <v>9</v>
      </c>
      <c r="I229" s="131" t="n">
        <v>212400</v>
      </c>
      <c r="J229" s="127"/>
      <c r="K229" s="132"/>
      <c r="L229" s="127" t="n">
        <f aca="false">G229-F229+1</f>
        <v>365</v>
      </c>
      <c r="M229" s="127"/>
      <c r="N229" s="132"/>
      <c r="O229" s="132"/>
      <c r="P229" s="132"/>
      <c r="Q229" s="133" t="n">
        <f aca="false">I229/12</f>
        <v>17700</v>
      </c>
      <c r="R229" s="127" t="n">
        <f aca="false">$R$2-F229+1</f>
        <v>7</v>
      </c>
      <c r="S229" s="134" t="n">
        <f aca="false">R229*I229/L229</f>
        <v>4073.42465753425</v>
      </c>
      <c r="T229" s="133" t="n">
        <f aca="false">I229/12</f>
        <v>17700</v>
      </c>
      <c r="U229" s="132" t="n">
        <f aca="false">IF(F230&lt;$U$2,31,$U$2-F230)</f>
        <v>31</v>
      </c>
      <c r="V229" s="131" t="n">
        <f aca="false">I229*U229/L229</f>
        <v>18039.4520547945</v>
      </c>
      <c r="W229" s="135" t="n">
        <f aca="false">IF(F229&lt;$W$2,31,$W$2-F229)</f>
        <v>31</v>
      </c>
      <c r="X229" s="132" t="n">
        <f aca="false">I229/12</f>
        <v>17700</v>
      </c>
      <c r="Y229" s="131" t="n">
        <f aca="false">I229*W229/L229</f>
        <v>18039.4520547945</v>
      </c>
      <c r="Z229" s="135" t="n">
        <f aca="false">IF(F229&lt;$Z$2,30,$Z$2-I229)</f>
        <v>30</v>
      </c>
      <c r="AA229" s="134" t="n">
        <f aca="false">I229/12</f>
        <v>17700</v>
      </c>
      <c r="AB229" s="134" t="n">
        <f aca="false">I229*Z229/L229</f>
        <v>17457.5342465753</v>
      </c>
      <c r="AC229" s="143"/>
      <c r="AD229" s="144"/>
      <c r="AE229" s="144"/>
    </row>
    <row r="230" customFormat="false" ht="15.75" hidden="false" customHeight="true" outlineLevel="0" collapsed="false">
      <c r="A230" s="128"/>
      <c r="B230" s="163" t="s">
        <v>578</v>
      </c>
      <c r="C230" s="128" t="s">
        <v>579</v>
      </c>
      <c r="D230" s="128" t="s">
        <v>580</v>
      </c>
      <c r="E230" s="128"/>
      <c r="F230" s="154" t="n">
        <v>45838</v>
      </c>
      <c r="G230" s="154" t="n">
        <v>45867</v>
      </c>
      <c r="H230" s="151" t="s">
        <v>19</v>
      </c>
      <c r="I230" s="131" t="n">
        <v>35400</v>
      </c>
      <c r="J230" s="128"/>
      <c r="K230" s="132"/>
      <c r="L230" s="127" t="n">
        <f aca="false">G230-F230+1</f>
        <v>30</v>
      </c>
      <c r="M230" s="128"/>
      <c r="N230" s="132"/>
      <c r="O230" s="132"/>
      <c r="P230" s="132"/>
      <c r="Q230" s="147" t="n">
        <f aca="false">I230</f>
        <v>35400</v>
      </c>
      <c r="R230" s="128" t="n">
        <f aca="false">$R$2-F230+1</f>
        <v>1</v>
      </c>
      <c r="S230" s="147" t="n">
        <f aca="false">R230*I230/L230</f>
        <v>1180</v>
      </c>
      <c r="T230" s="146"/>
      <c r="U230" s="132" t="n">
        <v>29</v>
      </c>
      <c r="V230" s="131" t="n">
        <f aca="false">I230*U230/L230</f>
        <v>34220</v>
      </c>
      <c r="W230" s="141" t="n">
        <v>0</v>
      </c>
      <c r="X230" s="132" t="n">
        <v>0</v>
      </c>
      <c r="Y230" s="128" t="n">
        <v>0</v>
      </c>
      <c r="Z230" s="128" t="s">
        <v>377</v>
      </c>
      <c r="AA230" s="128"/>
      <c r="AB230" s="128"/>
      <c r="AC230" s="136"/>
      <c r="AD230" s="136"/>
      <c r="AE230" s="136"/>
    </row>
    <row r="231" customFormat="false" ht="15.75" hidden="false" customHeight="true" outlineLevel="0" collapsed="false">
      <c r="A231" s="128"/>
      <c r="B231" s="163" t="n">
        <v>45809</v>
      </c>
      <c r="C231" s="128" t="s">
        <v>581</v>
      </c>
      <c r="D231" s="128" t="s">
        <v>582</v>
      </c>
      <c r="E231" s="128"/>
      <c r="F231" s="154" t="n">
        <v>45839</v>
      </c>
      <c r="G231" s="154" t="n">
        <v>46022</v>
      </c>
      <c r="H231" s="145" t="s">
        <v>29</v>
      </c>
      <c r="I231" s="131" t="n">
        <v>41300</v>
      </c>
      <c r="J231" s="128"/>
      <c r="K231" s="132"/>
      <c r="L231" s="127" t="n">
        <f aca="false">G231-F231+1</f>
        <v>184</v>
      </c>
      <c r="M231" s="128"/>
      <c r="N231" s="132"/>
      <c r="O231" s="132"/>
      <c r="P231" s="132"/>
      <c r="Q231" s="146" t="n">
        <v>0</v>
      </c>
      <c r="R231" s="128" t="n">
        <f aca="false">$R$2-F231+1</f>
        <v>0</v>
      </c>
      <c r="S231" s="128"/>
      <c r="T231" s="146" t="n">
        <f aca="false">I231/6</f>
        <v>6883.33333333333</v>
      </c>
      <c r="U231" s="132" t="n">
        <f aca="false">$U$2-F231+1</f>
        <v>31</v>
      </c>
      <c r="V231" s="147" t="n">
        <f aca="false">I231*U231/L231</f>
        <v>6958.15217391304</v>
      </c>
      <c r="W231" s="141" t="n">
        <f aca="false">IF(F231&lt;$W$2,31,$W$2-F231)</f>
        <v>31</v>
      </c>
      <c r="X231" s="132" t="n">
        <f aca="false">I231/6</f>
        <v>6883.33333333333</v>
      </c>
      <c r="Y231" s="131" t="n">
        <f aca="false">I231*W231/L231</f>
        <v>6958.15217391304</v>
      </c>
      <c r="Z231" s="141" t="n">
        <f aca="false">IF(F231&lt;$Z$2,30,$Z$2-I231)</f>
        <v>30</v>
      </c>
      <c r="AA231" s="147" t="n">
        <f aca="false">I231/6</f>
        <v>6883.33333333333</v>
      </c>
      <c r="AB231" s="147" t="n">
        <f aca="false">Z231*I231/L231</f>
        <v>6733.69565217391</v>
      </c>
      <c r="AC231" s="143"/>
      <c r="AD231" s="144"/>
      <c r="AE231" s="144"/>
    </row>
    <row r="232" customFormat="false" ht="15.75" hidden="false" customHeight="true" outlineLevel="0" collapsed="false">
      <c r="A232" s="128"/>
      <c r="B232" s="163" t="n">
        <v>45809</v>
      </c>
      <c r="C232" s="128" t="s">
        <v>583</v>
      </c>
      <c r="D232" s="128" t="s">
        <v>584</v>
      </c>
      <c r="E232" s="128"/>
      <c r="F232" s="154" t="n">
        <v>45838</v>
      </c>
      <c r="G232" s="154" t="n">
        <v>46202</v>
      </c>
      <c r="H232" s="128" t="s">
        <v>9</v>
      </c>
      <c r="I232" s="131" t="n">
        <v>74340</v>
      </c>
      <c r="J232" s="128"/>
      <c r="K232" s="132"/>
      <c r="L232" s="127" t="n">
        <f aca="false">G232-F232+1</f>
        <v>365</v>
      </c>
      <c r="M232" s="128"/>
      <c r="N232" s="132"/>
      <c r="O232" s="132"/>
      <c r="P232" s="132"/>
      <c r="Q232" s="146" t="n">
        <f aca="false">I232/12</f>
        <v>6195</v>
      </c>
      <c r="R232" s="128" t="n">
        <f aca="false">$R$2-F232+1</f>
        <v>1</v>
      </c>
      <c r="S232" s="147" t="n">
        <f aca="false">R232*I232/L232</f>
        <v>203.671232876712</v>
      </c>
      <c r="T232" s="146" t="n">
        <f aca="false">I232/12</f>
        <v>6195</v>
      </c>
      <c r="U232" s="132" t="n">
        <f aca="false">IF(F233&lt;$U$2,31,$U$2-F233)</f>
        <v>31</v>
      </c>
      <c r="V232" s="131" t="n">
        <f aca="false">I232*U232/L232</f>
        <v>6313.80821917808</v>
      </c>
      <c r="W232" s="141" t="n">
        <f aca="false">IF(F232&lt;$W$2,31,$W$2-F232)</f>
        <v>31</v>
      </c>
      <c r="X232" s="132" t="n">
        <f aca="false">I232/12</f>
        <v>6195</v>
      </c>
      <c r="Y232" s="131" t="n">
        <f aca="false">I232*W232/L232</f>
        <v>6313.80821917808</v>
      </c>
      <c r="Z232" s="141" t="n">
        <f aca="false">IF(F232&lt;$Z$2,30,$Z$2-I232)</f>
        <v>30</v>
      </c>
      <c r="AA232" s="147" t="n">
        <f aca="false">I232/12</f>
        <v>6195</v>
      </c>
      <c r="AB232" s="147" t="n">
        <f aca="false">I232*Z232/L232</f>
        <v>6110.13698630137</v>
      </c>
      <c r="AC232" s="143"/>
      <c r="AD232" s="144"/>
      <c r="AE232" s="144"/>
    </row>
    <row r="233" s="137" customFormat="true" ht="15.75" hidden="false" customHeight="true" outlineLevel="0" collapsed="false">
      <c r="A233" s="127"/>
      <c r="B233" s="162" t="n">
        <v>45809</v>
      </c>
      <c r="C233" s="127" t="s">
        <v>152</v>
      </c>
      <c r="D233" s="127" t="s">
        <v>585</v>
      </c>
      <c r="E233" s="128"/>
      <c r="F233" s="148" t="n">
        <v>45836</v>
      </c>
      <c r="G233" s="148" t="n">
        <v>46200</v>
      </c>
      <c r="H233" s="127" t="s">
        <v>9</v>
      </c>
      <c r="I233" s="131" t="n">
        <v>70800</v>
      </c>
      <c r="J233" s="127"/>
      <c r="K233" s="132"/>
      <c r="L233" s="127" t="n">
        <f aca="false">G233-F233+1</f>
        <v>365</v>
      </c>
      <c r="M233" s="127"/>
      <c r="N233" s="132"/>
      <c r="O233" s="132"/>
      <c r="P233" s="132"/>
      <c r="Q233" s="133" t="n">
        <f aca="false">I233/12</f>
        <v>5900</v>
      </c>
      <c r="R233" s="127" t="n">
        <f aca="false">$R$2-F233+1</f>
        <v>3</v>
      </c>
      <c r="S233" s="134" t="n">
        <f aca="false">R233*I233/L233</f>
        <v>581.917808219178</v>
      </c>
      <c r="T233" s="133" t="n">
        <f aca="false">I233/12</f>
        <v>5900</v>
      </c>
      <c r="U233" s="132" t="n">
        <f aca="false">IF(F234&lt;$U$2,31,$U$2-F234)</f>
        <v>31</v>
      </c>
      <c r="V233" s="131" t="n">
        <f aca="false">I233*U233/L233</f>
        <v>6013.15068493151</v>
      </c>
      <c r="W233" s="135" t="n">
        <f aca="false">IF(F233&lt;$W$2,31,$W$2-F233)</f>
        <v>31</v>
      </c>
      <c r="X233" s="132" t="n">
        <f aca="false">I233/12</f>
        <v>5900</v>
      </c>
      <c r="Y233" s="131" t="n">
        <f aca="false">I233*W233/L233</f>
        <v>6013.15068493151</v>
      </c>
      <c r="Z233" s="135" t="n">
        <f aca="false">IF(F233&lt;$Z$2,30,$Z$2-I233)</f>
        <v>30</v>
      </c>
      <c r="AA233" s="134" t="n">
        <f aca="false">I233/12</f>
        <v>5900</v>
      </c>
      <c r="AB233" s="134" t="n">
        <f aca="false">I233*Z233/L233</f>
        <v>5819.17808219178</v>
      </c>
      <c r="AC233" s="143"/>
      <c r="AD233" s="144"/>
      <c r="AE233" s="144"/>
    </row>
    <row r="234" customFormat="false" ht="21.75" hidden="false" customHeight="true" outlineLevel="0" collapsed="false">
      <c r="A234" s="128"/>
      <c r="B234" s="163" t="s">
        <v>586</v>
      </c>
      <c r="C234" s="160" t="s">
        <v>587</v>
      </c>
      <c r="D234" s="128" t="s">
        <v>588</v>
      </c>
      <c r="E234" s="128"/>
      <c r="F234" s="154" t="n">
        <v>45780</v>
      </c>
      <c r="G234" s="154" t="n">
        <v>46144</v>
      </c>
      <c r="H234" s="145" t="s">
        <v>10</v>
      </c>
      <c r="I234" s="165" t="n">
        <f aca="false">11800*1-11800</f>
        <v>0</v>
      </c>
      <c r="J234" s="128"/>
      <c r="K234" s="132" t="n">
        <f aca="false">I234/12</f>
        <v>0</v>
      </c>
      <c r="L234" s="127" t="n">
        <f aca="false">G234-F234+1</f>
        <v>365</v>
      </c>
      <c r="M234" s="128"/>
      <c r="N234" s="132"/>
      <c r="O234" s="132" t="n">
        <f aca="false">$O$1-F234</f>
        <v>28</v>
      </c>
      <c r="P234" s="132" t="n">
        <f aca="false">I234*O234/L234</f>
        <v>0</v>
      </c>
      <c r="Q234" s="146" t="n">
        <f aca="false">I234/12</f>
        <v>0</v>
      </c>
      <c r="R234" s="128" t="n">
        <f aca="false">IF(F234&lt;$R$2,30,$R$2-F234)</f>
        <v>30</v>
      </c>
      <c r="S234" s="146" t="n">
        <f aca="false">R234*I234/L234</f>
        <v>0</v>
      </c>
      <c r="T234" s="146" t="n">
        <f aca="false">I234/12</f>
        <v>0</v>
      </c>
      <c r="U234" s="132" t="n">
        <f aca="false">IF(F235&lt;$U$2,31,$U$2-F235)</f>
        <v>31</v>
      </c>
      <c r="V234" s="131" t="n">
        <f aca="false">I234*U234/L234</f>
        <v>0</v>
      </c>
      <c r="W234" s="141" t="n">
        <f aca="false">IF(F234&lt;$W$2,31,$W$2-F234)</f>
        <v>31</v>
      </c>
      <c r="X234" s="132"/>
      <c r="Y234" s="131" t="n">
        <f aca="false">I234*W234/L234</f>
        <v>0</v>
      </c>
      <c r="Z234" s="141" t="n">
        <f aca="false">IF(F234&lt;$Z$2,30,$Z$2-I234)</f>
        <v>30</v>
      </c>
      <c r="AA234" s="147" t="n">
        <f aca="false">I234/12</f>
        <v>0</v>
      </c>
      <c r="AB234" s="147" t="n">
        <f aca="false">Z234*I234/L234</f>
        <v>0</v>
      </c>
      <c r="AC234" s="143"/>
      <c r="AD234" s="144"/>
      <c r="AE234" s="144"/>
    </row>
    <row r="235" s="137" customFormat="true" ht="15.75" hidden="false" customHeight="true" outlineLevel="0" collapsed="false">
      <c r="A235" s="127"/>
      <c r="B235" s="162" t="s">
        <v>589</v>
      </c>
      <c r="C235" s="127" t="s">
        <v>412</v>
      </c>
      <c r="D235" s="127" t="s">
        <v>590</v>
      </c>
      <c r="E235" s="128"/>
      <c r="F235" s="148" t="n">
        <v>45839</v>
      </c>
      <c r="G235" s="148" t="n">
        <v>46203</v>
      </c>
      <c r="H235" s="164" t="s">
        <v>8</v>
      </c>
      <c r="I235" s="131" t="n">
        <v>566400</v>
      </c>
      <c r="J235" s="127"/>
      <c r="K235" s="132"/>
      <c r="L235" s="127" t="n">
        <f aca="false">G235-F235+1</f>
        <v>365</v>
      </c>
      <c r="M235" s="127"/>
      <c r="N235" s="132"/>
      <c r="O235" s="132"/>
      <c r="P235" s="132"/>
      <c r="Q235" s="127"/>
      <c r="R235" s="127"/>
      <c r="S235" s="127"/>
      <c r="T235" s="133" t="n">
        <f aca="false">I235/12</f>
        <v>47200</v>
      </c>
      <c r="U235" s="132" t="n">
        <f aca="false">$U$2-F235+1</f>
        <v>31</v>
      </c>
      <c r="V235" s="134" t="n">
        <f aca="false">I235*U235/L235</f>
        <v>48105.2054794521</v>
      </c>
      <c r="W235" s="135" t="n">
        <f aca="false">IF(F235&lt;$W$2,31,$W$2-F235)</f>
        <v>31</v>
      </c>
      <c r="X235" s="132" t="n">
        <f aca="false">I235/12</f>
        <v>47200</v>
      </c>
      <c r="Y235" s="131" t="n">
        <f aca="false">I235*W235/L235</f>
        <v>48105.2054794521</v>
      </c>
      <c r="Z235" s="135" t="n">
        <f aca="false">IF(F235&lt;$Z$2,30,$Z$2-I235)</f>
        <v>30</v>
      </c>
      <c r="AA235" s="134" t="n">
        <f aca="false">I235/12</f>
        <v>47200</v>
      </c>
      <c r="AB235" s="134" t="n">
        <f aca="false">I235*Z235/L235</f>
        <v>46553.4246575343</v>
      </c>
      <c r="AC235" s="143"/>
      <c r="AD235" s="144"/>
      <c r="AE235" s="144"/>
    </row>
    <row r="236" customFormat="false" ht="15.75" hidden="false" customHeight="true" outlineLevel="0" collapsed="false">
      <c r="A236" s="128"/>
      <c r="B236" s="163" t="n">
        <v>45839</v>
      </c>
      <c r="C236" s="128" t="s">
        <v>591</v>
      </c>
      <c r="D236" s="128" t="s">
        <v>592</v>
      </c>
      <c r="E236" s="128"/>
      <c r="F236" s="154" t="n">
        <v>45839</v>
      </c>
      <c r="G236" s="154" t="n">
        <v>46203</v>
      </c>
      <c r="H236" s="128" t="s">
        <v>9</v>
      </c>
      <c r="I236" s="131" t="n">
        <v>82600</v>
      </c>
      <c r="J236" s="128"/>
      <c r="K236" s="132"/>
      <c r="L236" s="127" t="n">
        <f aca="false">G236-F236+1</f>
        <v>365</v>
      </c>
      <c r="M236" s="128"/>
      <c r="N236" s="132"/>
      <c r="O236" s="132"/>
      <c r="P236" s="132"/>
      <c r="Q236" s="128"/>
      <c r="R236" s="128"/>
      <c r="S236" s="128"/>
      <c r="T236" s="132" t="n">
        <f aca="false">I236/12</f>
        <v>6883.33333333333</v>
      </c>
      <c r="U236" s="132" t="n">
        <f aca="false">$U$2-F236+1</f>
        <v>31</v>
      </c>
      <c r="V236" s="147" t="n">
        <f aca="false">I236*U236/L236</f>
        <v>7015.34246575342</v>
      </c>
      <c r="W236" s="141" t="n">
        <f aca="false">IF(F236&lt;$W$2,31,$W$2-F236)</f>
        <v>31</v>
      </c>
      <c r="X236" s="132" t="n">
        <f aca="false">I236/12</f>
        <v>6883.33333333333</v>
      </c>
      <c r="Y236" s="131" t="n">
        <f aca="false">I236*W236/L236</f>
        <v>7015.34246575342</v>
      </c>
      <c r="Z236" s="141" t="n">
        <f aca="false">IF(F236&lt;$Z$2,30,$Z$2-I236)</f>
        <v>30</v>
      </c>
      <c r="AA236" s="147" t="n">
        <f aca="false">I236/12</f>
        <v>6883.33333333333</v>
      </c>
      <c r="AB236" s="147" t="n">
        <f aca="false">I236*Z236/L236</f>
        <v>6789.04109589041</v>
      </c>
      <c r="AC236" s="143"/>
      <c r="AD236" s="144"/>
      <c r="AE236" s="144"/>
    </row>
    <row r="237" customFormat="false" ht="15.75" hidden="false" customHeight="true" outlineLevel="0" collapsed="false">
      <c r="A237" s="128"/>
      <c r="B237" s="163" t="s">
        <v>589</v>
      </c>
      <c r="C237" s="128" t="s">
        <v>593</v>
      </c>
      <c r="D237" s="128" t="s">
        <v>594</v>
      </c>
      <c r="E237" s="128"/>
      <c r="F237" s="154" t="n">
        <v>45839</v>
      </c>
      <c r="G237" s="154" t="n">
        <v>46203</v>
      </c>
      <c r="H237" s="149" t="s">
        <v>8</v>
      </c>
      <c r="I237" s="131" t="n">
        <v>141600</v>
      </c>
      <c r="J237" s="128"/>
      <c r="K237" s="132"/>
      <c r="L237" s="127" t="n">
        <f aca="false">G237-F237+1</f>
        <v>365</v>
      </c>
      <c r="M237" s="128"/>
      <c r="N237" s="132"/>
      <c r="O237" s="132"/>
      <c r="P237" s="132"/>
      <c r="Q237" s="128"/>
      <c r="R237" s="128"/>
      <c r="S237" s="128"/>
      <c r="T237" s="146" t="n">
        <f aca="false">I237/12</f>
        <v>11800</v>
      </c>
      <c r="U237" s="132" t="n">
        <f aca="false">$U$2-F237+1</f>
        <v>31</v>
      </c>
      <c r="V237" s="147" t="n">
        <f aca="false">I237*U237/L237</f>
        <v>12026.301369863</v>
      </c>
      <c r="W237" s="141" t="n">
        <f aca="false">IF(F237&lt;$W$2,31,$W$2-F237)</f>
        <v>31</v>
      </c>
      <c r="X237" s="132" t="n">
        <f aca="false">I237/12</f>
        <v>11800</v>
      </c>
      <c r="Y237" s="131" t="n">
        <f aca="false">I237*W237/L237</f>
        <v>12026.301369863</v>
      </c>
      <c r="Z237" s="141" t="n">
        <f aca="false">IF(F237&lt;$Z$2,30,$Z$2-I237)</f>
        <v>30</v>
      </c>
      <c r="AA237" s="147" t="n">
        <f aca="false">I237/12</f>
        <v>11800</v>
      </c>
      <c r="AB237" s="147" t="n">
        <f aca="false">I237*Z237/L237</f>
        <v>11638.3561643836</v>
      </c>
      <c r="AC237" s="143"/>
      <c r="AD237" s="144"/>
      <c r="AE237" s="144"/>
    </row>
    <row r="238" s="137" customFormat="true" ht="15.75" hidden="false" customHeight="true" outlineLevel="0" collapsed="false">
      <c r="A238" s="127"/>
      <c r="B238" s="162" t="n">
        <v>45839</v>
      </c>
      <c r="C238" s="127" t="s">
        <v>168</v>
      </c>
      <c r="D238" s="127" t="s">
        <v>595</v>
      </c>
      <c r="E238" s="128"/>
      <c r="F238" s="148" t="n">
        <v>45845</v>
      </c>
      <c r="G238" s="148" t="n">
        <v>46209</v>
      </c>
      <c r="H238" s="142" t="s">
        <v>7</v>
      </c>
      <c r="I238" s="131" t="n">
        <v>82600</v>
      </c>
      <c r="J238" s="127"/>
      <c r="K238" s="132"/>
      <c r="L238" s="127" t="n">
        <f aca="false">G238-F238+1</f>
        <v>365</v>
      </c>
      <c r="M238" s="127"/>
      <c r="N238" s="132"/>
      <c r="O238" s="132"/>
      <c r="P238" s="132"/>
      <c r="Q238" s="127"/>
      <c r="R238" s="127"/>
      <c r="S238" s="127"/>
      <c r="T238" s="133" t="n">
        <f aca="false">I238/12</f>
        <v>6883.33333333333</v>
      </c>
      <c r="U238" s="132" t="n">
        <f aca="false">$U$2-F238+1</f>
        <v>25</v>
      </c>
      <c r="V238" s="134" t="n">
        <f aca="false">I238*U238/L238</f>
        <v>5657.53424657534</v>
      </c>
      <c r="W238" s="135" t="n">
        <f aca="false">IF(F238&lt;$W$2,31,$W$2-F238)</f>
        <v>31</v>
      </c>
      <c r="X238" s="132" t="n">
        <f aca="false">I238/12</f>
        <v>6883.33333333333</v>
      </c>
      <c r="Y238" s="131" t="n">
        <f aca="false">I238*W238/L238</f>
        <v>7015.34246575342</v>
      </c>
      <c r="Z238" s="135" t="n">
        <f aca="false">IF(F238&lt;$Z$2,30,$Z$2-I238)</f>
        <v>30</v>
      </c>
      <c r="AA238" s="134" t="n">
        <f aca="false">I238/12</f>
        <v>6883.33333333333</v>
      </c>
      <c r="AB238" s="134" t="n">
        <f aca="false">I238*Z238/L238</f>
        <v>6789.04109589041</v>
      </c>
      <c r="AC238" s="143"/>
      <c r="AD238" s="144"/>
      <c r="AE238" s="144"/>
    </row>
    <row r="239" customFormat="false" ht="15.75" hidden="false" customHeight="true" outlineLevel="0" collapsed="false">
      <c r="A239" s="128"/>
      <c r="B239" s="163" t="s">
        <v>589</v>
      </c>
      <c r="C239" s="128" t="s">
        <v>596</v>
      </c>
      <c r="D239" s="128" t="s">
        <v>597</v>
      </c>
      <c r="E239" s="128"/>
      <c r="F239" s="154" t="n">
        <v>45839</v>
      </c>
      <c r="G239" s="154" t="n">
        <v>46203</v>
      </c>
      <c r="H239" s="149" t="s">
        <v>8</v>
      </c>
      <c r="I239" s="131" t="n">
        <v>53808</v>
      </c>
      <c r="J239" s="128"/>
      <c r="K239" s="132"/>
      <c r="L239" s="127" t="n">
        <f aca="false">G239-F239+1</f>
        <v>365</v>
      </c>
      <c r="M239" s="128"/>
      <c r="N239" s="132"/>
      <c r="O239" s="132"/>
      <c r="P239" s="132"/>
      <c r="Q239" s="128"/>
      <c r="R239" s="128"/>
      <c r="S239" s="128"/>
      <c r="T239" s="146" t="n">
        <f aca="false">I239/12</f>
        <v>4484</v>
      </c>
      <c r="U239" s="132" t="n">
        <f aca="false">$U$2-F239+1</f>
        <v>31</v>
      </c>
      <c r="V239" s="147" t="n">
        <f aca="false">I239*U239/L239</f>
        <v>4569.99452054795</v>
      </c>
      <c r="W239" s="141" t="n">
        <f aca="false">IF(F239&lt;$W$2,31,$W$2-F239)</f>
        <v>31</v>
      </c>
      <c r="X239" s="132" t="n">
        <f aca="false">I239/12</f>
        <v>4484</v>
      </c>
      <c r="Y239" s="131" t="n">
        <f aca="false">I239*W239/L239</f>
        <v>4569.99452054795</v>
      </c>
      <c r="Z239" s="141" t="n">
        <f aca="false">IF(F239&lt;$Z$2,30,$Z$2-I239)</f>
        <v>30</v>
      </c>
      <c r="AA239" s="147" t="n">
        <f aca="false">I239/12</f>
        <v>4484</v>
      </c>
      <c r="AB239" s="147" t="n">
        <f aca="false">I239*Z239/L239</f>
        <v>4422.57534246575</v>
      </c>
      <c r="AC239" s="143"/>
      <c r="AD239" s="144"/>
      <c r="AE239" s="144"/>
    </row>
    <row r="240" s="137" customFormat="true" ht="15.75" hidden="false" customHeight="true" outlineLevel="0" collapsed="false">
      <c r="A240" s="127"/>
      <c r="B240" s="162" t="n">
        <v>45839</v>
      </c>
      <c r="C240" s="127" t="s">
        <v>598</v>
      </c>
      <c r="D240" s="127" t="s">
        <v>599</v>
      </c>
      <c r="E240" s="128"/>
      <c r="F240" s="148" t="n">
        <v>45845</v>
      </c>
      <c r="G240" s="148" t="n">
        <v>45874</v>
      </c>
      <c r="H240" s="142" t="s">
        <v>19</v>
      </c>
      <c r="I240" s="131" t="n">
        <v>23200</v>
      </c>
      <c r="J240" s="127"/>
      <c r="K240" s="132"/>
      <c r="L240" s="127" t="n">
        <f aca="false">G240-F240+1</f>
        <v>30</v>
      </c>
      <c r="M240" s="127"/>
      <c r="N240" s="132"/>
      <c r="O240" s="132"/>
      <c r="P240" s="132"/>
      <c r="Q240" s="127"/>
      <c r="R240" s="127"/>
      <c r="S240" s="127"/>
      <c r="T240" s="166" t="n">
        <f aca="false">I240</f>
        <v>23200</v>
      </c>
      <c r="U240" s="132" t="n">
        <f aca="false">$U$2-F240+1</f>
        <v>25</v>
      </c>
      <c r="V240" s="134" t="n">
        <f aca="false">I240*U240/L240</f>
        <v>19333.3333333333</v>
      </c>
      <c r="W240" s="135" t="n">
        <f aca="false">G240-$W$1+1</f>
        <v>5</v>
      </c>
      <c r="X240" s="132" t="n">
        <v>0</v>
      </c>
      <c r="Y240" s="131" t="n">
        <f aca="false">I240*W240/L240</f>
        <v>3866.66666666667</v>
      </c>
      <c r="Z240" s="127"/>
      <c r="AA240" s="127"/>
      <c r="AB240" s="127"/>
      <c r="AC240" s="136"/>
      <c r="AD240" s="136"/>
      <c r="AE240" s="136"/>
    </row>
    <row r="241" customFormat="false" ht="15.75" hidden="false" customHeight="true" outlineLevel="0" collapsed="false">
      <c r="A241" s="128"/>
      <c r="B241" s="163" t="n">
        <v>45839</v>
      </c>
      <c r="C241" s="128" t="s">
        <v>600</v>
      </c>
      <c r="D241" s="128" t="s">
        <v>601</v>
      </c>
      <c r="E241" s="128"/>
      <c r="F241" s="154" t="n">
        <v>45841</v>
      </c>
      <c r="G241" s="154" t="n">
        <v>45871</v>
      </c>
      <c r="H241" s="145" t="s">
        <v>19</v>
      </c>
      <c r="I241" s="131" t="n">
        <v>14160</v>
      </c>
      <c r="J241" s="128"/>
      <c r="K241" s="132"/>
      <c r="L241" s="127" t="n">
        <f aca="false">G241-F241+1</f>
        <v>31</v>
      </c>
      <c r="M241" s="128"/>
      <c r="N241" s="132"/>
      <c r="O241" s="132"/>
      <c r="P241" s="132"/>
      <c r="Q241" s="128"/>
      <c r="R241" s="128"/>
      <c r="S241" s="128"/>
      <c r="T241" s="167" t="n">
        <f aca="false">I241</f>
        <v>14160</v>
      </c>
      <c r="U241" s="132" t="n">
        <f aca="false">$U$2-F241+1</f>
        <v>29</v>
      </c>
      <c r="V241" s="147" t="n">
        <f aca="false">I241*U241/L241</f>
        <v>13246.4516129032</v>
      </c>
      <c r="W241" s="141" t="n">
        <f aca="false">G241-$W$1+1</f>
        <v>2</v>
      </c>
      <c r="X241" s="132" t="n">
        <v>0</v>
      </c>
      <c r="Y241" s="131" t="n">
        <f aca="false">I241*W241/L241</f>
        <v>913.548387096774</v>
      </c>
      <c r="Z241" s="128"/>
      <c r="AA241" s="128"/>
      <c r="AB241" s="128"/>
      <c r="AC241" s="136"/>
      <c r="AD241" s="136"/>
      <c r="AE241" s="136"/>
    </row>
    <row r="242" s="137" customFormat="true" ht="15.75" hidden="false" customHeight="true" outlineLevel="0" collapsed="false">
      <c r="A242" s="127"/>
      <c r="B242" s="162" t="n">
        <v>45839</v>
      </c>
      <c r="C242" s="127" t="s">
        <v>381</v>
      </c>
      <c r="D242" s="168" t="s">
        <v>602</v>
      </c>
      <c r="E242" s="128"/>
      <c r="F242" s="148" t="n">
        <v>45844</v>
      </c>
      <c r="G242" s="148" t="n">
        <v>46208</v>
      </c>
      <c r="H242" s="127" t="s">
        <v>9</v>
      </c>
      <c r="I242" s="131" t="n">
        <v>477900</v>
      </c>
      <c r="J242" s="127"/>
      <c r="K242" s="132"/>
      <c r="L242" s="127" t="n">
        <f aca="false">G242-F242+1</f>
        <v>365</v>
      </c>
      <c r="M242" s="127"/>
      <c r="N242" s="132"/>
      <c r="O242" s="132"/>
      <c r="P242" s="132"/>
      <c r="Q242" s="127"/>
      <c r="R242" s="127"/>
      <c r="S242" s="127"/>
      <c r="T242" s="132" t="n">
        <f aca="false">I242/12</f>
        <v>39825</v>
      </c>
      <c r="U242" s="132" t="n">
        <f aca="false">$U$2-F242+1</f>
        <v>26</v>
      </c>
      <c r="V242" s="134" t="n">
        <f aca="false">I242*U242/L242</f>
        <v>34042.1917808219</v>
      </c>
      <c r="W242" s="135" t="n">
        <f aca="false">IF(F242&lt;$W$2,31,$W$2-F242)</f>
        <v>31</v>
      </c>
      <c r="X242" s="132" t="n">
        <f aca="false">I242/12</f>
        <v>39825</v>
      </c>
      <c r="Y242" s="131" t="n">
        <f aca="false">I242*W242/L242</f>
        <v>40588.7671232877</v>
      </c>
      <c r="Z242" s="135" t="n">
        <f aca="false">IF(F242&lt;$Z$2,30,$Z$2-I242)</f>
        <v>30</v>
      </c>
      <c r="AA242" s="134" t="n">
        <f aca="false">I242/12</f>
        <v>39825</v>
      </c>
      <c r="AB242" s="134" t="n">
        <f aca="false">I242*Z242/L242</f>
        <v>39279.4520547945</v>
      </c>
      <c r="AC242" s="143"/>
      <c r="AD242" s="144"/>
      <c r="AE242" s="144"/>
    </row>
    <row r="243" s="137" customFormat="true" ht="15.75" hidden="false" customHeight="true" outlineLevel="0" collapsed="false">
      <c r="A243" s="127"/>
      <c r="B243" s="162" t="n">
        <v>45839</v>
      </c>
      <c r="C243" s="127" t="s">
        <v>341</v>
      </c>
      <c r="D243" s="127" t="s">
        <v>603</v>
      </c>
      <c r="E243" s="128"/>
      <c r="F243" s="148" t="n">
        <v>45845</v>
      </c>
      <c r="G243" s="148" t="n">
        <v>46210</v>
      </c>
      <c r="H243" s="127" t="s">
        <v>9</v>
      </c>
      <c r="I243" s="131" t="n">
        <v>140125</v>
      </c>
      <c r="J243" s="127"/>
      <c r="K243" s="132"/>
      <c r="L243" s="127" t="n">
        <f aca="false">G243-F243+1</f>
        <v>366</v>
      </c>
      <c r="M243" s="127"/>
      <c r="N243" s="132"/>
      <c r="O243" s="132"/>
      <c r="P243" s="132"/>
      <c r="Q243" s="127"/>
      <c r="R243" s="127"/>
      <c r="S243" s="127"/>
      <c r="T243" s="132" t="n">
        <f aca="false">I243/12</f>
        <v>11677.0833333333</v>
      </c>
      <c r="U243" s="132" t="n">
        <f aca="false">$U$2-F243+1</f>
        <v>25</v>
      </c>
      <c r="V243" s="134" t="n">
        <f aca="false">I243*U243/L243</f>
        <v>9571.37978142077</v>
      </c>
      <c r="W243" s="135" t="n">
        <f aca="false">IF(F243&lt;$W$2,31,$W$2-F243)</f>
        <v>31</v>
      </c>
      <c r="X243" s="132" t="n">
        <f aca="false">I243/12</f>
        <v>11677.0833333333</v>
      </c>
      <c r="Y243" s="131" t="n">
        <f aca="false">I243*W243/L243</f>
        <v>11868.5109289617</v>
      </c>
      <c r="Z243" s="135" t="n">
        <f aca="false">IF(F243&lt;$Z$2,30,$Z$2-I243)</f>
        <v>30</v>
      </c>
      <c r="AA243" s="134" t="n">
        <f aca="false">I243/12</f>
        <v>11677.0833333333</v>
      </c>
      <c r="AB243" s="134" t="n">
        <f aca="false">I243*Z243/L243</f>
        <v>11485.6557377049</v>
      </c>
      <c r="AC243" s="143"/>
      <c r="AD243" s="144"/>
      <c r="AE243" s="144"/>
    </row>
    <row r="244" s="137" customFormat="true" ht="15.75" hidden="false" customHeight="true" outlineLevel="0" collapsed="false">
      <c r="A244" s="127"/>
      <c r="B244" s="126" t="n">
        <v>45839</v>
      </c>
      <c r="C244" s="127" t="s">
        <v>316</v>
      </c>
      <c r="D244" s="127" t="s">
        <v>604</v>
      </c>
      <c r="E244" s="128"/>
      <c r="F244" s="148" t="n">
        <v>45836</v>
      </c>
      <c r="G244" s="148" t="n">
        <v>45865</v>
      </c>
      <c r="H244" s="142" t="s">
        <v>19</v>
      </c>
      <c r="I244" s="131" t="n">
        <v>15340</v>
      </c>
      <c r="J244" s="127"/>
      <c r="K244" s="132"/>
      <c r="L244" s="127" t="n">
        <f aca="false">G244-F244+1</f>
        <v>30</v>
      </c>
      <c r="M244" s="127"/>
      <c r="N244" s="132"/>
      <c r="O244" s="132"/>
      <c r="P244" s="132"/>
      <c r="Q244" s="166" t="n">
        <f aca="false">I244</f>
        <v>15340</v>
      </c>
      <c r="R244" s="127" t="n">
        <f aca="false">$R$2-F244+1</f>
        <v>3</v>
      </c>
      <c r="S244" s="133" t="n">
        <f aca="false">R244*I244/L244</f>
        <v>1534</v>
      </c>
      <c r="T244" s="127"/>
      <c r="U244" s="132" t="n">
        <f aca="false">G244-$R$2</f>
        <v>27</v>
      </c>
      <c r="V244" s="132" t="n">
        <f aca="false">U244*I244/L244</f>
        <v>13806</v>
      </c>
      <c r="W244" s="135" t="n">
        <v>0</v>
      </c>
      <c r="X244" s="132" t="n">
        <v>0</v>
      </c>
      <c r="Y244" s="127" t="n">
        <v>0</v>
      </c>
      <c r="Z244" s="127"/>
      <c r="AA244" s="127"/>
      <c r="AB244" s="127"/>
      <c r="AC244" s="136"/>
      <c r="AD244" s="136"/>
      <c r="AE244" s="136"/>
    </row>
    <row r="245" s="137" customFormat="true" ht="15.75" hidden="false" customHeight="true" outlineLevel="0" collapsed="false">
      <c r="A245" s="127"/>
      <c r="B245" s="162" t="n">
        <v>45839</v>
      </c>
      <c r="C245" s="127" t="s">
        <v>605</v>
      </c>
      <c r="D245" s="127" t="s">
        <v>606</v>
      </c>
      <c r="E245" s="128"/>
      <c r="F245" s="148" t="n">
        <v>45845</v>
      </c>
      <c r="G245" s="148" t="n">
        <v>45875</v>
      </c>
      <c r="H245" s="142" t="s">
        <v>19</v>
      </c>
      <c r="I245" s="131" t="n">
        <v>9440</v>
      </c>
      <c r="J245" s="127"/>
      <c r="K245" s="132"/>
      <c r="L245" s="127" t="n">
        <f aca="false">G245-F245+1</f>
        <v>31</v>
      </c>
      <c r="M245" s="127"/>
      <c r="N245" s="132"/>
      <c r="O245" s="132"/>
      <c r="P245" s="132"/>
      <c r="Q245" s="127"/>
      <c r="R245" s="127"/>
      <c r="S245" s="127"/>
      <c r="T245" s="166" t="n">
        <f aca="false">I245</f>
        <v>9440</v>
      </c>
      <c r="U245" s="132" t="n">
        <f aca="false">$U$2-F245+1</f>
        <v>25</v>
      </c>
      <c r="V245" s="134" t="n">
        <f aca="false">I245*U245/L245</f>
        <v>7612.90322580645</v>
      </c>
      <c r="W245" s="135" t="n">
        <f aca="false">G245-$W$1+1</f>
        <v>6</v>
      </c>
      <c r="X245" s="132" t="n">
        <v>0</v>
      </c>
      <c r="Y245" s="131" t="n">
        <f aca="false">I245*W245/L245</f>
        <v>1827.09677419355</v>
      </c>
      <c r="Z245" s="127"/>
      <c r="AA245" s="127"/>
      <c r="AB245" s="127"/>
      <c r="AC245" s="136"/>
      <c r="AD245" s="136"/>
      <c r="AE245" s="136"/>
    </row>
    <row r="246" s="137" customFormat="true" ht="15.75" hidden="false" customHeight="true" outlineLevel="0" collapsed="false">
      <c r="A246" s="127"/>
      <c r="B246" s="162" t="n">
        <v>45839</v>
      </c>
      <c r="C246" s="127" t="s">
        <v>524</v>
      </c>
      <c r="D246" s="127" t="s">
        <v>607</v>
      </c>
      <c r="E246" s="128"/>
      <c r="F246" s="148" t="n">
        <v>45844</v>
      </c>
      <c r="G246" s="148" t="n">
        <v>45874</v>
      </c>
      <c r="H246" s="142" t="s">
        <v>19</v>
      </c>
      <c r="I246" s="131" t="n">
        <v>8260</v>
      </c>
      <c r="J246" s="127"/>
      <c r="K246" s="132"/>
      <c r="L246" s="127" t="n">
        <f aca="false">G246-F246+1</f>
        <v>31</v>
      </c>
      <c r="M246" s="127"/>
      <c r="N246" s="132"/>
      <c r="O246" s="132"/>
      <c r="P246" s="132"/>
      <c r="Q246" s="127"/>
      <c r="R246" s="127"/>
      <c r="S246" s="127"/>
      <c r="T246" s="166" t="n">
        <f aca="false">I246</f>
        <v>8260</v>
      </c>
      <c r="U246" s="132" t="n">
        <f aca="false">$U$2-F246+1</f>
        <v>26</v>
      </c>
      <c r="V246" s="134" t="n">
        <f aca="false">I246*U246/L246</f>
        <v>6927.74193548387</v>
      </c>
      <c r="W246" s="135" t="n">
        <f aca="false">G246-$W$1+1</f>
        <v>5</v>
      </c>
      <c r="X246" s="132" t="n">
        <v>0</v>
      </c>
      <c r="Y246" s="131" t="n">
        <f aca="false">I246*W246/L246</f>
        <v>1332.25806451613</v>
      </c>
      <c r="Z246" s="127"/>
      <c r="AA246" s="127"/>
      <c r="AB246" s="127"/>
      <c r="AC246" s="136"/>
      <c r="AD246" s="136"/>
      <c r="AE246" s="136"/>
    </row>
    <row r="247" customFormat="false" ht="15.75" hidden="false" customHeight="true" outlineLevel="0" collapsed="false">
      <c r="A247" s="128"/>
      <c r="B247" s="163" t="n">
        <v>45839</v>
      </c>
      <c r="C247" s="128" t="s">
        <v>608</v>
      </c>
      <c r="D247" s="128" t="s">
        <v>609</v>
      </c>
      <c r="E247" s="128"/>
      <c r="F247" s="154" t="n">
        <v>45843</v>
      </c>
      <c r="G247" s="154" t="n">
        <v>46207</v>
      </c>
      <c r="H247" s="128" t="s">
        <v>9</v>
      </c>
      <c r="I247" s="131" t="n">
        <v>75000</v>
      </c>
      <c r="J247" s="128"/>
      <c r="K247" s="132"/>
      <c r="L247" s="127" t="n">
        <f aca="false">G247-F247+1</f>
        <v>365</v>
      </c>
      <c r="M247" s="128"/>
      <c r="N247" s="132"/>
      <c r="O247" s="132"/>
      <c r="P247" s="132"/>
      <c r="Q247" s="128"/>
      <c r="R247" s="128"/>
      <c r="S247" s="128"/>
      <c r="T247" s="132" t="n">
        <f aca="false">I247/12</f>
        <v>6250</v>
      </c>
      <c r="U247" s="132" t="n">
        <f aca="false">$U$2-F247+1</f>
        <v>27</v>
      </c>
      <c r="V247" s="147" t="n">
        <f aca="false">I247*U247/L247</f>
        <v>5547.94520547945</v>
      </c>
      <c r="W247" s="141" t="n">
        <f aca="false">IF(F247&lt;$W$2,31,$W$2-F247)</f>
        <v>31</v>
      </c>
      <c r="X247" s="132" t="n">
        <f aca="false">I247/12</f>
        <v>6250</v>
      </c>
      <c r="Y247" s="131" t="n">
        <f aca="false">I247*W247/L247</f>
        <v>6369.86301369863</v>
      </c>
      <c r="Z247" s="141" t="n">
        <f aca="false">IF(F247&lt;$Z$2,30,$Z$2-I247)</f>
        <v>30</v>
      </c>
      <c r="AA247" s="147" t="n">
        <f aca="false">I247/12</f>
        <v>6250</v>
      </c>
      <c r="AB247" s="147" t="n">
        <f aca="false">I247*Z247/L247</f>
        <v>6164.38356164384</v>
      </c>
      <c r="AC247" s="143"/>
      <c r="AD247" s="144"/>
      <c r="AE247" s="144"/>
    </row>
    <row r="248" customFormat="false" ht="15.75" hidden="false" customHeight="true" outlineLevel="0" collapsed="false">
      <c r="A248" s="128"/>
      <c r="B248" s="163" t="n">
        <v>45839</v>
      </c>
      <c r="C248" s="128" t="s">
        <v>610</v>
      </c>
      <c r="D248" s="128" t="s">
        <v>611</v>
      </c>
      <c r="E248" s="128"/>
      <c r="F248" s="154" t="n">
        <v>45843</v>
      </c>
      <c r="G248" s="154" t="n">
        <v>46207</v>
      </c>
      <c r="H248" s="145" t="s">
        <v>7</v>
      </c>
      <c r="I248" s="131" t="n">
        <v>74340</v>
      </c>
      <c r="J248" s="128"/>
      <c r="K248" s="132"/>
      <c r="L248" s="127" t="n">
        <f aca="false">G248-F248+1</f>
        <v>365</v>
      </c>
      <c r="M248" s="128"/>
      <c r="N248" s="132"/>
      <c r="O248" s="132"/>
      <c r="P248" s="132"/>
      <c r="Q248" s="128"/>
      <c r="R248" s="128"/>
      <c r="S248" s="128"/>
      <c r="T248" s="146" t="n">
        <f aca="false">I248/12</f>
        <v>6195</v>
      </c>
      <c r="U248" s="132" t="n">
        <f aca="false">$U$2-F248+1</f>
        <v>27</v>
      </c>
      <c r="V248" s="147" t="n">
        <f aca="false">I248*U248/L248</f>
        <v>5499.12328767123</v>
      </c>
      <c r="W248" s="141" t="n">
        <f aca="false">IF(F248&lt;$W$2,31,$W$2-F248)</f>
        <v>31</v>
      </c>
      <c r="X248" s="132" t="n">
        <f aca="false">I248/12</f>
        <v>6195</v>
      </c>
      <c r="Y248" s="131" t="n">
        <f aca="false">I248*W248/L248</f>
        <v>6313.80821917808</v>
      </c>
      <c r="Z248" s="141" t="n">
        <f aca="false">IF(F248&lt;$Z$2,30,$Z$2-I248)</f>
        <v>30</v>
      </c>
      <c r="AA248" s="147" t="n">
        <f aca="false">I248/12</f>
        <v>6195</v>
      </c>
      <c r="AB248" s="147" t="n">
        <f aca="false">I248*Z248/L248</f>
        <v>6110.13698630137</v>
      </c>
      <c r="AC248" s="143"/>
      <c r="AD248" s="144"/>
      <c r="AE248" s="144"/>
    </row>
    <row r="249" s="137" customFormat="true" ht="15.75" hidden="false" customHeight="true" outlineLevel="0" collapsed="false">
      <c r="A249" s="127"/>
      <c r="B249" s="162" t="n">
        <v>45839</v>
      </c>
      <c r="C249" s="127" t="s">
        <v>612</v>
      </c>
      <c r="D249" s="127" t="s">
        <v>613</v>
      </c>
      <c r="E249" s="128"/>
      <c r="F249" s="148" t="n">
        <v>45843</v>
      </c>
      <c r="G249" s="148" t="n">
        <v>45873</v>
      </c>
      <c r="H249" s="142" t="s">
        <v>19</v>
      </c>
      <c r="I249" s="131" t="n">
        <f aca="false">23600-23600</f>
        <v>0</v>
      </c>
      <c r="J249" s="127"/>
      <c r="K249" s="132"/>
      <c r="L249" s="127" t="n">
        <f aca="false">G249-F249+1</f>
        <v>31</v>
      </c>
      <c r="M249" s="127"/>
      <c r="N249" s="132"/>
      <c r="O249" s="132"/>
      <c r="P249" s="132"/>
      <c r="Q249" s="127"/>
      <c r="R249" s="127"/>
      <c r="S249" s="127"/>
      <c r="T249" s="166" t="n">
        <f aca="false">I249</f>
        <v>0</v>
      </c>
      <c r="U249" s="132" t="n">
        <f aca="false">$U$2-F249+1</f>
        <v>27</v>
      </c>
      <c r="V249" s="134" t="n">
        <f aca="false">I249*U249/L249</f>
        <v>0</v>
      </c>
      <c r="W249" s="135" t="n">
        <f aca="false">G249-$W$1+1</f>
        <v>4</v>
      </c>
      <c r="X249" s="132" t="n">
        <v>0</v>
      </c>
      <c r="Y249" s="131" t="n">
        <f aca="false">W249*I249/L249</f>
        <v>0</v>
      </c>
      <c r="Z249" s="127"/>
      <c r="AA249" s="127"/>
      <c r="AB249" s="127"/>
      <c r="AC249" s="136"/>
      <c r="AD249" s="136"/>
      <c r="AE249" s="136"/>
    </row>
    <row r="250" s="137" customFormat="true" ht="15.75" hidden="false" customHeight="true" outlineLevel="0" collapsed="false">
      <c r="A250" s="127"/>
      <c r="B250" s="162" t="n">
        <v>45839</v>
      </c>
      <c r="C250" s="127" t="s">
        <v>509</v>
      </c>
      <c r="D250" s="127" t="s">
        <v>614</v>
      </c>
      <c r="E250" s="128"/>
      <c r="F250" s="148" t="n">
        <v>45845</v>
      </c>
      <c r="G250" s="148" t="n">
        <v>46209</v>
      </c>
      <c r="H250" s="127" t="s">
        <v>9</v>
      </c>
      <c r="I250" s="131" t="n">
        <v>849600</v>
      </c>
      <c r="J250" s="127"/>
      <c r="K250" s="132"/>
      <c r="L250" s="127" t="n">
        <f aca="false">G250-F250+1</f>
        <v>365</v>
      </c>
      <c r="M250" s="127"/>
      <c r="N250" s="132"/>
      <c r="O250" s="132"/>
      <c r="P250" s="132"/>
      <c r="Q250" s="127"/>
      <c r="R250" s="127"/>
      <c r="S250" s="127"/>
      <c r="T250" s="132" t="n">
        <f aca="false">I250/12</f>
        <v>70800</v>
      </c>
      <c r="U250" s="132" t="n">
        <f aca="false">$U$2-F250+1</f>
        <v>25</v>
      </c>
      <c r="V250" s="134" t="n">
        <f aca="false">I250*U250/L250</f>
        <v>58191.7808219178</v>
      </c>
      <c r="W250" s="135" t="n">
        <f aca="false">IF(F250&lt;$W$2,31,$W$2-F250)</f>
        <v>31</v>
      </c>
      <c r="X250" s="132" t="n">
        <f aca="false">I250/12</f>
        <v>70800</v>
      </c>
      <c r="Y250" s="131" t="n">
        <f aca="false">I250*W250/L250</f>
        <v>72157.8082191781</v>
      </c>
      <c r="Z250" s="135" t="n">
        <f aca="false">IF(F250&lt;$Z$2,30,$Z$2-I250)</f>
        <v>30</v>
      </c>
      <c r="AA250" s="134" t="n">
        <f aca="false">I250/12</f>
        <v>70800</v>
      </c>
      <c r="AB250" s="134" t="n">
        <f aca="false">I250*Z250/L250</f>
        <v>69830.1369863014</v>
      </c>
      <c r="AC250" s="143"/>
      <c r="AD250" s="144"/>
      <c r="AE250" s="144"/>
    </row>
    <row r="251" s="137" customFormat="true" ht="15.75" hidden="false" customHeight="true" outlineLevel="0" collapsed="false">
      <c r="A251" s="127"/>
      <c r="B251" s="162" t="n">
        <v>45839</v>
      </c>
      <c r="C251" s="127" t="s">
        <v>328</v>
      </c>
      <c r="D251" s="127" t="s">
        <v>615</v>
      </c>
      <c r="E251" s="128"/>
      <c r="F251" s="148" t="n">
        <v>45845</v>
      </c>
      <c r="G251" s="148" t="n">
        <v>46209</v>
      </c>
      <c r="H251" s="127" t="s">
        <v>9</v>
      </c>
      <c r="I251" s="131" t="n">
        <v>100890</v>
      </c>
      <c r="J251" s="127"/>
      <c r="K251" s="132"/>
      <c r="L251" s="127" t="n">
        <f aca="false">G251-F251+1</f>
        <v>365</v>
      </c>
      <c r="M251" s="127"/>
      <c r="N251" s="132"/>
      <c r="O251" s="132"/>
      <c r="P251" s="132"/>
      <c r="Q251" s="127"/>
      <c r="R251" s="127"/>
      <c r="S251" s="127"/>
      <c r="T251" s="132" t="n">
        <f aca="false">I251/12</f>
        <v>8407.5</v>
      </c>
      <c r="U251" s="132" t="n">
        <f aca="false">$U$2-F251+1</f>
        <v>25</v>
      </c>
      <c r="V251" s="134" t="n">
        <f aca="false">I251*U251/L251</f>
        <v>6910.27397260274</v>
      </c>
      <c r="W251" s="135" t="n">
        <f aca="false">IF(F251&lt;$W$2,31,$W$2-F251)</f>
        <v>31</v>
      </c>
      <c r="X251" s="132" t="n">
        <f aca="false">I251/12</f>
        <v>8407.5</v>
      </c>
      <c r="Y251" s="131" t="n">
        <f aca="false">I251*W251/L251</f>
        <v>8568.7397260274</v>
      </c>
      <c r="Z251" s="135" t="n">
        <f aca="false">IF(F251&lt;$Z$2,30,$Z$2-I251)</f>
        <v>30</v>
      </c>
      <c r="AA251" s="134" t="n">
        <f aca="false">I251/12</f>
        <v>8407.5</v>
      </c>
      <c r="AB251" s="134" t="n">
        <f aca="false">I251*Z251/L251</f>
        <v>8292.32876712329</v>
      </c>
      <c r="AC251" s="143"/>
      <c r="AD251" s="144"/>
      <c r="AE251" s="144"/>
    </row>
    <row r="252" customFormat="false" ht="15.75" hidden="false" customHeight="true" outlineLevel="0" collapsed="false">
      <c r="A252" s="128"/>
      <c r="B252" s="163" t="n">
        <v>45839</v>
      </c>
      <c r="C252" s="128" t="s">
        <v>616</v>
      </c>
      <c r="D252" s="128" t="s">
        <v>617</v>
      </c>
      <c r="E252" s="128"/>
      <c r="F252" s="154" t="n">
        <v>45846</v>
      </c>
      <c r="G252" s="154" t="n">
        <v>46210</v>
      </c>
      <c r="H252" s="128" t="s">
        <v>9</v>
      </c>
      <c r="I252" s="131" t="n">
        <v>82600</v>
      </c>
      <c r="J252" s="128"/>
      <c r="K252" s="132"/>
      <c r="L252" s="127" t="n">
        <f aca="false">G252-F252+1</f>
        <v>365</v>
      </c>
      <c r="M252" s="128"/>
      <c r="N252" s="132"/>
      <c r="O252" s="132"/>
      <c r="P252" s="132"/>
      <c r="Q252" s="128"/>
      <c r="R252" s="128"/>
      <c r="S252" s="128"/>
      <c r="T252" s="132" t="n">
        <f aca="false">I252/12</f>
        <v>6883.33333333333</v>
      </c>
      <c r="U252" s="132" t="n">
        <f aca="false">$U$2-F252+1</f>
        <v>24</v>
      </c>
      <c r="V252" s="147" t="n">
        <f aca="false">I252*U252/L252</f>
        <v>5431.23287671233</v>
      </c>
      <c r="W252" s="141" t="n">
        <f aca="false">IF(F252&lt;$W$2,31,$W$2-F252)</f>
        <v>31</v>
      </c>
      <c r="X252" s="132" t="n">
        <f aca="false">I252/12</f>
        <v>6883.33333333333</v>
      </c>
      <c r="Y252" s="131" t="n">
        <f aca="false">I252*W252/L252</f>
        <v>7015.34246575342</v>
      </c>
      <c r="Z252" s="141" t="n">
        <f aca="false">IF(F252&lt;$Z$2,30,$Z$2-I252)</f>
        <v>30</v>
      </c>
      <c r="AA252" s="147" t="n">
        <f aca="false">I252/12</f>
        <v>6883.33333333333</v>
      </c>
      <c r="AB252" s="147" t="n">
        <f aca="false">I252*Z252/L252</f>
        <v>6789.04109589041</v>
      </c>
      <c r="AC252" s="143"/>
      <c r="AD252" s="144"/>
      <c r="AE252" s="144"/>
    </row>
    <row r="253" s="137" customFormat="true" ht="15.75" hidden="false" customHeight="true" outlineLevel="0" collapsed="false">
      <c r="A253" s="127"/>
      <c r="B253" s="162" t="n">
        <v>45839</v>
      </c>
      <c r="C253" s="127" t="s">
        <v>468</v>
      </c>
      <c r="D253" s="127" t="s">
        <v>618</v>
      </c>
      <c r="E253" s="128"/>
      <c r="F253" s="148" t="n">
        <v>45846</v>
      </c>
      <c r="G253" s="148" t="n">
        <v>46210</v>
      </c>
      <c r="H253" s="142" t="s">
        <v>7</v>
      </c>
      <c r="I253" s="131" t="n">
        <v>82600</v>
      </c>
      <c r="J253" s="127"/>
      <c r="K253" s="132"/>
      <c r="L253" s="127" t="n">
        <f aca="false">G253-F253+1</f>
        <v>365</v>
      </c>
      <c r="M253" s="127"/>
      <c r="N253" s="132"/>
      <c r="O253" s="132"/>
      <c r="P253" s="132"/>
      <c r="Q253" s="127"/>
      <c r="R253" s="127"/>
      <c r="S253" s="127"/>
      <c r="T253" s="133" t="n">
        <f aca="false">I253/12</f>
        <v>6883.33333333333</v>
      </c>
      <c r="U253" s="132" t="n">
        <f aca="false">$U$2-F253+1</f>
        <v>24</v>
      </c>
      <c r="V253" s="134" t="n">
        <f aca="false">I253*U253/L253</f>
        <v>5431.23287671233</v>
      </c>
      <c r="W253" s="135" t="n">
        <f aca="false">IF(F253&lt;$W$2,31,$W$2-F253)</f>
        <v>31</v>
      </c>
      <c r="X253" s="132" t="n">
        <f aca="false">I253/12</f>
        <v>6883.33333333333</v>
      </c>
      <c r="Y253" s="131" t="n">
        <f aca="false">I253*W253/L253</f>
        <v>7015.34246575342</v>
      </c>
      <c r="Z253" s="135" t="n">
        <f aca="false">IF(F253&lt;$Z$2,30,$Z$2-I253)</f>
        <v>30</v>
      </c>
      <c r="AA253" s="134" t="n">
        <f aca="false">I253/12</f>
        <v>6883.33333333333</v>
      </c>
      <c r="AB253" s="134" t="n">
        <f aca="false">I253*Z253/L253</f>
        <v>6789.04109589041</v>
      </c>
      <c r="AC253" s="143"/>
      <c r="AD253" s="144"/>
      <c r="AE253" s="144"/>
    </row>
    <row r="254" s="137" customFormat="true" ht="15.75" hidden="false" customHeight="true" outlineLevel="0" collapsed="false">
      <c r="A254" s="127"/>
      <c r="B254" s="162" t="n">
        <v>45839</v>
      </c>
      <c r="C254" s="127" t="s">
        <v>549</v>
      </c>
      <c r="D254" s="127" t="s">
        <v>619</v>
      </c>
      <c r="E254" s="128"/>
      <c r="F254" s="148" t="n">
        <v>45851</v>
      </c>
      <c r="G254" s="148" t="n">
        <v>46215</v>
      </c>
      <c r="H254" s="127" t="s">
        <v>9</v>
      </c>
      <c r="I254" s="131" t="n">
        <v>82600</v>
      </c>
      <c r="J254" s="127"/>
      <c r="K254" s="132"/>
      <c r="L254" s="127" t="n">
        <f aca="false">G254-F254+1</f>
        <v>365</v>
      </c>
      <c r="M254" s="127"/>
      <c r="N254" s="132"/>
      <c r="O254" s="132"/>
      <c r="P254" s="132"/>
      <c r="Q254" s="127"/>
      <c r="R254" s="127"/>
      <c r="S254" s="127"/>
      <c r="T254" s="132" t="n">
        <f aca="false">I254/12</f>
        <v>6883.33333333333</v>
      </c>
      <c r="U254" s="132" t="n">
        <f aca="false">$U$2-F254+1</f>
        <v>19</v>
      </c>
      <c r="V254" s="134" t="n">
        <f aca="false">I254*U254/L254</f>
        <v>4299.72602739726</v>
      </c>
      <c r="W254" s="135" t="n">
        <f aca="false">IF(F254&lt;$W$2,31,$W$2-F254)</f>
        <v>31</v>
      </c>
      <c r="X254" s="132" t="n">
        <f aca="false">I254/12</f>
        <v>6883.33333333333</v>
      </c>
      <c r="Y254" s="131" t="n">
        <f aca="false">I254*W254/L254</f>
        <v>7015.34246575342</v>
      </c>
      <c r="Z254" s="135" t="n">
        <f aca="false">IF(F254&lt;$Z$2,30,$Z$2-I254)</f>
        <v>30</v>
      </c>
      <c r="AA254" s="134" t="n">
        <f aca="false">I254/12</f>
        <v>6883.33333333333</v>
      </c>
      <c r="AB254" s="134" t="n">
        <f aca="false">I254*Z254/L254</f>
        <v>6789.04109589041</v>
      </c>
      <c r="AC254" s="143"/>
      <c r="AD254" s="144"/>
      <c r="AE254" s="144"/>
    </row>
    <row r="255" customFormat="false" ht="15.75" hidden="false" customHeight="true" outlineLevel="0" collapsed="false">
      <c r="A255" s="128"/>
      <c r="B255" s="163" t="n">
        <v>45839</v>
      </c>
      <c r="C255" s="128" t="s">
        <v>620</v>
      </c>
      <c r="D255" s="128" t="s">
        <v>621</v>
      </c>
      <c r="E255" s="128"/>
      <c r="F255" s="154" t="n">
        <v>45847</v>
      </c>
      <c r="G255" s="154" t="n">
        <v>45877</v>
      </c>
      <c r="H255" s="145" t="s">
        <v>19</v>
      </c>
      <c r="I255" s="131" t="n">
        <v>8850</v>
      </c>
      <c r="J255" s="128"/>
      <c r="K255" s="132"/>
      <c r="L255" s="127" t="n">
        <f aca="false">G255-F255+1</f>
        <v>31</v>
      </c>
      <c r="M255" s="128"/>
      <c r="N255" s="132"/>
      <c r="O255" s="132"/>
      <c r="P255" s="132"/>
      <c r="Q255" s="128"/>
      <c r="R255" s="128"/>
      <c r="S255" s="128"/>
      <c r="T255" s="167" t="n">
        <f aca="false">I255</f>
        <v>8850</v>
      </c>
      <c r="U255" s="132" t="n">
        <f aca="false">$U$2-F255+1</f>
        <v>23</v>
      </c>
      <c r="V255" s="147" t="n">
        <f aca="false">I255*U255/L255</f>
        <v>6566.12903225806</v>
      </c>
      <c r="W255" s="141" t="n">
        <f aca="false">G255-$W$1+1</f>
        <v>8</v>
      </c>
      <c r="X255" s="132" t="n">
        <v>0</v>
      </c>
      <c r="Y255" s="131" t="n">
        <f aca="false">I255*W255/L255</f>
        <v>2283.87096774194</v>
      </c>
      <c r="Z255" s="128"/>
      <c r="AA255" s="128"/>
      <c r="AB255" s="128"/>
      <c r="AC255" s="136"/>
      <c r="AD255" s="136"/>
      <c r="AE255" s="136"/>
    </row>
    <row r="256" s="137" customFormat="true" ht="15.75" hidden="false" customHeight="true" outlineLevel="0" collapsed="false">
      <c r="A256" s="127"/>
      <c r="B256" s="162" t="n">
        <v>45839</v>
      </c>
      <c r="C256" s="127" t="s">
        <v>622</v>
      </c>
      <c r="D256" s="127" t="s">
        <v>623</v>
      </c>
      <c r="E256" s="128"/>
      <c r="F256" s="148" t="n">
        <v>45848</v>
      </c>
      <c r="G256" s="148" t="n">
        <v>45878</v>
      </c>
      <c r="H256" s="142" t="s">
        <v>19</v>
      </c>
      <c r="I256" s="131" t="n">
        <v>23600</v>
      </c>
      <c r="J256" s="127"/>
      <c r="K256" s="132"/>
      <c r="L256" s="127" t="n">
        <f aca="false">G256-F256+1</f>
        <v>31</v>
      </c>
      <c r="M256" s="127"/>
      <c r="N256" s="132"/>
      <c r="O256" s="132"/>
      <c r="P256" s="132"/>
      <c r="Q256" s="127"/>
      <c r="R256" s="127"/>
      <c r="S256" s="127"/>
      <c r="T256" s="166" t="n">
        <f aca="false">I256</f>
        <v>23600</v>
      </c>
      <c r="U256" s="132" t="n">
        <f aca="false">$U$2-F256+1</f>
        <v>22</v>
      </c>
      <c r="V256" s="134" t="n">
        <f aca="false">I256*U256/L256</f>
        <v>16748.3870967742</v>
      </c>
      <c r="W256" s="135" t="n">
        <f aca="false">G256-$W$1+1</f>
        <v>9</v>
      </c>
      <c r="X256" s="132" t="n">
        <v>0</v>
      </c>
      <c r="Y256" s="131" t="n">
        <f aca="false">I256*W256/L256</f>
        <v>6851.61290322581</v>
      </c>
      <c r="Z256" s="127"/>
      <c r="AA256" s="127"/>
      <c r="AB256" s="127"/>
      <c r="AC256" s="136"/>
      <c r="AD256" s="136"/>
      <c r="AE256" s="136"/>
    </row>
    <row r="257" s="137" customFormat="true" ht="15.75" hidden="false" customHeight="true" outlineLevel="0" collapsed="false">
      <c r="A257" s="127"/>
      <c r="B257" s="162" t="n">
        <v>45839</v>
      </c>
      <c r="C257" s="127" t="s">
        <v>624</v>
      </c>
      <c r="D257" s="127" t="s">
        <v>625</v>
      </c>
      <c r="E257" s="128"/>
      <c r="F257" s="148" t="n">
        <v>45847</v>
      </c>
      <c r="G257" s="148" t="n">
        <v>45877</v>
      </c>
      <c r="H257" s="142" t="s">
        <v>19</v>
      </c>
      <c r="I257" s="131" t="n">
        <v>59000</v>
      </c>
      <c r="J257" s="127"/>
      <c r="K257" s="132"/>
      <c r="L257" s="127" t="n">
        <f aca="false">G257-F257+1</f>
        <v>31</v>
      </c>
      <c r="M257" s="127"/>
      <c r="N257" s="132"/>
      <c r="O257" s="132"/>
      <c r="P257" s="132"/>
      <c r="Q257" s="127"/>
      <c r="R257" s="127"/>
      <c r="S257" s="127"/>
      <c r="T257" s="166" t="n">
        <f aca="false">I257</f>
        <v>59000</v>
      </c>
      <c r="U257" s="132" t="n">
        <f aca="false">$U$2-F257+1</f>
        <v>23</v>
      </c>
      <c r="V257" s="134" t="n">
        <f aca="false">I257*U257/L257</f>
        <v>43774.1935483871</v>
      </c>
      <c r="W257" s="135" t="n">
        <f aca="false">G257-$W$1+1</f>
        <v>8</v>
      </c>
      <c r="X257" s="132" t="n">
        <v>0</v>
      </c>
      <c r="Y257" s="131" t="n">
        <f aca="false">I257*W257/L257</f>
        <v>15225.8064516129</v>
      </c>
      <c r="Z257" s="127"/>
      <c r="AA257" s="127"/>
      <c r="AB257" s="127"/>
      <c r="AC257" s="136"/>
      <c r="AD257" s="136"/>
      <c r="AE257" s="136"/>
    </row>
    <row r="258" customFormat="false" ht="15.75" hidden="false" customHeight="true" outlineLevel="0" collapsed="false">
      <c r="A258" s="128"/>
      <c r="B258" s="163" t="n">
        <v>45839</v>
      </c>
      <c r="C258" s="128" t="s">
        <v>626</v>
      </c>
      <c r="D258" s="128" t="s">
        <v>627</v>
      </c>
      <c r="E258" s="128"/>
      <c r="F258" s="154" t="n">
        <v>45870</v>
      </c>
      <c r="G258" s="154" t="n">
        <v>46234</v>
      </c>
      <c r="H258" s="128" t="s">
        <v>9</v>
      </c>
      <c r="I258" s="131" t="n">
        <v>74340</v>
      </c>
      <c r="J258" s="128"/>
      <c r="K258" s="132"/>
      <c r="L258" s="127" t="n">
        <f aca="false">G258-F258+1</f>
        <v>365</v>
      </c>
      <c r="M258" s="128"/>
      <c r="N258" s="132"/>
      <c r="O258" s="132"/>
      <c r="P258" s="132"/>
      <c r="Q258" s="128"/>
      <c r="R258" s="128"/>
      <c r="S258" s="128"/>
      <c r="T258" s="128"/>
      <c r="U258" s="132" t="n">
        <f aca="false">$U$2-F258+1</f>
        <v>0</v>
      </c>
      <c r="V258" s="128"/>
      <c r="W258" s="141" t="n">
        <f aca="false">$W$2-F258+1</f>
        <v>31</v>
      </c>
      <c r="X258" s="132" t="n">
        <f aca="false">I258/12</f>
        <v>6195</v>
      </c>
      <c r="Y258" s="131" t="n">
        <f aca="false">I258*W258/L258</f>
        <v>6313.80821917808</v>
      </c>
      <c r="Z258" s="141" t="n">
        <f aca="false">IF(F258&lt;$Z$2,30,$Z$2-I258)</f>
        <v>30</v>
      </c>
      <c r="AA258" s="147" t="n">
        <f aca="false">I258/12</f>
        <v>6195</v>
      </c>
      <c r="AB258" s="147" t="n">
        <f aca="false">I258*Z258/L258</f>
        <v>6110.13698630137</v>
      </c>
      <c r="AC258" s="143"/>
      <c r="AD258" s="144"/>
      <c r="AE258" s="144"/>
    </row>
    <row r="259" customFormat="false" ht="15.75" hidden="false" customHeight="true" outlineLevel="0" collapsed="false">
      <c r="A259" s="128"/>
      <c r="B259" s="163" t="n">
        <v>45839</v>
      </c>
      <c r="C259" s="128" t="s">
        <v>628</v>
      </c>
      <c r="D259" s="128" t="s">
        <v>629</v>
      </c>
      <c r="E259" s="128"/>
      <c r="F259" s="154" t="n">
        <v>45854</v>
      </c>
      <c r="G259" s="154" t="n">
        <v>46218</v>
      </c>
      <c r="H259" s="128" t="s">
        <v>9</v>
      </c>
      <c r="I259" s="131" t="n">
        <v>178416</v>
      </c>
      <c r="J259" s="128"/>
      <c r="K259" s="132"/>
      <c r="L259" s="127" t="n">
        <f aca="false">G259-F259+1</f>
        <v>365</v>
      </c>
      <c r="M259" s="128"/>
      <c r="N259" s="132"/>
      <c r="O259" s="132"/>
      <c r="P259" s="132"/>
      <c r="Q259" s="128"/>
      <c r="R259" s="128"/>
      <c r="S259" s="128"/>
      <c r="T259" s="132" t="n">
        <f aca="false">I259/12</f>
        <v>14868</v>
      </c>
      <c r="U259" s="132" t="n">
        <f aca="false">$U$2-F259+1</f>
        <v>16</v>
      </c>
      <c r="V259" s="147" t="n">
        <f aca="false">I259*U259/L259</f>
        <v>7820.97534246575</v>
      </c>
      <c r="W259" s="141" t="n">
        <f aca="false">IF(F259&lt;$W$2,31,$W$2-F259)</f>
        <v>31</v>
      </c>
      <c r="X259" s="132" t="n">
        <f aca="false">I259/12</f>
        <v>14868</v>
      </c>
      <c r="Y259" s="131" t="n">
        <f aca="false">I259*W259/L259</f>
        <v>15153.1397260274</v>
      </c>
      <c r="Z259" s="141" t="n">
        <f aca="false">IF(F259&lt;$Z$2,30,$Z$2-I259)</f>
        <v>30</v>
      </c>
      <c r="AA259" s="147" t="n">
        <f aca="false">I259/12</f>
        <v>14868</v>
      </c>
      <c r="AB259" s="147" t="n">
        <f aca="false">I259*Z259/L259</f>
        <v>14664.3287671233</v>
      </c>
      <c r="AC259" s="143"/>
      <c r="AD259" s="144"/>
      <c r="AE259" s="144"/>
    </row>
    <row r="260" customFormat="false" ht="15.75" hidden="false" customHeight="true" outlineLevel="0" collapsed="false">
      <c r="A260" s="128"/>
      <c r="B260" s="163" t="n">
        <v>45839</v>
      </c>
      <c r="C260" s="128" t="s">
        <v>630</v>
      </c>
      <c r="D260" s="128" t="s">
        <v>631</v>
      </c>
      <c r="E260" s="128"/>
      <c r="F260" s="154" t="n">
        <v>45853</v>
      </c>
      <c r="G260" s="154" t="n">
        <v>46217</v>
      </c>
      <c r="H260" s="145" t="s">
        <v>7</v>
      </c>
      <c r="I260" s="131" t="n">
        <v>70800</v>
      </c>
      <c r="J260" s="128"/>
      <c r="K260" s="132"/>
      <c r="L260" s="127" t="n">
        <f aca="false">G260-F260+1</f>
        <v>365</v>
      </c>
      <c r="M260" s="128"/>
      <c r="N260" s="132"/>
      <c r="O260" s="132"/>
      <c r="P260" s="132"/>
      <c r="Q260" s="128"/>
      <c r="R260" s="128"/>
      <c r="S260" s="128"/>
      <c r="T260" s="146" t="n">
        <f aca="false">I260/12</f>
        <v>5900</v>
      </c>
      <c r="U260" s="132" t="n">
        <f aca="false">$U$2-F260+1</f>
        <v>17</v>
      </c>
      <c r="V260" s="147" t="n">
        <f aca="false">I260*U260/L260</f>
        <v>3297.53424657534</v>
      </c>
      <c r="W260" s="141" t="n">
        <f aca="false">IF(F260&lt;$W$2,31,$W$2-F260)</f>
        <v>31</v>
      </c>
      <c r="X260" s="132" t="n">
        <f aca="false">I260/12</f>
        <v>5900</v>
      </c>
      <c r="Y260" s="131" t="n">
        <f aca="false">I260*W260/L260</f>
        <v>6013.15068493151</v>
      </c>
      <c r="Z260" s="141" t="n">
        <f aca="false">IF(F260&lt;$Z$2,30,$Z$2-I260)</f>
        <v>30</v>
      </c>
      <c r="AA260" s="147" t="n">
        <f aca="false">I260/12</f>
        <v>5900</v>
      </c>
      <c r="AB260" s="147" t="n">
        <f aca="false">I260*Z260/L260</f>
        <v>5819.17808219178</v>
      </c>
      <c r="AC260" s="143"/>
      <c r="AD260" s="144"/>
      <c r="AE260" s="144"/>
    </row>
    <row r="261" s="137" customFormat="true" ht="15.75" hidden="false" customHeight="true" outlineLevel="0" collapsed="false">
      <c r="A261" s="127"/>
      <c r="B261" s="162" t="n">
        <v>45839</v>
      </c>
      <c r="C261" s="127" t="s">
        <v>632</v>
      </c>
      <c r="D261" s="127" t="s">
        <v>633</v>
      </c>
      <c r="E261" s="128"/>
      <c r="F261" s="148" t="n">
        <v>45839</v>
      </c>
      <c r="G261" s="148" t="n">
        <v>45869</v>
      </c>
      <c r="H261" s="142" t="s">
        <v>19</v>
      </c>
      <c r="I261" s="131" t="n">
        <v>20000</v>
      </c>
      <c r="J261" s="127"/>
      <c r="K261" s="132"/>
      <c r="L261" s="127" t="n">
        <f aca="false">G261-F261+1</f>
        <v>31</v>
      </c>
      <c r="M261" s="127"/>
      <c r="N261" s="132"/>
      <c r="O261" s="132"/>
      <c r="P261" s="132"/>
      <c r="Q261" s="127"/>
      <c r="R261" s="127"/>
      <c r="S261" s="127"/>
      <c r="T261" s="133" t="n">
        <f aca="false">I261/1</f>
        <v>20000</v>
      </c>
      <c r="U261" s="132" t="n">
        <f aca="false">G261-$R$2</f>
        <v>31</v>
      </c>
      <c r="V261" s="132" t="n">
        <f aca="false">U261*I261/L261</f>
        <v>20000</v>
      </c>
      <c r="W261" s="135" t="n">
        <v>0</v>
      </c>
      <c r="X261" s="132" t="n">
        <v>0</v>
      </c>
      <c r="Y261" s="127" t="n">
        <v>0</v>
      </c>
      <c r="Z261" s="127"/>
      <c r="AA261" s="127"/>
      <c r="AB261" s="127"/>
      <c r="AC261" s="136"/>
      <c r="AD261" s="136"/>
      <c r="AE261" s="136"/>
    </row>
    <row r="262" s="137" customFormat="true" ht="15.75" hidden="false" customHeight="true" outlineLevel="0" collapsed="false">
      <c r="A262" s="127"/>
      <c r="B262" s="162" t="n">
        <v>45839</v>
      </c>
      <c r="C262" s="127" t="s">
        <v>346</v>
      </c>
      <c r="D262" s="127" t="s">
        <v>634</v>
      </c>
      <c r="E262" s="128"/>
      <c r="F262" s="148" t="n">
        <v>45815</v>
      </c>
      <c r="G262" s="148" t="n">
        <v>45852</v>
      </c>
      <c r="H262" s="127" t="s">
        <v>18</v>
      </c>
      <c r="I262" s="131" t="n">
        <v>7375</v>
      </c>
      <c r="J262" s="127"/>
      <c r="K262" s="132"/>
      <c r="L262" s="127" t="n">
        <f aca="false">G262-F262+1</f>
        <v>38</v>
      </c>
      <c r="M262" s="127"/>
      <c r="N262" s="132"/>
      <c r="O262" s="132"/>
      <c r="P262" s="132"/>
      <c r="Q262" s="127" t="n">
        <f aca="false">I262*30/38</f>
        <v>5822.36842105263</v>
      </c>
      <c r="R262" s="127" t="n">
        <f aca="false">$R$2-F262+1</f>
        <v>24</v>
      </c>
      <c r="S262" s="133" t="n">
        <f aca="false">R262*I262/L262</f>
        <v>4657.89473684211</v>
      </c>
      <c r="T262" s="127"/>
      <c r="U262" s="132" t="n">
        <f aca="false">G262-$R$2</f>
        <v>14</v>
      </c>
      <c r="V262" s="127" t="n">
        <f aca="false">U262*I262/L262</f>
        <v>2717.10526315789</v>
      </c>
      <c r="W262" s="135" t="n">
        <v>0</v>
      </c>
      <c r="X262" s="132" t="n">
        <v>0</v>
      </c>
      <c r="Y262" s="127" t="n">
        <v>0</v>
      </c>
      <c r="Z262" s="127"/>
      <c r="AA262" s="127"/>
      <c r="AB262" s="127"/>
      <c r="AC262" s="136"/>
      <c r="AD262" s="136"/>
      <c r="AE262" s="136"/>
    </row>
    <row r="263" s="137" customFormat="true" ht="15.75" hidden="false" customHeight="true" outlineLevel="0" collapsed="false">
      <c r="A263" s="127"/>
      <c r="B263" s="162" t="n">
        <v>45839</v>
      </c>
      <c r="C263" s="127" t="s">
        <v>346</v>
      </c>
      <c r="D263" s="127" t="s">
        <v>635</v>
      </c>
      <c r="E263" s="128"/>
      <c r="F263" s="148" t="n">
        <v>45853</v>
      </c>
      <c r="G263" s="148" t="n">
        <v>45884</v>
      </c>
      <c r="H263" s="142" t="s">
        <v>19</v>
      </c>
      <c r="I263" s="131" t="n">
        <v>23600</v>
      </c>
      <c r="J263" s="127"/>
      <c r="K263" s="132"/>
      <c r="L263" s="127" t="n">
        <f aca="false">G263-F263+1</f>
        <v>32</v>
      </c>
      <c r="M263" s="127"/>
      <c r="N263" s="132"/>
      <c r="O263" s="132"/>
      <c r="P263" s="132"/>
      <c r="Q263" s="127"/>
      <c r="R263" s="127"/>
      <c r="S263" s="127"/>
      <c r="T263" s="166" t="n">
        <f aca="false">I263</f>
        <v>23600</v>
      </c>
      <c r="U263" s="132" t="n">
        <f aca="false">$U$2-F263+1</f>
        <v>17</v>
      </c>
      <c r="V263" s="134" t="n">
        <f aca="false">I263*U263/L263</f>
        <v>12537.5</v>
      </c>
      <c r="W263" s="135" t="n">
        <f aca="false">G263-$W$1+1</f>
        <v>15</v>
      </c>
      <c r="X263" s="132" t="n">
        <v>0</v>
      </c>
      <c r="Y263" s="131" t="n">
        <f aca="false">I263*W263/L263</f>
        <v>11062.5</v>
      </c>
      <c r="Z263" s="127"/>
      <c r="AA263" s="127"/>
      <c r="AB263" s="127"/>
      <c r="AC263" s="136"/>
      <c r="AD263" s="136"/>
      <c r="AE263" s="136"/>
    </row>
    <row r="264" customFormat="false" ht="15.75" hidden="false" customHeight="true" outlineLevel="0" collapsed="false">
      <c r="A264" s="128"/>
      <c r="B264" s="163" t="n">
        <v>45839</v>
      </c>
      <c r="C264" s="128" t="s">
        <v>636</v>
      </c>
      <c r="D264" s="128" t="s">
        <v>637</v>
      </c>
      <c r="E264" s="128"/>
      <c r="F264" s="154" t="n">
        <v>45853</v>
      </c>
      <c r="G264" s="154" t="n">
        <v>46217</v>
      </c>
      <c r="H264" s="149" t="s">
        <v>8</v>
      </c>
      <c r="I264" s="131" t="n">
        <v>191160</v>
      </c>
      <c r="J264" s="128"/>
      <c r="K264" s="132"/>
      <c r="L264" s="127" t="n">
        <f aca="false">G264-F264+1</f>
        <v>365</v>
      </c>
      <c r="M264" s="128"/>
      <c r="N264" s="132"/>
      <c r="O264" s="132"/>
      <c r="P264" s="132"/>
      <c r="Q264" s="128"/>
      <c r="R264" s="128"/>
      <c r="S264" s="128"/>
      <c r="T264" s="146" t="n">
        <f aca="false">I264/12</f>
        <v>15930</v>
      </c>
      <c r="U264" s="132" t="n">
        <f aca="false">$U$2-F264+1</f>
        <v>17</v>
      </c>
      <c r="V264" s="147" t="n">
        <f aca="false">I264*U264/L264</f>
        <v>8903.34246575343</v>
      </c>
      <c r="W264" s="141" t="n">
        <f aca="false">IF(F264&lt;$W$2,31,$W$2-F264)</f>
        <v>31</v>
      </c>
      <c r="X264" s="132" t="n">
        <f aca="false">I264/12</f>
        <v>15930</v>
      </c>
      <c r="Y264" s="131" t="n">
        <f aca="false">I264*W264/L264</f>
        <v>16235.5068493151</v>
      </c>
      <c r="Z264" s="141" t="n">
        <f aca="false">IF(F264&lt;$Z$2,30,$Z$2-I264)</f>
        <v>30</v>
      </c>
      <c r="AA264" s="147" t="n">
        <f aca="false">I264/12</f>
        <v>15930</v>
      </c>
      <c r="AB264" s="147" t="n">
        <f aca="false">I264*Z264/L264</f>
        <v>15711.7808219178</v>
      </c>
      <c r="AC264" s="143"/>
      <c r="AD264" s="144"/>
      <c r="AE264" s="144"/>
    </row>
    <row r="265" customFormat="false" ht="15.75" hidden="false" customHeight="true" outlineLevel="0" collapsed="false">
      <c r="A265" s="128"/>
      <c r="B265" s="163" t="n">
        <v>45839</v>
      </c>
      <c r="C265" s="128" t="s">
        <v>638</v>
      </c>
      <c r="D265" s="128" t="s">
        <v>639</v>
      </c>
      <c r="E265" s="128"/>
      <c r="F265" s="154" t="n">
        <v>45853</v>
      </c>
      <c r="G265" s="154" t="n">
        <v>46217</v>
      </c>
      <c r="H265" s="149" t="s">
        <v>8</v>
      </c>
      <c r="I265" s="131" t="n">
        <v>141600</v>
      </c>
      <c r="J265" s="128"/>
      <c r="K265" s="132"/>
      <c r="L265" s="127" t="n">
        <f aca="false">G265-F265+1</f>
        <v>365</v>
      </c>
      <c r="M265" s="128"/>
      <c r="N265" s="132"/>
      <c r="O265" s="132"/>
      <c r="P265" s="132"/>
      <c r="Q265" s="128"/>
      <c r="R265" s="128"/>
      <c r="S265" s="128"/>
      <c r="T265" s="146" t="n">
        <f aca="false">I265/12</f>
        <v>11800</v>
      </c>
      <c r="U265" s="132" t="n">
        <f aca="false">$U$2-F265+1</f>
        <v>17</v>
      </c>
      <c r="V265" s="147" t="n">
        <f aca="false">I265*U265/L265</f>
        <v>6595.06849315069</v>
      </c>
      <c r="W265" s="141" t="n">
        <f aca="false">IF(F265&lt;$W$2,31,$W$2-F265)</f>
        <v>31</v>
      </c>
      <c r="X265" s="132" t="n">
        <f aca="false">I265/12</f>
        <v>11800</v>
      </c>
      <c r="Y265" s="131" t="n">
        <f aca="false">I265*W265/L265</f>
        <v>12026.301369863</v>
      </c>
      <c r="Z265" s="141" t="n">
        <f aca="false">IF(F265&lt;$Z$2,30,$Z$2-I265)</f>
        <v>30</v>
      </c>
      <c r="AA265" s="147" t="n">
        <f aca="false">I265/12</f>
        <v>11800</v>
      </c>
      <c r="AB265" s="147" t="n">
        <f aca="false">I265*Z265/L265</f>
        <v>11638.3561643836</v>
      </c>
      <c r="AC265" s="143"/>
      <c r="AD265" s="144"/>
      <c r="AE265" s="144"/>
    </row>
    <row r="266" s="137" customFormat="true" ht="15.75" hidden="false" customHeight="true" outlineLevel="0" collapsed="false">
      <c r="A266" s="127"/>
      <c r="B266" s="162" t="n">
        <v>45839</v>
      </c>
      <c r="C266" s="127" t="s">
        <v>640</v>
      </c>
      <c r="D266" s="127" t="s">
        <v>641</v>
      </c>
      <c r="E266" s="128"/>
      <c r="F266" s="148" t="n">
        <v>45855</v>
      </c>
      <c r="G266" s="148" t="n">
        <v>45864</v>
      </c>
      <c r="H266" s="127" t="s">
        <v>13</v>
      </c>
      <c r="I266" s="131" t="n">
        <v>9440</v>
      </c>
      <c r="J266" s="127"/>
      <c r="K266" s="132"/>
      <c r="L266" s="127" t="n">
        <f aca="false">G266-F266+1</f>
        <v>10</v>
      </c>
      <c r="M266" s="127"/>
      <c r="N266" s="132"/>
      <c r="O266" s="132"/>
      <c r="P266" s="132"/>
      <c r="Q266" s="127"/>
      <c r="R266" s="127"/>
      <c r="S266" s="127"/>
      <c r="T266" s="166" t="n">
        <f aca="false">I266</f>
        <v>9440</v>
      </c>
      <c r="U266" s="132" t="n">
        <f aca="false">G266-F266+1</f>
        <v>10</v>
      </c>
      <c r="V266" s="134" t="n">
        <f aca="false">U266*I266/L266</f>
        <v>9440</v>
      </c>
      <c r="W266" s="135" t="n">
        <v>0</v>
      </c>
      <c r="X266" s="132" t="n">
        <v>0</v>
      </c>
      <c r="Y266" s="127" t="n">
        <v>0</v>
      </c>
      <c r="Z266" s="127"/>
      <c r="AA266" s="127"/>
      <c r="AB266" s="127"/>
      <c r="AC266" s="136"/>
      <c r="AD266" s="136"/>
      <c r="AE266" s="136"/>
    </row>
    <row r="267" customFormat="false" ht="15.75" hidden="false" customHeight="true" outlineLevel="0" collapsed="false">
      <c r="A267" s="128" t="s">
        <v>642</v>
      </c>
      <c r="B267" s="163" t="n">
        <v>45839</v>
      </c>
      <c r="C267" s="128" t="s">
        <v>643</v>
      </c>
      <c r="D267" s="128" t="s">
        <v>644</v>
      </c>
      <c r="E267" s="128"/>
      <c r="F267" s="154" t="n">
        <v>45839</v>
      </c>
      <c r="G267" s="154" t="n">
        <v>46218</v>
      </c>
      <c r="H267" s="149" t="s">
        <v>8</v>
      </c>
      <c r="I267" s="131" t="n">
        <v>101952</v>
      </c>
      <c r="J267" s="128"/>
      <c r="K267" s="132"/>
      <c r="L267" s="127" t="n">
        <f aca="false">G267-F267+1</f>
        <v>380</v>
      </c>
      <c r="M267" s="128"/>
      <c r="N267" s="132"/>
      <c r="O267" s="132"/>
      <c r="P267" s="132"/>
      <c r="Q267" s="128"/>
      <c r="R267" s="128"/>
      <c r="S267" s="128"/>
      <c r="T267" s="146" t="n">
        <f aca="false">I267/12</f>
        <v>8496</v>
      </c>
      <c r="U267" s="132" t="n">
        <f aca="false">$U$2-F267+1</f>
        <v>31</v>
      </c>
      <c r="V267" s="147" t="n">
        <f aca="false">I267*U267/L267</f>
        <v>8317.13684210526</v>
      </c>
      <c r="W267" s="141" t="n">
        <f aca="false">IF(F267&lt;$W$2,31,$W$2-F267)</f>
        <v>31</v>
      </c>
      <c r="X267" s="132" t="n">
        <f aca="false">I267/12</f>
        <v>8496</v>
      </c>
      <c r="Y267" s="131" t="n">
        <f aca="false">I267*W267/L267</f>
        <v>8317.13684210526</v>
      </c>
      <c r="Z267" s="141" t="n">
        <f aca="false">IF(F267&lt;$Z$2,30,$Z$2-I267)</f>
        <v>30</v>
      </c>
      <c r="AA267" s="147" t="n">
        <f aca="false">I267/12</f>
        <v>8496</v>
      </c>
      <c r="AB267" s="147" t="n">
        <f aca="false">I267*Z267/L267</f>
        <v>8048.84210526316</v>
      </c>
      <c r="AC267" s="143"/>
      <c r="AD267" s="144"/>
      <c r="AE267" s="144"/>
    </row>
    <row r="268" s="137" customFormat="true" ht="15.75" hidden="false" customHeight="true" outlineLevel="0" collapsed="false">
      <c r="A268" s="127"/>
      <c r="B268" s="162" t="n">
        <v>45839</v>
      </c>
      <c r="C268" s="127" t="s">
        <v>483</v>
      </c>
      <c r="D268" s="127" t="s">
        <v>645</v>
      </c>
      <c r="E268" s="128"/>
      <c r="F268" s="148" t="n">
        <v>45854</v>
      </c>
      <c r="G268" s="148" t="n">
        <v>46218</v>
      </c>
      <c r="H268" s="127" t="s">
        <v>9</v>
      </c>
      <c r="I268" s="131" t="n">
        <v>82600</v>
      </c>
      <c r="J268" s="127"/>
      <c r="K268" s="132"/>
      <c r="L268" s="127" t="n">
        <f aca="false">G268-F268+1</f>
        <v>365</v>
      </c>
      <c r="M268" s="127"/>
      <c r="N268" s="132"/>
      <c r="O268" s="132"/>
      <c r="P268" s="132"/>
      <c r="Q268" s="127"/>
      <c r="R268" s="127"/>
      <c r="S268" s="127"/>
      <c r="T268" s="132" t="n">
        <f aca="false">I268/12</f>
        <v>6883.33333333333</v>
      </c>
      <c r="U268" s="132" t="n">
        <f aca="false">$U$2-F268+1</f>
        <v>16</v>
      </c>
      <c r="V268" s="134" t="n">
        <f aca="false">I268*U268/L268</f>
        <v>3620.82191780822</v>
      </c>
      <c r="W268" s="135" t="n">
        <f aca="false">IF(F268&lt;$W$2,31,$W$2-F268)</f>
        <v>31</v>
      </c>
      <c r="X268" s="132" t="n">
        <f aca="false">I268/12</f>
        <v>6883.33333333333</v>
      </c>
      <c r="Y268" s="131" t="n">
        <f aca="false">I268*W268/L268</f>
        <v>7015.34246575342</v>
      </c>
      <c r="Z268" s="135" t="n">
        <f aca="false">IF(F268&lt;$Z$2,30,$Z$2-I268)</f>
        <v>30</v>
      </c>
      <c r="AA268" s="134" t="n">
        <f aca="false">I268/12</f>
        <v>6883.33333333333</v>
      </c>
      <c r="AB268" s="134" t="n">
        <f aca="false">I268*Z268/L268</f>
        <v>6789.04109589041</v>
      </c>
      <c r="AC268" s="143"/>
      <c r="AD268" s="144"/>
      <c r="AE268" s="144"/>
    </row>
    <row r="269" s="137" customFormat="true" ht="15.75" hidden="false" customHeight="true" outlineLevel="0" collapsed="false">
      <c r="A269" s="127"/>
      <c r="B269" s="162" t="n">
        <v>45839</v>
      </c>
      <c r="C269" s="127" t="s">
        <v>288</v>
      </c>
      <c r="D269" s="127" t="s">
        <v>646</v>
      </c>
      <c r="E269" s="128"/>
      <c r="F269" s="148" t="n">
        <v>45854</v>
      </c>
      <c r="G269" s="148" t="n">
        <v>46218</v>
      </c>
      <c r="H269" s="127" t="s">
        <v>9</v>
      </c>
      <c r="I269" s="131" t="n">
        <v>168000</v>
      </c>
      <c r="J269" s="127"/>
      <c r="K269" s="132"/>
      <c r="L269" s="127" t="n">
        <f aca="false">G269-F269+1</f>
        <v>365</v>
      </c>
      <c r="M269" s="127"/>
      <c r="N269" s="132"/>
      <c r="O269" s="132"/>
      <c r="P269" s="132"/>
      <c r="Q269" s="127"/>
      <c r="R269" s="127"/>
      <c r="S269" s="127"/>
      <c r="T269" s="132" t="n">
        <f aca="false">I269/12</f>
        <v>14000</v>
      </c>
      <c r="U269" s="132" t="n">
        <f aca="false">$U$2-F269+1</f>
        <v>16</v>
      </c>
      <c r="V269" s="134" t="n">
        <f aca="false">I269*U269/L269</f>
        <v>7364.38356164384</v>
      </c>
      <c r="W269" s="135" t="n">
        <f aca="false">IF(F269&lt;$W$2,31,$W$2-F269)</f>
        <v>31</v>
      </c>
      <c r="X269" s="132" t="n">
        <f aca="false">I269/12</f>
        <v>14000</v>
      </c>
      <c r="Y269" s="131" t="n">
        <f aca="false">I269*W269/L269</f>
        <v>14268.4931506849</v>
      </c>
      <c r="Z269" s="135" t="n">
        <f aca="false">IF(F269&lt;$Z$2,30,$Z$2-I269)</f>
        <v>30</v>
      </c>
      <c r="AA269" s="134" t="n">
        <f aca="false">I269/12</f>
        <v>14000</v>
      </c>
      <c r="AB269" s="134" t="n">
        <f aca="false">I269*Z269/L269</f>
        <v>13808.2191780822</v>
      </c>
      <c r="AC269" s="143"/>
      <c r="AD269" s="144"/>
      <c r="AE269" s="144"/>
    </row>
    <row r="270" s="137" customFormat="true" ht="15.75" hidden="false" customHeight="true" outlineLevel="0" collapsed="false">
      <c r="A270" s="127"/>
      <c r="B270" s="162" t="n">
        <v>45839</v>
      </c>
      <c r="C270" s="127" t="s">
        <v>522</v>
      </c>
      <c r="D270" s="127" t="s">
        <v>647</v>
      </c>
      <c r="E270" s="128"/>
      <c r="F270" s="148" t="n">
        <v>45854</v>
      </c>
      <c r="G270" s="148" t="n">
        <v>46037</v>
      </c>
      <c r="H270" s="142" t="s">
        <v>29</v>
      </c>
      <c r="I270" s="131" t="n">
        <v>41300</v>
      </c>
      <c r="J270" s="127"/>
      <c r="K270" s="132"/>
      <c r="L270" s="127" t="n">
        <f aca="false">G270-F270+1</f>
        <v>184</v>
      </c>
      <c r="M270" s="127"/>
      <c r="N270" s="132"/>
      <c r="O270" s="132"/>
      <c r="P270" s="132"/>
      <c r="Q270" s="127"/>
      <c r="R270" s="127"/>
      <c r="S270" s="127"/>
      <c r="T270" s="133" t="n">
        <f aca="false">I270/6</f>
        <v>6883.33333333333</v>
      </c>
      <c r="U270" s="132" t="n">
        <f aca="false">$U$2-F270+1</f>
        <v>16</v>
      </c>
      <c r="V270" s="134" t="n">
        <f aca="false">I270*U270/L270</f>
        <v>3591.30434782609</v>
      </c>
      <c r="W270" s="135" t="n">
        <f aca="false">IF(F270&lt;$W$2,31,$W$2-F270)</f>
        <v>31</v>
      </c>
      <c r="X270" s="132" t="n">
        <f aca="false">I270/6</f>
        <v>6883.33333333333</v>
      </c>
      <c r="Y270" s="131" t="n">
        <f aca="false">I270*W270/L270</f>
        <v>6958.15217391304</v>
      </c>
      <c r="Z270" s="135" t="n">
        <f aca="false">IF(F270&lt;$Z$2,30,$Z$2-I270)</f>
        <v>30</v>
      </c>
      <c r="AA270" s="134" t="n">
        <f aca="false">I270/6</f>
        <v>6883.33333333333</v>
      </c>
      <c r="AB270" s="134" t="n">
        <f aca="false">Z270*I270/L270</f>
        <v>6733.69565217391</v>
      </c>
      <c r="AC270" s="143"/>
      <c r="AD270" s="144"/>
      <c r="AE270" s="144"/>
    </row>
    <row r="271" customFormat="false" ht="15.75" hidden="false" customHeight="true" outlineLevel="0" collapsed="false">
      <c r="A271" s="128"/>
      <c r="B271" s="163" t="n">
        <v>45839</v>
      </c>
      <c r="C271" s="128" t="s">
        <v>648</v>
      </c>
      <c r="D271" s="128" t="s">
        <v>649</v>
      </c>
      <c r="E271" s="128"/>
      <c r="F271" s="154" t="n">
        <v>45856</v>
      </c>
      <c r="G271" s="154" t="n">
        <v>46220</v>
      </c>
      <c r="H271" s="128" t="s">
        <v>9</v>
      </c>
      <c r="I271" s="131" t="n">
        <v>82600</v>
      </c>
      <c r="J271" s="128"/>
      <c r="K271" s="132"/>
      <c r="L271" s="127" t="n">
        <f aca="false">G271-F271+1</f>
        <v>365</v>
      </c>
      <c r="M271" s="128"/>
      <c r="N271" s="132"/>
      <c r="O271" s="132"/>
      <c r="P271" s="132"/>
      <c r="Q271" s="128"/>
      <c r="R271" s="128"/>
      <c r="S271" s="128"/>
      <c r="T271" s="132" t="n">
        <f aca="false">I271/12</f>
        <v>6883.33333333333</v>
      </c>
      <c r="U271" s="132" t="n">
        <f aca="false">$U$2-F271+1</f>
        <v>14</v>
      </c>
      <c r="V271" s="147" t="n">
        <f aca="false">I271*U271/L271</f>
        <v>3168.21917808219</v>
      </c>
      <c r="W271" s="141" t="n">
        <f aca="false">IF(F271&lt;$W$2,31,$W$2-F271)</f>
        <v>31</v>
      </c>
      <c r="X271" s="132" t="n">
        <f aca="false">I271/12</f>
        <v>6883.33333333333</v>
      </c>
      <c r="Y271" s="131" t="n">
        <f aca="false">I271*W271/L271</f>
        <v>7015.34246575342</v>
      </c>
      <c r="Z271" s="141" t="n">
        <f aca="false">IF(F271&lt;$Z$2,30,$Z$2-I271)</f>
        <v>30</v>
      </c>
      <c r="AA271" s="147" t="n">
        <f aca="false">I271/12</f>
        <v>6883.33333333333</v>
      </c>
      <c r="AB271" s="147" t="n">
        <f aca="false">I271*Z271/L271</f>
        <v>6789.04109589041</v>
      </c>
      <c r="AC271" s="143"/>
      <c r="AD271" s="144"/>
      <c r="AE271" s="144"/>
    </row>
    <row r="272" s="137" customFormat="true" ht="15.75" hidden="false" customHeight="true" outlineLevel="0" collapsed="false">
      <c r="A272" s="127"/>
      <c r="B272" s="162" t="s">
        <v>650</v>
      </c>
      <c r="C272" s="127" t="s">
        <v>514</v>
      </c>
      <c r="D272" s="127" t="s">
        <v>651</v>
      </c>
      <c r="E272" s="128"/>
      <c r="F272" s="148" t="n">
        <v>45855</v>
      </c>
      <c r="G272" s="148" t="n">
        <v>46219</v>
      </c>
      <c r="H272" s="127" t="s">
        <v>10</v>
      </c>
      <c r="I272" s="131" t="n">
        <v>424800</v>
      </c>
      <c r="J272" s="127"/>
      <c r="K272" s="132"/>
      <c r="L272" s="127" t="n">
        <f aca="false">G272-F272+1</f>
        <v>365</v>
      </c>
      <c r="M272" s="127"/>
      <c r="N272" s="132"/>
      <c r="O272" s="132"/>
      <c r="P272" s="132"/>
      <c r="Q272" s="127"/>
      <c r="R272" s="127"/>
      <c r="S272" s="127"/>
      <c r="T272" s="132" t="n">
        <f aca="false">I272/12</f>
        <v>35400</v>
      </c>
      <c r="U272" s="132" t="n">
        <f aca="false">$U$2-F272+1</f>
        <v>15</v>
      </c>
      <c r="V272" s="134" t="n">
        <f aca="false">I272*U272/L272</f>
        <v>17457.5342465753</v>
      </c>
      <c r="W272" s="135" t="n">
        <f aca="false">IF(F272&lt;$W$2,31,$W$2-F272)</f>
        <v>31</v>
      </c>
      <c r="X272" s="132" t="n">
        <f aca="false">I272/12</f>
        <v>35400</v>
      </c>
      <c r="Y272" s="131" t="n">
        <f aca="false">I272*W272/L272</f>
        <v>36078.904109589</v>
      </c>
      <c r="Z272" s="135" t="n">
        <f aca="false">IF(F272&lt;$Z$2,30,$Z$2-I272)</f>
        <v>30</v>
      </c>
      <c r="AA272" s="134" t="n">
        <f aca="false">I272/12</f>
        <v>35400</v>
      </c>
      <c r="AB272" s="134" t="n">
        <f aca="false">I272*Z272/L272</f>
        <v>34915.0684931507</v>
      </c>
      <c r="AC272" s="143"/>
      <c r="AD272" s="144"/>
      <c r="AE272" s="144"/>
    </row>
    <row r="273" customFormat="false" ht="15.75" hidden="false" customHeight="true" outlineLevel="0" collapsed="false">
      <c r="A273" s="128"/>
      <c r="B273" s="163" t="s">
        <v>589</v>
      </c>
      <c r="C273" s="128" t="s">
        <v>652</v>
      </c>
      <c r="D273" s="128" t="s">
        <v>653</v>
      </c>
      <c r="E273" s="128"/>
      <c r="F273" s="154" t="n">
        <v>45855</v>
      </c>
      <c r="G273" s="154" t="n">
        <v>46219</v>
      </c>
      <c r="H273" s="128" t="s">
        <v>10</v>
      </c>
      <c r="I273" s="131" t="n">
        <v>99120</v>
      </c>
      <c r="J273" s="128"/>
      <c r="K273" s="132"/>
      <c r="L273" s="127" t="n">
        <f aca="false">G273-F273+1</f>
        <v>365</v>
      </c>
      <c r="M273" s="128"/>
      <c r="N273" s="132"/>
      <c r="O273" s="132"/>
      <c r="P273" s="132"/>
      <c r="Q273" s="128"/>
      <c r="R273" s="128"/>
      <c r="S273" s="128"/>
      <c r="T273" s="132" t="n">
        <f aca="false">I273/12</f>
        <v>8260</v>
      </c>
      <c r="U273" s="132" t="n">
        <f aca="false">$U$2-F273+1</f>
        <v>15</v>
      </c>
      <c r="V273" s="147" t="n">
        <f aca="false">I273*U273/L273</f>
        <v>4073.42465753425</v>
      </c>
      <c r="W273" s="141" t="n">
        <f aca="false">IF(F273&lt;$W$2,31,$W$2-F273)</f>
        <v>31</v>
      </c>
      <c r="X273" s="132" t="n">
        <f aca="false">I273/12</f>
        <v>8260</v>
      </c>
      <c r="Y273" s="131" t="n">
        <f aca="false">I273*W273/L273</f>
        <v>8418.41095890411</v>
      </c>
      <c r="Z273" s="141" t="n">
        <f aca="false">IF(F273&lt;$Z$2,30,$Z$2-I273)</f>
        <v>30</v>
      </c>
      <c r="AA273" s="147" t="n">
        <f aca="false">I273/12</f>
        <v>8260</v>
      </c>
      <c r="AB273" s="147" t="n">
        <f aca="false">I273*Z273/L273</f>
        <v>8146.84931506849</v>
      </c>
      <c r="AC273" s="143"/>
      <c r="AD273" s="144"/>
      <c r="AE273" s="144"/>
    </row>
    <row r="274" customFormat="false" ht="15.75" hidden="false" customHeight="true" outlineLevel="0" collapsed="false">
      <c r="A274" s="128"/>
      <c r="B274" s="163" t="n">
        <v>45839</v>
      </c>
      <c r="C274" s="128" t="s">
        <v>654</v>
      </c>
      <c r="D274" s="128" t="s">
        <v>655</v>
      </c>
      <c r="E274" s="128"/>
      <c r="F274" s="154" t="n">
        <v>45857</v>
      </c>
      <c r="G274" s="154" t="n">
        <v>46221</v>
      </c>
      <c r="H274" s="128" t="s">
        <v>9</v>
      </c>
      <c r="I274" s="131" t="n">
        <v>82600</v>
      </c>
      <c r="J274" s="128"/>
      <c r="K274" s="132"/>
      <c r="L274" s="127" t="n">
        <f aca="false">G274-F274+1</f>
        <v>365</v>
      </c>
      <c r="M274" s="128"/>
      <c r="N274" s="132"/>
      <c r="O274" s="132"/>
      <c r="P274" s="132"/>
      <c r="Q274" s="128"/>
      <c r="R274" s="128"/>
      <c r="S274" s="128"/>
      <c r="T274" s="132" t="n">
        <f aca="false">I274/12</f>
        <v>6883.33333333333</v>
      </c>
      <c r="U274" s="132" t="n">
        <f aca="false">$U$2-F274+1</f>
        <v>13</v>
      </c>
      <c r="V274" s="147" t="n">
        <f aca="false">I274*U274/L274</f>
        <v>2941.91780821918</v>
      </c>
      <c r="W274" s="141" t="n">
        <f aca="false">IF(F274&lt;$W$2,31,$W$2-F274)</f>
        <v>31</v>
      </c>
      <c r="X274" s="132" t="n">
        <f aca="false">I274/12</f>
        <v>6883.33333333333</v>
      </c>
      <c r="Y274" s="131" t="n">
        <f aca="false">I274*W274/L274</f>
        <v>7015.34246575342</v>
      </c>
      <c r="Z274" s="141" t="n">
        <f aca="false">IF(F274&lt;$Z$2,30,$Z$2-I274)</f>
        <v>30</v>
      </c>
      <c r="AA274" s="147" t="n">
        <f aca="false">I274/12</f>
        <v>6883.33333333333</v>
      </c>
      <c r="AB274" s="147" t="n">
        <f aca="false">I274*Z274/L274</f>
        <v>6789.04109589041</v>
      </c>
      <c r="AC274" s="143"/>
      <c r="AD274" s="144"/>
      <c r="AE274" s="144"/>
    </row>
    <row r="275" customFormat="false" ht="15.75" hidden="false" customHeight="true" outlineLevel="0" collapsed="false">
      <c r="A275" s="128"/>
      <c r="B275" s="163" t="n">
        <v>45839</v>
      </c>
      <c r="C275" s="128" t="s">
        <v>656</v>
      </c>
      <c r="D275" s="128" t="s">
        <v>657</v>
      </c>
      <c r="E275" s="128"/>
      <c r="F275" s="154" t="n">
        <v>45852</v>
      </c>
      <c r="G275" s="154" t="n">
        <v>46216</v>
      </c>
      <c r="H275" s="128" t="s">
        <v>9</v>
      </c>
      <c r="I275" s="131" t="n">
        <v>305865</v>
      </c>
      <c r="J275" s="128"/>
      <c r="K275" s="132"/>
      <c r="L275" s="127" t="n">
        <f aca="false">G275-F275+1</f>
        <v>365</v>
      </c>
      <c r="M275" s="128"/>
      <c r="N275" s="132"/>
      <c r="O275" s="132"/>
      <c r="P275" s="132"/>
      <c r="Q275" s="128"/>
      <c r="R275" s="128"/>
      <c r="S275" s="128"/>
      <c r="T275" s="132" t="n">
        <f aca="false">I275/12</f>
        <v>25488.75</v>
      </c>
      <c r="U275" s="132" t="n">
        <f aca="false">$U$2-F275+1</f>
        <v>18</v>
      </c>
      <c r="V275" s="147" t="n">
        <f aca="false">I275*U275/L275</f>
        <v>15083.7534246575</v>
      </c>
      <c r="W275" s="141" t="n">
        <f aca="false">IF(F275&lt;$W$2,31,$W$2-F275)</f>
        <v>31</v>
      </c>
      <c r="X275" s="132" t="n">
        <f aca="false">I275/12</f>
        <v>25488.75</v>
      </c>
      <c r="Y275" s="131" t="n">
        <f aca="false">I275*W275/L275</f>
        <v>25977.5753424658</v>
      </c>
      <c r="Z275" s="141" t="n">
        <f aca="false">IF(F275&lt;$Z$2,30,$Z$2-I275)</f>
        <v>30</v>
      </c>
      <c r="AA275" s="147" t="n">
        <f aca="false">I275/12</f>
        <v>25488.75</v>
      </c>
      <c r="AB275" s="147" t="n">
        <f aca="false">I275*Z275/L275</f>
        <v>25139.5890410959</v>
      </c>
      <c r="AC275" s="143"/>
      <c r="AD275" s="144"/>
      <c r="AE275" s="144"/>
    </row>
    <row r="276" s="137" customFormat="true" ht="15.75" hidden="false" customHeight="true" outlineLevel="0" collapsed="false">
      <c r="A276" s="127"/>
      <c r="B276" s="162" t="n">
        <v>45809</v>
      </c>
      <c r="C276" s="127" t="s">
        <v>563</v>
      </c>
      <c r="D276" s="127" t="s">
        <v>658</v>
      </c>
      <c r="E276" s="128"/>
      <c r="F276" s="148" t="n">
        <v>45827</v>
      </c>
      <c r="G276" s="148" t="n">
        <v>45856</v>
      </c>
      <c r="H276" s="156" t="s">
        <v>19</v>
      </c>
      <c r="I276" s="131" t="n">
        <v>5900</v>
      </c>
      <c r="J276" s="127"/>
      <c r="K276" s="132"/>
      <c r="L276" s="127" t="n">
        <f aca="false">G276-F276+1</f>
        <v>30</v>
      </c>
      <c r="M276" s="127"/>
      <c r="N276" s="132"/>
      <c r="O276" s="132"/>
      <c r="P276" s="132"/>
      <c r="Q276" s="166" t="n">
        <f aca="false">I276</f>
        <v>5900</v>
      </c>
      <c r="R276" s="127" t="n">
        <f aca="false">$R$2-F276+1</f>
        <v>12</v>
      </c>
      <c r="S276" s="134" t="n">
        <f aca="false">R276*I276/L276</f>
        <v>2360</v>
      </c>
      <c r="T276" s="127"/>
      <c r="U276" s="132" t="n">
        <v>18</v>
      </c>
      <c r="V276" s="131" t="n">
        <f aca="false">I276*U276/L276</f>
        <v>3540</v>
      </c>
      <c r="W276" s="135" t="n">
        <v>0</v>
      </c>
      <c r="X276" s="132" t="n">
        <v>0</v>
      </c>
      <c r="Y276" s="127" t="n">
        <v>0</v>
      </c>
      <c r="Z276" s="127"/>
      <c r="AA276" s="127"/>
      <c r="AB276" s="127"/>
      <c r="AC276" s="136"/>
      <c r="AD276" s="136"/>
      <c r="AE276" s="136"/>
    </row>
    <row r="277" customFormat="false" ht="15.75" hidden="false" customHeight="true" outlineLevel="0" collapsed="false">
      <c r="A277" s="128"/>
      <c r="B277" s="163" t="n">
        <v>45839</v>
      </c>
      <c r="C277" s="128" t="s">
        <v>659</v>
      </c>
      <c r="D277" s="128" t="s">
        <v>660</v>
      </c>
      <c r="E277" s="128"/>
      <c r="F277" s="154" t="n">
        <v>45857</v>
      </c>
      <c r="G277" s="154" t="n">
        <v>46040</v>
      </c>
      <c r="H277" s="145" t="s">
        <v>29</v>
      </c>
      <c r="I277" s="131" t="n">
        <v>41300</v>
      </c>
      <c r="J277" s="128"/>
      <c r="K277" s="132"/>
      <c r="L277" s="127" t="n">
        <f aca="false">G277-F277+1</f>
        <v>184</v>
      </c>
      <c r="M277" s="128"/>
      <c r="N277" s="132"/>
      <c r="O277" s="132"/>
      <c r="P277" s="132"/>
      <c r="Q277" s="128"/>
      <c r="R277" s="128"/>
      <c r="S277" s="128"/>
      <c r="T277" s="146" t="n">
        <f aca="false">I277/6</f>
        <v>6883.33333333333</v>
      </c>
      <c r="U277" s="132" t="n">
        <f aca="false">$U$2-F277+1</f>
        <v>13</v>
      </c>
      <c r="V277" s="147" t="n">
        <f aca="false">I277*U277/L277</f>
        <v>2917.9347826087</v>
      </c>
      <c r="W277" s="141" t="n">
        <f aca="false">IF(F277&lt;$W$2,31,$W$2-F277)</f>
        <v>31</v>
      </c>
      <c r="X277" s="132" t="n">
        <f aca="false">I277/6</f>
        <v>6883.33333333333</v>
      </c>
      <c r="Y277" s="131" t="n">
        <f aca="false">I277*W277/L277</f>
        <v>6958.15217391304</v>
      </c>
      <c r="Z277" s="141" t="n">
        <f aca="false">IF(F277&lt;$Z$2,30,$Z$2-I277)</f>
        <v>30</v>
      </c>
      <c r="AA277" s="147" t="n">
        <f aca="false">I277/6</f>
        <v>6883.33333333333</v>
      </c>
      <c r="AB277" s="147" t="n">
        <f aca="false">Z277*I277/L277</f>
        <v>6733.69565217391</v>
      </c>
      <c r="AC277" s="143"/>
      <c r="AD277" s="144"/>
      <c r="AE277" s="144"/>
    </row>
    <row r="278" customFormat="false" ht="15.75" hidden="false" customHeight="true" outlineLevel="0" collapsed="false">
      <c r="A278" s="128"/>
      <c r="B278" s="163" t="n">
        <v>45839</v>
      </c>
      <c r="C278" s="128" t="s">
        <v>661</v>
      </c>
      <c r="D278" s="128" t="s">
        <v>662</v>
      </c>
      <c r="E278" s="128"/>
      <c r="F278" s="154" t="n">
        <v>45857</v>
      </c>
      <c r="G278" s="154" t="n">
        <v>46221</v>
      </c>
      <c r="H278" s="128" t="s">
        <v>9</v>
      </c>
      <c r="I278" s="131" t="n">
        <v>162840</v>
      </c>
      <c r="J278" s="128"/>
      <c r="K278" s="132"/>
      <c r="L278" s="127" t="n">
        <f aca="false">G278-F278+1</f>
        <v>365</v>
      </c>
      <c r="M278" s="128"/>
      <c r="N278" s="132"/>
      <c r="O278" s="132"/>
      <c r="P278" s="132"/>
      <c r="Q278" s="128"/>
      <c r="R278" s="128"/>
      <c r="S278" s="128"/>
      <c r="T278" s="132" t="n">
        <f aca="false">I278/12</f>
        <v>13570</v>
      </c>
      <c r="U278" s="132" t="n">
        <f aca="false">$U$2-F278+1</f>
        <v>13</v>
      </c>
      <c r="V278" s="147" t="n">
        <f aca="false">I278*U278/L278</f>
        <v>5799.78082191781</v>
      </c>
      <c r="W278" s="141" t="n">
        <f aca="false">IF(F278&lt;$W$2,31,$W$2-F278)</f>
        <v>31</v>
      </c>
      <c r="X278" s="132" t="n">
        <f aca="false">I278/12</f>
        <v>13570</v>
      </c>
      <c r="Y278" s="131" t="n">
        <f aca="false">I278*W278/L278</f>
        <v>13830.2465753425</v>
      </c>
      <c r="Z278" s="141" t="n">
        <f aca="false">IF(F278&lt;$Z$2,30,$Z$2-I278)</f>
        <v>30</v>
      </c>
      <c r="AA278" s="147" t="n">
        <f aca="false">I278/12</f>
        <v>13570</v>
      </c>
      <c r="AB278" s="147" t="n">
        <f aca="false">I278*Z278/L278</f>
        <v>13384.1095890411</v>
      </c>
      <c r="AC278" s="143"/>
      <c r="AD278" s="144"/>
      <c r="AE278" s="144"/>
    </row>
    <row r="279" customFormat="false" ht="15.75" hidden="false" customHeight="true" outlineLevel="0" collapsed="false">
      <c r="A279" s="128"/>
      <c r="B279" s="163" t="n">
        <v>45839</v>
      </c>
      <c r="C279" s="160" t="s">
        <v>234</v>
      </c>
      <c r="D279" s="128" t="s">
        <v>663</v>
      </c>
      <c r="E279" s="128"/>
      <c r="F279" s="154" t="n">
        <v>45859</v>
      </c>
      <c r="G279" s="154" t="n">
        <v>46223</v>
      </c>
      <c r="H279" s="128" t="s">
        <v>9</v>
      </c>
      <c r="I279" s="131" t="n">
        <v>1491048</v>
      </c>
      <c r="J279" s="128"/>
      <c r="K279" s="132"/>
      <c r="L279" s="127" t="n">
        <f aca="false">G279-F279+1</f>
        <v>365</v>
      </c>
      <c r="M279" s="128"/>
      <c r="N279" s="132"/>
      <c r="O279" s="132"/>
      <c r="P279" s="132"/>
      <c r="Q279" s="128"/>
      <c r="R279" s="128"/>
      <c r="S279" s="128"/>
      <c r="T279" s="132" t="n">
        <f aca="false">I279/12</f>
        <v>124254</v>
      </c>
      <c r="U279" s="132" t="n">
        <f aca="false">$U$2-F279+1</f>
        <v>11</v>
      </c>
      <c r="V279" s="147" t="n">
        <f aca="false">I279*U279/L279</f>
        <v>44935.6931506849</v>
      </c>
      <c r="W279" s="141" t="n">
        <f aca="false">IF(F279&lt;$W$2,31,$W$2-F279)</f>
        <v>31</v>
      </c>
      <c r="X279" s="132" t="n">
        <f aca="false">I279/12</f>
        <v>124254</v>
      </c>
      <c r="Y279" s="131" t="n">
        <f aca="false">I279*W279/L279</f>
        <v>126636.953424658</v>
      </c>
      <c r="Z279" s="141" t="n">
        <f aca="false">IF(F279&lt;$Z$2,30,$Z$2-I279)</f>
        <v>30</v>
      </c>
      <c r="AA279" s="147" t="n">
        <f aca="false">I279/12</f>
        <v>124254</v>
      </c>
      <c r="AB279" s="147" t="n">
        <f aca="false">I279*Z279/L279</f>
        <v>122551.890410959</v>
      </c>
      <c r="AC279" s="143"/>
      <c r="AD279" s="144"/>
      <c r="AE279" s="144"/>
    </row>
    <row r="280" customFormat="false" ht="15.75" hidden="false" customHeight="true" outlineLevel="0" collapsed="false">
      <c r="A280" s="128"/>
      <c r="B280" s="163" t="n">
        <v>45839</v>
      </c>
      <c r="C280" s="128" t="s">
        <v>664</v>
      </c>
      <c r="D280" s="128" t="s">
        <v>665</v>
      </c>
      <c r="E280" s="128"/>
      <c r="F280" s="154" t="n">
        <v>45861</v>
      </c>
      <c r="G280" s="154" t="n">
        <v>46590</v>
      </c>
      <c r="H280" s="128" t="s">
        <v>11</v>
      </c>
      <c r="I280" s="131" t="n">
        <v>113896.08</v>
      </c>
      <c r="J280" s="128"/>
      <c r="K280" s="132"/>
      <c r="L280" s="127" t="n">
        <f aca="false">G280-F280+1</f>
        <v>730</v>
      </c>
      <c r="M280" s="128"/>
      <c r="N280" s="132"/>
      <c r="O280" s="132"/>
      <c r="P280" s="132"/>
      <c r="Q280" s="128"/>
      <c r="R280" s="128"/>
      <c r="S280" s="128"/>
      <c r="T280" s="128" t="n">
        <f aca="false">I280/24</f>
        <v>4745.67</v>
      </c>
      <c r="U280" s="132" t="n">
        <f aca="false">$U$2-F280+1</f>
        <v>9</v>
      </c>
      <c r="V280" s="147" t="n">
        <f aca="false">I280*U280/L280</f>
        <v>1404.19824657534</v>
      </c>
      <c r="W280" s="141" t="n">
        <f aca="false">IF(F280&lt;$W$2,31,$W$2-F280)</f>
        <v>31</v>
      </c>
      <c r="X280" s="132" t="n">
        <f aca="false">I280/24</f>
        <v>4745.67</v>
      </c>
      <c r="Y280" s="131" t="n">
        <f aca="false">I280*W280/L280</f>
        <v>4836.68284931507</v>
      </c>
      <c r="Z280" s="141" t="n">
        <f aca="false">IF(F280&lt;$Z$2,30,$Z$2-I280)</f>
        <v>30</v>
      </c>
      <c r="AA280" s="147" t="n">
        <f aca="false">I280/24</f>
        <v>4745.67</v>
      </c>
      <c r="AB280" s="147" t="n">
        <f aca="false">Z280*I280/L280</f>
        <v>4680.66082191781</v>
      </c>
      <c r="AC280" s="143"/>
      <c r="AD280" s="144"/>
      <c r="AE280" s="144"/>
    </row>
    <row r="281" customFormat="false" ht="15.75" hidden="false" customHeight="true" outlineLevel="0" collapsed="false">
      <c r="A281" s="128"/>
      <c r="B281" s="163" t="n">
        <v>45839</v>
      </c>
      <c r="C281" s="128" t="s">
        <v>666</v>
      </c>
      <c r="D281" s="128" t="s">
        <v>667</v>
      </c>
      <c r="E281" s="128"/>
      <c r="F281" s="154" t="n">
        <v>45859</v>
      </c>
      <c r="G281" s="154" t="n">
        <v>45889</v>
      </c>
      <c r="H281" s="145" t="s">
        <v>19</v>
      </c>
      <c r="I281" s="131" t="n">
        <v>23600</v>
      </c>
      <c r="J281" s="128"/>
      <c r="K281" s="132"/>
      <c r="L281" s="127" t="n">
        <f aca="false">G281-F281+1</f>
        <v>31</v>
      </c>
      <c r="M281" s="128"/>
      <c r="N281" s="132"/>
      <c r="O281" s="132"/>
      <c r="P281" s="132"/>
      <c r="Q281" s="128"/>
      <c r="R281" s="128"/>
      <c r="S281" s="128"/>
      <c r="T281" s="167" t="n">
        <f aca="false">I281</f>
        <v>23600</v>
      </c>
      <c r="U281" s="132" t="n">
        <f aca="false">$U$2-F281+1</f>
        <v>11</v>
      </c>
      <c r="V281" s="147" t="n">
        <f aca="false">I281*U281/L281</f>
        <v>8374.1935483871</v>
      </c>
      <c r="W281" s="141" t="n">
        <f aca="false">G281-$W$1+1</f>
        <v>20</v>
      </c>
      <c r="X281" s="132" t="n">
        <v>0</v>
      </c>
      <c r="Y281" s="131" t="n">
        <f aca="false">I281*W281/L281</f>
        <v>15225.8064516129</v>
      </c>
      <c r="Z281" s="128"/>
      <c r="AA281" s="128"/>
      <c r="AB281" s="128"/>
      <c r="AC281" s="136"/>
      <c r="AD281" s="136"/>
      <c r="AE281" s="136"/>
    </row>
    <row r="282" s="137" customFormat="true" ht="15.75" hidden="false" customHeight="true" outlineLevel="0" collapsed="false">
      <c r="A282" s="127"/>
      <c r="B282" s="162" t="s">
        <v>668</v>
      </c>
      <c r="C282" s="127" t="s">
        <v>669</v>
      </c>
      <c r="D282" s="127" t="s">
        <v>670</v>
      </c>
      <c r="E282" s="128"/>
      <c r="F282" s="148" t="n">
        <v>45858</v>
      </c>
      <c r="G282" s="148" t="n">
        <v>45888</v>
      </c>
      <c r="H282" s="169" t="s">
        <v>19</v>
      </c>
      <c r="I282" s="131" t="n">
        <v>7100</v>
      </c>
      <c r="J282" s="127"/>
      <c r="K282" s="132"/>
      <c r="L282" s="127" t="n">
        <f aca="false">G282-F282+1</f>
        <v>31</v>
      </c>
      <c r="M282" s="127"/>
      <c r="N282" s="132"/>
      <c r="O282" s="132"/>
      <c r="P282" s="132"/>
      <c r="Q282" s="127"/>
      <c r="R282" s="127"/>
      <c r="S282" s="127"/>
      <c r="T282" s="133" t="n">
        <f aca="false">I282</f>
        <v>7100</v>
      </c>
      <c r="U282" s="132" t="n">
        <f aca="false">$U$2-F282+1</f>
        <v>12</v>
      </c>
      <c r="V282" s="134" t="n">
        <f aca="false">I282*U282/L282</f>
        <v>2748.38709677419</v>
      </c>
      <c r="W282" s="135" t="n">
        <v>19</v>
      </c>
      <c r="X282" s="132"/>
      <c r="Y282" s="131" t="n">
        <f aca="false">I282*W282/L282</f>
        <v>4351.61290322581</v>
      </c>
      <c r="Z282" s="127"/>
      <c r="AA282" s="127"/>
      <c r="AB282" s="127"/>
      <c r="AC282" s="136"/>
      <c r="AD282" s="136"/>
      <c r="AE282" s="136"/>
    </row>
    <row r="283" s="137" customFormat="true" ht="15.75" hidden="false" customHeight="true" outlineLevel="0" collapsed="false">
      <c r="A283" s="127"/>
      <c r="B283" s="162" t="n">
        <v>45839</v>
      </c>
      <c r="C283" s="127" t="s">
        <v>671</v>
      </c>
      <c r="D283" s="127" t="s">
        <v>672</v>
      </c>
      <c r="E283" s="128"/>
      <c r="F283" s="148" t="n">
        <v>45859</v>
      </c>
      <c r="G283" s="148" t="n">
        <v>46223</v>
      </c>
      <c r="H283" s="127" t="s">
        <v>9</v>
      </c>
      <c r="I283" s="131" t="n">
        <v>212400</v>
      </c>
      <c r="J283" s="127"/>
      <c r="K283" s="132"/>
      <c r="L283" s="127" t="n">
        <f aca="false">G283-F283+1</f>
        <v>365</v>
      </c>
      <c r="M283" s="127"/>
      <c r="N283" s="132"/>
      <c r="O283" s="132"/>
      <c r="P283" s="132"/>
      <c r="Q283" s="127"/>
      <c r="R283" s="127"/>
      <c r="S283" s="127"/>
      <c r="T283" s="132" t="n">
        <f aca="false">I283/12</f>
        <v>17700</v>
      </c>
      <c r="U283" s="132" t="n">
        <f aca="false">$U$2-F283+1</f>
        <v>11</v>
      </c>
      <c r="V283" s="134" t="n">
        <f aca="false">I283*U283/L283</f>
        <v>6401.09589041096</v>
      </c>
      <c r="W283" s="135" t="n">
        <f aca="false">IF(F283&lt;$W$2,31,$W$2-F283)</f>
        <v>31</v>
      </c>
      <c r="X283" s="132" t="n">
        <f aca="false">I283/12</f>
        <v>17700</v>
      </c>
      <c r="Y283" s="131" t="n">
        <f aca="false">I283*W283/L283</f>
        <v>18039.4520547945</v>
      </c>
      <c r="Z283" s="135" t="n">
        <f aca="false">IF(F283&lt;$Z$2,30,$Z$2-I283)</f>
        <v>30</v>
      </c>
      <c r="AA283" s="134" t="n">
        <f aca="false">I283/12</f>
        <v>17700</v>
      </c>
      <c r="AB283" s="134" t="n">
        <f aca="false">I283*Z283/L283</f>
        <v>17457.5342465753</v>
      </c>
      <c r="AC283" s="143"/>
      <c r="AD283" s="144"/>
      <c r="AE283" s="144"/>
    </row>
    <row r="284" s="137" customFormat="true" ht="15.75" hidden="false" customHeight="true" outlineLevel="0" collapsed="false">
      <c r="A284" s="127"/>
      <c r="B284" s="162" t="s">
        <v>589</v>
      </c>
      <c r="C284" s="127" t="s">
        <v>286</v>
      </c>
      <c r="D284" s="127" t="s">
        <v>673</v>
      </c>
      <c r="E284" s="128"/>
      <c r="F284" s="148" t="n">
        <v>45859</v>
      </c>
      <c r="G284" s="148" t="n">
        <v>46223</v>
      </c>
      <c r="H284" s="127" t="s">
        <v>10</v>
      </c>
      <c r="I284" s="131" t="n">
        <f aca="false">34416*12</f>
        <v>412992</v>
      </c>
      <c r="J284" s="127"/>
      <c r="K284" s="132"/>
      <c r="L284" s="127" t="n">
        <f aca="false">G284-F284+1</f>
        <v>365</v>
      </c>
      <c r="M284" s="127"/>
      <c r="N284" s="132"/>
      <c r="O284" s="132"/>
      <c r="P284" s="132"/>
      <c r="Q284" s="127"/>
      <c r="R284" s="127"/>
      <c r="S284" s="127"/>
      <c r="T284" s="132" t="n">
        <f aca="false">I284/12</f>
        <v>34416</v>
      </c>
      <c r="U284" s="132" t="n">
        <f aca="false">$U$2-F284+1</f>
        <v>11</v>
      </c>
      <c r="V284" s="134" t="n">
        <f aca="false">I284*U284/L284</f>
        <v>12446.3342465753</v>
      </c>
      <c r="W284" s="135" t="n">
        <f aca="false">IF(F284&lt;$W$2,31,$W$2-F284)</f>
        <v>31</v>
      </c>
      <c r="X284" s="132" t="n">
        <f aca="false">I284/12</f>
        <v>34416</v>
      </c>
      <c r="Y284" s="131" t="n">
        <f aca="false">I284*W284/L284</f>
        <v>35076.0328767123</v>
      </c>
      <c r="Z284" s="135" t="n">
        <f aca="false">IF(F284&lt;$Z$2,30,$Z$2-I284)</f>
        <v>30</v>
      </c>
      <c r="AA284" s="134" t="n">
        <f aca="false">I284/12</f>
        <v>34416</v>
      </c>
      <c r="AB284" s="134" t="n">
        <f aca="false">I284*Z284/L284</f>
        <v>33944.5479452055</v>
      </c>
      <c r="AC284" s="143"/>
      <c r="AD284" s="144"/>
      <c r="AE284" s="144"/>
    </row>
    <row r="285" s="137" customFormat="true" ht="15.75" hidden="false" customHeight="true" outlineLevel="0" collapsed="false">
      <c r="A285" s="127"/>
      <c r="B285" s="162" t="n">
        <v>45839</v>
      </c>
      <c r="C285" s="127" t="s">
        <v>125</v>
      </c>
      <c r="D285" s="127" t="s">
        <v>674</v>
      </c>
      <c r="E285" s="128"/>
      <c r="F285" s="148" t="n">
        <v>45838</v>
      </c>
      <c r="G285" s="148" t="n">
        <v>46022</v>
      </c>
      <c r="H285" s="142" t="s">
        <v>29</v>
      </c>
      <c r="I285" s="131" t="n">
        <v>708000</v>
      </c>
      <c r="J285" s="127"/>
      <c r="K285" s="132"/>
      <c r="L285" s="127" t="n">
        <f aca="false">G285-F285+1</f>
        <v>185</v>
      </c>
      <c r="M285" s="127"/>
      <c r="N285" s="132"/>
      <c r="O285" s="132"/>
      <c r="P285" s="132"/>
      <c r="Q285" s="127" t="n">
        <f aca="false">I285/6</f>
        <v>118000</v>
      </c>
      <c r="R285" s="127" t="n">
        <f aca="false">$R$2-F285+1</f>
        <v>1</v>
      </c>
      <c r="S285" s="134" t="n">
        <f aca="false">R285*I285/L285</f>
        <v>3827.02702702703</v>
      </c>
      <c r="T285" s="133" t="n">
        <f aca="false">I285/6</f>
        <v>118000</v>
      </c>
      <c r="U285" s="132" t="n">
        <f aca="false">IF(F285&lt;$U$2,31,$U$2-F286)</f>
        <v>31</v>
      </c>
      <c r="V285" s="131" t="n">
        <f aca="false">I285*U285/L285</f>
        <v>118637.837837838</v>
      </c>
      <c r="W285" s="135" t="n">
        <f aca="false">IF(F285&lt;$W$2,31,$W$2-F285)</f>
        <v>31</v>
      </c>
      <c r="X285" s="132" t="n">
        <f aca="false">I285/6</f>
        <v>118000</v>
      </c>
      <c r="Y285" s="131" t="n">
        <f aca="false">I285*W285/L285</f>
        <v>118637.837837838</v>
      </c>
      <c r="Z285" s="135" t="n">
        <f aca="false">IF(F285&lt;$Z$2,30,$Z$2-I285)</f>
        <v>30</v>
      </c>
      <c r="AA285" s="134" t="n">
        <f aca="false">I285/6</f>
        <v>118000</v>
      </c>
      <c r="AB285" s="134" t="n">
        <f aca="false">Z285*I285/L285</f>
        <v>114810.810810811</v>
      </c>
      <c r="AC285" s="143"/>
      <c r="AD285" s="144"/>
      <c r="AE285" s="144"/>
    </row>
    <row r="286" customFormat="false" ht="15.75" hidden="false" customHeight="true" outlineLevel="0" collapsed="false">
      <c r="A286" s="128"/>
      <c r="B286" s="163" t="n">
        <v>45839</v>
      </c>
      <c r="C286" s="128" t="s">
        <v>675</v>
      </c>
      <c r="D286" s="128" t="s">
        <v>676</v>
      </c>
      <c r="E286" s="128"/>
      <c r="F286" s="154" t="n">
        <v>46023</v>
      </c>
      <c r="G286" s="154" t="n">
        <v>46209</v>
      </c>
      <c r="H286" s="145" t="s">
        <v>29</v>
      </c>
      <c r="I286" s="131" t="n">
        <v>708000</v>
      </c>
      <c r="J286" s="128"/>
      <c r="K286" s="132"/>
      <c r="L286" s="127" t="n">
        <f aca="false">G286-F286+1</f>
        <v>187</v>
      </c>
      <c r="M286" s="128"/>
      <c r="N286" s="132"/>
      <c r="O286" s="132"/>
      <c r="P286" s="132"/>
      <c r="Q286" s="128"/>
      <c r="R286" s="128"/>
      <c r="S286" s="128"/>
      <c r="T286" s="146"/>
      <c r="U286" s="132"/>
      <c r="V286" s="131"/>
      <c r="W286" s="141" t="n">
        <v>0</v>
      </c>
      <c r="X286" s="132" t="n">
        <v>0</v>
      </c>
      <c r="Y286" s="128" t="n">
        <v>0</v>
      </c>
      <c r="Z286" s="128"/>
      <c r="AA286" s="128"/>
      <c r="AB286" s="128"/>
      <c r="AC286" s="136"/>
      <c r="AD286" s="136"/>
      <c r="AE286" s="136"/>
    </row>
    <row r="287" customFormat="false" ht="15.75" hidden="false" customHeight="true" outlineLevel="0" collapsed="false">
      <c r="A287" s="128"/>
      <c r="B287" s="163" t="n">
        <v>45839</v>
      </c>
      <c r="C287" s="128" t="s">
        <v>677</v>
      </c>
      <c r="D287" s="128" t="s">
        <v>678</v>
      </c>
      <c r="E287" s="128"/>
      <c r="F287" s="154" t="n">
        <v>45860</v>
      </c>
      <c r="G287" s="154" t="n">
        <v>45890</v>
      </c>
      <c r="H287" s="145" t="s">
        <v>19</v>
      </c>
      <c r="I287" s="131" t="n">
        <v>6000</v>
      </c>
      <c r="J287" s="128"/>
      <c r="K287" s="132"/>
      <c r="L287" s="127" t="n">
        <f aca="false">G287-F287+1</f>
        <v>31</v>
      </c>
      <c r="M287" s="128"/>
      <c r="N287" s="132"/>
      <c r="O287" s="132"/>
      <c r="P287" s="132"/>
      <c r="Q287" s="128"/>
      <c r="R287" s="128"/>
      <c r="S287" s="128"/>
      <c r="T287" s="167" t="n">
        <f aca="false">I287</f>
        <v>6000</v>
      </c>
      <c r="U287" s="132" t="n">
        <f aca="false">$U$2-F287+1</f>
        <v>10</v>
      </c>
      <c r="V287" s="147" t="n">
        <f aca="false">I287*U287/L287</f>
        <v>1935.48387096774</v>
      </c>
      <c r="W287" s="141" t="n">
        <f aca="false">G287-$W$1+1</f>
        <v>21</v>
      </c>
      <c r="X287" s="132" t="n">
        <v>0</v>
      </c>
      <c r="Y287" s="131" t="n">
        <f aca="false">I287*W287/L287</f>
        <v>4064.51612903226</v>
      </c>
      <c r="Z287" s="128"/>
      <c r="AA287" s="128"/>
      <c r="AB287" s="128"/>
      <c r="AC287" s="136"/>
      <c r="AD287" s="136"/>
      <c r="AE287" s="136"/>
    </row>
    <row r="288" customFormat="false" ht="15.75" hidden="false" customHeight="true" outlineLevel="0" collapsed="false">
      <c r="A288" s="128"/>
      <c r="B288" s="163" t="n">
        <v>45839</v>
      </c>
      <c r="C288" s="128" t="s">
        <v>679</v>
      </c>
      <c r="D288" s="128" t="s">
        <v>680</v>
      </c>
      <c r="E288" s="128"/>
      <c r="F288" s="154" t="n">
        <v>45860</v>
      </c>
      <c r="G288" s="154" t="n">
        <v>46224</v>
      </c>
      <c r="H288" s="128" t="s">
        <v>9</v>
      </c>
      <c r="I288" s="131" t="n">
        <v>130000</v>
      </c>
      <c r="J288" s="128"/>
      <c r="K288" s="132"/>
      <c r="L288" s="127" t="n">
        <f aca="false">G288-F288+1</f>
        <v>365</v>
      </c>
      <c r="M288" s="128"/>
      <c r="N288" s="132"/>
      <c r="O288" s="132"/>
      <c r="P288" s="132"/>
      <c r="Q288" s="128"/>
      <c r="R288" s="128"/>
      <c r="S288" s="128"/>
      <c r="T288" s="132" t="n">
        <f aca="false">I288/12</f>
        <v>10833.3333333333</v>
      </c>
      <c r="U288" s="132" t="n">
        <f aca="false">$U$2-F288+1</f>
        <v>10</v>
      </c>
      <c r="V288" s="147" t="n">
        <f aca="false">I288*U288/L288</f>
        <v>3561.64383561644</v>
      </c>
      <c r="W288" s="141" t="n">
        <f aca="false">IF(F288&lt;$W$2,31,$W$2-F288)</f>
        <v>31</v>
      </c>
      <c r="X288" s="132" t="n">
        <f aca="false">I288/12</f>
        <v>10833.3333333333</v>
      </c>
      <c r="Y288" s="131" t="n">
        <f aca="false">I288*W288/L288</f>
        <v>11041.095890411</v>
      </c>
      <c r="Z288" s="141" t="n">
        <f aca="false">IF(F288&lt;$Z$2,30,$Z$2-I288)</f>
        <v>30</v>
      </c>
      <c r="AA288" s="147" t="n">
        <f aca="false">I288/12</f>
        <v>10833.3333333333</v>
      </c>
      <c r="AB288" s="147" t="n">
        <f aca="false">I288*Z288/L288</f>
        <v>10684.9315068493</v>
      </c>
      <c r="AC288" s="143"/>
      <c r="AD288" s="144"/>
      <c r="AE288" s="144"/>
    </row>
    <row r="289" customFormat="false" ht="15.75" hidden="false" customHeight="true" outlineLevel="0" collapsed="false">
      <c r="A289" s="128"/>
      <c r="B289" s="163" t="n">
        <v>45839</v>
      </c>
      <c r="C289" s="128" t="s">
        <v>681</v>
      </c>
      <c r="D289" s="128" t="s">
        <v>682</v>
      </c>
      <c r="E289" s="128"/>
      <c r="F289" s="154" t="n">
        <v>45860</v>
      </c>
      <c r="G289" s="154" t="n">
        <v>46224</v>
      </c>
      <c r="H289" s="128" t="s">
        <v>9</v>
      </c>
      <c r="I289" s="131" t="n">
        <v>70800</v>
      </c>
      <c r="J289" s="128"/>
      <c r="K289" s="132"/>
      <c r="L289" s="127" t="n">
        <f aca="false">G289-F289+1</f>
        <v>365</v>
      </c>
      <c r="M289" s="128"/>
      <c r="N289" s="132"/>
      <c r="O289" s="132"/>
      <c r="P289" s="132"/>
      <c r="Q289" s="128"/>
      <c r="R289" s="128"/>
      <c r="S289" s="128"/>
      <c r="T289" s="132" t="n">
        <f aca="false">I289/12</f>
        <v>5900</v>
      </c>
      <c r="U289" s="132" t="n">
        <f aca="false">$U$2-F289+1</f>
        <v>10</v>
      </c>
      <c r="V289" s="147" t="n">
        <f aca="false">I289*U289/L289</f>
        <v>1939.72602739726</v>
      </c>
      <c r="W289" s="141" t="n">
        <f aca="false">IF(F289&lt;$W$2,31,$W$2-F289)</f>
        <v>31</v>
      </c>
      <c r="X289" s="132" t="n">
        <f aca="false">I289/12</f>
        <v>5900</v>
      </c>
      <c r="Y289" s="131" t="n">
        <f aca="false">I289*W289/L289</f>
        <v>6013.15068493151</v>
      </c>
      <c r="Z289" s="141" t="n">
        <f aca="false">IF(F289&lt;$Z$2,30,$Z$2-I289)</f>
        <v>30</v>
      </c>
      <c r="AA289" s="147" t="n">
        <f aca="false">I289/12</f>
        <v>5900</v>
      </c>
      <c r="AB289" s="147" t="n">
        <f aca="false">I289*Z289/L289</f>
        <v>5819.17808219178</v>
      </c>
      <c r="AC289" s="143"/>
      <c r="AD289" s="144"/>
      <c r="AE289" s="144"/>
    </row>
    <row r="290" customFormat="false" ht="15.75" hidden="false" customHeight="true" outlineLevel="0" collapsed="false">
      <c r="A290" s="128"/>
      <c r="B290" s="163" t="n">
        <v>45839</v>
      </c>
      <c r="C290" s="128" t="s">
        <v>683</v>
      </c>
      <c r="D290" s="128" t="s">
        <v>684</v>
      </c>
      <c r="E290" s="128"/>
      <c r="F290" s="154" t="n">
        <v>45860</v>
      </c>
      <c r="G290" s="154" t="n">
        <v>45921</v>
      </c>
      <c r="H290" s="128" t="s">
        <v>685</v>
      </c>
      <c r="I290" s="131" t="n">
        <v>23600</v>
      </c>
      <c r="J290" s="128"/>
      <c r="K290" s="132"/>
      <c r="L290" s="127" t="n">
        <f aca="false">G290-F290+1</f>
        <v>62</v>
      </c>
      <c r="M290" s="128"/>
      <c r="N290" s="132"/>
      <c r="O290" s="132"/>
      <c r="P290" s="132"/>
      <c r="Q290" s="128"/>
      <c r="R290" s="128"/>
      <c r="S290" s="128"/>
      <c r="T290" s="128" t="n">
        <f aca="false">I290/2</f>
        <v>11800</v>
      </c>
      <c r="U290" s="132" t="n">
        <f aca="false">$U$2-F290+1</f>
        <v>10</v>
      </c>
      <c r="V290" s="147" t="n">
        <f aca="false">I290*U290/L290</f>
        <v>3806.45161290323</v>
      </c>
      <c r="W290" s="141" t="n">
        <f aca="false">IF(F290&lt;$W$2,31,$W$2-F290)</f>
        <v>31</v>
      </c>
      <c r="X290" s="132" t="n">
        <f aca="false">I290/2</f>
        <v>11800</v>
      </c>
      <c r="Y290" s="131" t="n">
        <f aca="false">I290*W290/L290</f>
        <v>11800</v>
      </c>
      <c r="Z290" s="128" t="n">
        <f aca="false">G290-$W$2</f>
        <v>21</v>
      </c>
      <c r="AA290" s="128"/>
      <c r="AB290" s="147" t="n">
        <f aca="false">Z290*I290/L290</f>
        <v>7993.54838709678</v>
      </c>
      <c r="AC290" s="136"/>
      <c r="AD290" s="136"/>
      <c r="AE290" s="136"/>
    </row>
    <row r="291" s="137" customFormat="true" ht="15.75" hidden="false" customHeight="true" outlineLevel="0" collapsed="false">
      <c r="A291" s="127"/>
      <c r="B291" s="162" t="s">
        <v>589</v>
      </c>
      <c r="C291" s="127" t="s">
        <v>157</v>
      </c>
      <c r="D291" s="127" t="s">
        <v>686</v>
      </c>
      <c r="E291" s="128"/>
      <c r="F291" s="148" t="n">
        <v>45860</v>
      </c>
      <c r="G291" s="148" t="n">
        <v>46133</v>
      </c>
      <c r="H291" s="142" t="s">
        <v>33</v>
      </c>
      <c r="I291" s="131" t="n">
        <f aca="false">17700*9</f>
        <v>159300</v>
      </c>
      <c r="J291" s="127"/>
      <c r="K291" s="132"/>
      <c r="L291" s="127" t="n">
        <f aca="false">G291-F291+1</f>
        <v>274</v>
      </c>
      <c r="M291" s="127"/>
      <c r="N291" s="132"/>
      <c r="O291" s="132"/>
      <c r="P291" s="132"/>
      <c r="Q291" s="127"/>
      <c r="R291" s="127"/>
      <c r="S291" s="127"/>
      <c r="T291" s="127" t="n">
        <f aca="false">I291/8</f>
        <v>19912.5</v>
      </c>
      <c r="U291" s="132" t="n">
        <f aca="false">$U$2-F291+1</f>
        <v>10</v>
      </c>
      <c r="V291" s="134" t="n">
        <f aca="false">I291*U291/L291</f>
        <v>5813.86861313869</v>
      </c>
      <c r="W291" s="135" t="n">
        <f aca="false">IF(F291&lt;$W$2,31,$W$2-F291)</f>
        <v>31</v>
      </c>
      <c r="X291" s="132" t="n">
        <f aca="false">I291/8</f>
        <v>19912.5</v>
      </c>
      <c r="Y291" s="131" t="n">
        <f aca="false">I291*W291/L291</f>
        <v>18022.9927007299</v>
      </c>
      <c r="Z291" s="135" t="n">
        <f aca="false">IF(F291&lt;$Z$2,30,$Z$2-I291)</f>
        <v>30</v>
      </c>
      <c r="AA291" s="134" t="n">
        <f aca="false">I291/9</f>
        <v>17700</v>
      </c>
      <c r="AB291" s="134" t="n">
        <f aca="false">Z291*I291/L291</f>
        <v>17441.6058394161</v>
      </c>
      <c r="AC291" s="143"/>
      <c r="AD291" s="144"/>
      <c r="AE291" s="144"/>
    </row>
    <row r="292" s="137" customFormat="true" ht="15.75" hidden="false" customHeight="true" outlineLevel="0" collapsed="false">
      <c r="A292" s="127"/>
      <c r="B292" s="162" t="n">
        <v>45839</v>
      </c>
      <c r="C292" s="127" t="s">
        <v>687</v>
      </c>
      <c r="D292" s="127" t="s">
        <v>688</v>
      </c>
      <c r="E292" s="128"/>
      <c r="F292" s="148" t="n">
        <v>45860</v>
      </c>
      <c r="G292" s="148" t="n">
        <v>45890</v>
      </c>
      <c r="H292" s="142" t="s">
        <v>19</v>
      </c>
      <c r="I292" s="131" t="n">
        <v>23600</v>
      </c>
      <c r="J292" s="127"/>
      <c r="K292" s="132"/>
      <c r="L292" s="127" t="n">
        <f aca="false">G292-F292+1</f>
        <v>31</v>
      </c>
      <c r="M292" s="127"/>
      <c r="N292" s="132"/>
      <c r="O292" s="132"/>
      <c r="P292" s="132"/>
      <c r="Q292" s="127"/>
      <c r="R292" s="127"/>
      <c r="S292" s="127"/>
      <c r="T292" s="166" t="n">
        <f aca="false">I292</f>
        <v>23600</v>
      </c>
      <c r="U292" s="132" t="n">
        <f aca="false">$U$2-F292+1</f>
        <v>10</v>
      </c>
      <c r="V292" s="134" t="n">
        <f aca="false">I292*U292/L292</f>
        <v>7612.90322580645</v>
      </c>
      <c r="W292" s="135" t="n">
        <f aca="false">G292-$W$1+1</f>
        <v>21</v>
      </c>
      <c r="X292" s="132" t="n">
        <v>0</v>
      </c>
      <c r="Y292" s="131" t="n">
        <f aca="false">I292*W292/L292</f>
        <v>15987.0967741936</v>
      </c>
      <c r="Z292" s="127"/>
      <c r="AA292" s="127"/>
      <c r="AB292" s="127"/>
      <c r="AC292" s="136"/>
      <c r="AD292" s="136"/>
      <c r="AE292" s="136"/>
    </row>
    <row r="293" customFormat="false" ht="15.75" hidden="false" customHeight="true" outlineLevel="0" collapsed="false">
      <c r="A293" s="128"/>
      <c r="B293" s="163" t="n">
        <v>45839</v>
      </c>
      <c r="C293" s="128" t="s">
        <v>689</v>
      </c>
      <c r="D293" s="128" t="s">
        <v>690</v>
      </c>
      <c r="E293" s="128"/>
      <c r="F293" s="154" t="n">
        <v>45861</v>
      </c>
      <c r="G293" s="154" t="n">
        <v>46225</v>
      </c>
      <c r="H293" s="128" t="s">
        <v>9</v>
      </c>
      <c r="I293" s="131" t="n">
        <v>82600</v>
      </c>
      <c r="J293" s="128"/>
      <c r="K293" s="132"/>
      <c r="L293" s="127" t="n">
        <f aca="false">G293-F293+1</f>
        <v>365</v>
      </c>
      <c r="M293" s="128"/>
      <c r="N293" s="132"/>
      <c r="O293" s="132"/>
      <c r="P293" s="132"/>
      <c r="Q293" s="128"/>
      <c r="R293" s="128"/>
      <c r="S293" s="128"/>
      <c r="T293" s="132" t="n">
        <f aca="false">I293/12</f>
        <v>6883.33333333333</v>
      </c>
      <c r="U293" s="132" t="n">
        <f aca="false">$U$2-F293+1</f>
        <v>9</v>
      </c>
      <c r="V293" s="147" t="n">
        <f aca="false">I293*U293/L293</f>
        <v>2036.71232876712</v>
      </c>
      <c r="W293" s="141" t="n">
        <f aca="false">IF(F293&lt;$W$2,31,$W$2-F293)</f>
        <v>31</v>
      </c>
      <c r="X293" s="132" t="n">
        <f aca="false">I293/12</f>
        <v>6883.33333333333</v>
      </c>
      <c r="Y293" s="131" t="n">
        <f aca="false">I293*W293/L293</f>
        <v>7015.34246575342</v>
      </c>
      <c r="Z293" s="141" t="n">
        <f aca="false">IF(F293&lt;$Z$2,30,$Z$2-I293)</f>
        <v>30</v>
      </c>
      <c r="AA293" s="147" t="n">
        <f aca="false">I293/12</f>
        <v>6883.33333333333</v>
      </c>
      <c r="AB293" s="147" t="n">
        <f aca="false">I293*Z293/L293</f>
        <v>6789.04109589041</v>
      </c>
      <c r="AC293" s="143"/>
      <c r="AD293" s="144"/>
      <c r="AE293" s="144"/>
    </row>
    <row r="294" customFormat="false" ht="15.75" hidden="false" customHeight="true" outlineLevel="0" collapsed="false">
      <c r="A294" s="128"/>
      <c r="B294" s="163" t="n">
        <v>45839</v>
      </c>
      <c r="C294" s="128" t="s">
        <v>691</v>
      </c>
      <c r="D294" s="128" t="s">
        <v>692</v>
      </c>
      <c r="E294" s="128"/>
      <c r="F294" s="154" t="n">
        <v>45861</v>
      </c>
      <c r="G294" s="154" t="n">
        <v>46044</v>
      </c>
      <c r="H294" s="145" t="s">
        <v>29</v>
      </c>
      <c r="I294" s="131" t="n">
        <v>41300</v>
      </c>
      <c r="J294" s="128"/>
      <c r="K294" s="132"/>
      <c r="L294" s="127" t="n">
        <f aca="false">G294-F294+1</f>
        <v>184</v>
      </c>
      <c r="M294" s="128"/>
      <c r="N294" s="132"/>
      <c r="O294" s="132"/>
      <c r="P294" s="132"/>
      <c r="Q294" s="128"/>
      <c r="R294" s="128"/>
      <c r="S294" s="128"/>
      <c r="T294" s="146" t="n">
        <f aca="false">I294/6</f>
        <v>6883.33333333333</v>
      </c>
      <c r="U294" s="132" t="n">
        <f aca="false">$U$2-F294+1</f>
        <v>9</v>
      </c>
      <c r="V294" s="147" t="n">
        <f aca="false">I294*U294/L294</f>
        <v>2020.10869565217</v>
      </c>
      <c r="W294" s="141" t="n">
        <f aca="false">IF(F294&lt;$W$2,31,$W$2-F294)</f>
        <v>31</v>
      </c>
      <c r="X294" s="132" t="n">
        <f aca="false">I294/6</f>
        <v>6883.33333333333</v>
      </c>
      <c r="Y294" s="131" t="n">
        <f aca="false">I294*W294/L294</f>
        <v>6958.15217391304</v>
      </c>
      <c r="Z294" s="141" t="n">
        <f aca="false">IF(F294&lt;$Z$2,30,$Z$2-I294)</f>
        <v>30</v>
      </c>
      <c r="AA294" s="147" t="n">
        <f aca="false">I294/6</f>
        <v>6883.33333333333</v>
      </c>
      <c r="AB294" s="147" t="n">
        <f aca="false">Z294*I294/L294</f>
        <v>6733.69565217391</v>
      </c>
      <c r="AC294" s="143"/>
      <c r="AD294" s="144"/>
      <c r="AE294" s="144"/>
    </row>
    <row r="295" customFormat="false" ht="15.75" hidden="false" customHeight="true" outlineLevel="0" collapsed="false">
      <c r="A295" s="128"/>
      <c r="B295" s="163" t="n">
        <v>45839</v>
      </c>
      <c r="C295" s="128" t="s">
        <v>693</v>
      </c>
      <c r="D295" s="128" t="s">
        <v>694</v>
      </c>
      <c r="E295" s="128"/>
      <c r="F295" s="154" t="n">
        <v>45870</v>
      </c>
      <c r="G295" s="154" t="n">
        <v>46234</v>
      </c>
      <c r="H295" s="128" t="s">
        <v>9</v>
      </c>
      <c r="I295" s="131" t="n">
        <v>201780</v>
      </c>
      <c r="J295" s="128"/>
      <c r="K295" s="132"/>
      <c r="L295" s="127" t="n">
        <f aca="false">G295-F295+1</f>
        <v>365</v>
      </c>
      <c r="M295" s="128"/>
      <c r="N295" s="132"/>
      <c r="O295" s="132"/>
      <c r="P295" s="132"/>
      <c r="Q295" s="128"/>
      <c r="R295" s="128"/>
      <c r="S295" s="128"/>
      <c r="T295" s="128"/>
      <c r="U295" s="132" t="n">
        <f aca="false">$U$2-F295+1</f>
        <v>0</v>
      </c>
      <c r="V295" s="128"/>
      <c r="W295" s="141" t="n">
        <f aca="false">$W$2-F295+1</f>
        <v>31</v>
      </c>
      <c r="X295" s="132" t="n">
        <f aca="false">I295/12</f>
        <v>16815</v>
      </c>
      <c r="Y295" s="131" t="n">
        <f aca="false">I295*W295/L295</f>
        <v>17137.4794520548</v>
      </c>
      <c r="Z295" s="141" t="n">
        <f aca="false">IF(F295&lt;$Z$2,30,$Z$2-I295)</f>
        <v>30</v>
      </c>
      <c r="AA295" s="147" t="n">
        <f aca="false">I295/12</f>
        <v>16815</v>
      </c>
      <c r="AB295" s="147" t="n">
        <f aca="false">I295*Z295/L295</f>
        <v>16584.6575342466</v>
      </c>
      <c r="AC295" s="143"/>
      <c r="AD295" s="144"/>
      <c r="AE295" s="144"/>
    </row>
    <row r="296" customFormat="false" ht="15.75" hidden="false" customHeight="true" outlineLevel="0" collapsed="false">
      <c r="A296" s="128"/>
      <c r="B296" s="163" t="n">
        <v>45839</v>
      </c>
      <c r="C296" s="128" t="s">
        <v>695</v>
      </c>
      <c r="D296" s="128" t="s">
        <v>696</v>
      </c>
      <c r="E296" s="128"/>
      <c r="F296" s="154" t="n">
        <v>45866</v>
      </c>
      <c r="G296" s="154" t="n">
        <v>46230</v>
      </c>
      <c r="H296" s="128" t="s">
        <v>9</v>
      </c>
      <c r="I296" s="131" t="n">
        <v>144000</v>
      </c>
      <c r="J296" s="128"/>
      <c r="K296" s="132"/>
      <c r="L296" s="127" t="n">
        <f aca="false">G296-F296+1</f>
        <v>365</v>
      </c>
      <c r="M296" s="128"/>
      <c r="N296" s="132"/>
      <c r="O296" s="132"/>
      <c r="P296" s="132"/>
      <c r="Q296" s="128"/>
      <c r="R296" s="128"/>
      <c r="S296" s="128"/>
      <c r="T296" s="132" t="n">
        <f aca="false">I296/12</f>
        <v>12000</v>
      </c>
      <c r="U296" s="132" t="n">
        <f aca="false">$U$2-F296+1</f>
        <v>4</v>
      </c>
      <c r="V296" s="147" t="n">
        <f aca="false">I296*U296/L296</f>
        <v>1578.08219178082</v>
      </c>
      <c r="W296" s="141" t="n">
        <f aca="false">IF(F296&lt;$W$2,31,$W$2-F296)</f>
        <v>31</v>
      </c>
      <c r="X296" s="132" t="n">
        <f aca="false">I296/12</f>
        <v>12000</v>
      </c>
      <c r="Y296" s="131" t="n">
        <f aca="false">I296*W296/L296</f>
        <v>12230.1369863014</v>
      </c>
      <c r="Z296" s="141" t="n">
        <f aca="false">IF(F296&lt;$Z$2,30,$Z$2-I296)</f>
        <v>30</v>
      </c>
      <c r="AA296" s="147" t="n">
        <f aca="false">I296/12</f>
        <v>12000</v>
      </c>
      <c r="AB296" s="147" t="n">
        <f aca="false">I296*Z296/L296</f>
        <v>11835.6164383562</v>
      </c>
      <c r="AC296" s="143"/>
      <c r="AD296" s="144"/>
      <c r="AE296" s="144"/>
    </row>
    <row r="297" s="137" customFormat="true" ht="15.75" hidden="false" customHeight="true" outlineLevel="0" collapsed="false">
      <c r="A297" s="127"/>
      <c r="B297" s="162" t="n">
        <v>45839</v>
      </c>
      <c r="C297" s="127" t="s">
        <v>177</v>
      </c>
      <c r="D297" s="127" t="s">
        <v>697</v>
      </c>
      <c r="E297" s="128"/>
      <c r="F297" s="148" t="n">
        <v>45853</v>
      </c>
      <c r="G297" s="148" t="n">
        <v>45883</v>
      </c>
      <c r="H297" s="142" t="s">
        <v>19</v>
      </c>
      <c r="I297" s="131" t="n">
        <f aca="false">150000*118%</f>
        <v>177000</v>
      </c>
      <c r="J297" s="127"/>
      <c r="K297" s="132"/>
      <c r="L297" s="127" t="n">
        <f aca="false">G297-F297+1</f>
        <v>31</v>
      </c>
      <c r="M297" s="127"/>
      <c r="N297" s="132"/>
      <c r="O297" s="132"/>
      <c r="P297" s="132"/>
      <c r="Q297" s="127"/>
      <c r="R297" s="127"/>
      <c r="S297" s="127"/>
      <c r="T297" s="166" t="n">
        <f aca="false">I297</f>
        <v>177000</v>
      </c>
      <c r="U297" s="132" t="n">
        <f aca="false">$U$2-F297+1</f>
        <v>17</v>
      </c>
      <c r="V297" s="134" t="n">
        <f aca="false">I297*U297/L297</f>
        <v>97064.5161290323</v>
      </c>
      <c r="W297" s="135" t="n">
        <f aca="false">G297-$W$1+1</f>
        <v>14</v>
      </c>
      <c r="X297" s="132" t="n">
        <v>0</v>
      </c>
      <c r="Y297" s="131" t="n">
        <f aca="false">I297*W297/L297</f>
        <v>79935.4838709677</v>
      </c>
      <c r="Z297" s="127"/>
      <c r="AA297" s="127"/>
      <c r="AB297" s="127"/>
      <c r="AC297" s="136"/>
      <c r="AD297" s="136"/>
      <c r="AE297" s="136"/>
    </row>
    <row r="298" customFormat="false" ht="15.75" hidden="false" customHeight="true" outlineLevel="0" collapsed="false">
      <c r="A298" s="128"/>
      <c r="B298" s="163" t="n">
        <v>45839</v>
      </c>
      <c r="C298" s="128" t="s">
        <v>698</v>
      </c>
      <c r="D298" s="128" t="s">
        <v>699</v>
      </c>
      <c r="E298" s="128"/>
      <c r="F298" s="154" t="n">
        <v>45868</v>
      </c>
      <c r="G298" s="154" t="n">
        <v>46051</v>
      </c>
      <c r="H298" s="145" t="s">
        <v>29</v>
      </c>
      <c r="I298" s="131" t="n">
        <v>42480</v>
      </c>
      <c r="J298" s="128"/>
      <c r="K298" s="132"/>
      <c r="L298" s="127" t="n">
        <f aca="false">G298-F298+1</f>
        <v>184</v>
      </c>
      <c r="M298" s="128"/>
      <c r="N298" s="132"/>
      <c r="O298" s="132"/>
      <c r="P298" s="132"/>
      <c r="Q298" s="128"/>
      <c r="R298" s="128"/>
      <c r="S298" s="128"/>
      <c r="T298" s="146" t="n">
        <f aca="false">I298/6</f>
        <v>7080</v>
      </c>
      <c r="U298" s="132" t="n">
        <f aca="false">$U$2-F298+1</f>
        <v>2</v>
      </c>
      <c r="V298" s="147" t="n">
        <f aca="false">I298*U298/L298</f>
        <v>461.739130434783</v>
      </c>
      <c r="W298" s="141" t="n">
        <f aca="false">IF(F298&lt;$W$2,31,$W$2-F298)</f>
        <v>31</v>
      </c>
      <c r="X298" s="132" t="n">
        <f aca="false">I298/6</f>
        <v>7080</v>
      </c>
      <c r="Y298" s="131" t="n">
        <f aca="false">I298*W298/L298</f>
        <v>7156.95652173913</v>
      </c>
      <c r="Z298" s="141" t="n">
        <f aca="false">IF(F298&lt;$Z$2,30,$Z$2-I298)</f>
        <v>30</v>
      </c>
      <c r="AA298" s="147" t="n">
        <f aca="false">I298/6</f>
        <v>7080</v>
      </c>
      <c r="AB298" s="147" t="n">
        <f aca="false">Z298*I298/L298</f>
        <v>6926.08695652174</v>
      </c>
      <c r="AC298" s="143"/>
      <c r="AD298" s="144"/>
      <c r="AE298" s="144"/>
    </row>
    <row r="299" customFormat="false" ht="15.75" hidden="false" customHeight="true" outlineLevel="0" collapsed="false">
      <c r="A299" s="128"/>
      <c r="B299" s="163" t="n">
        <v>45839</v>
      </c>
      <c r="C299" s="128" t="s">
        <v>700</v>
      </c>
      <c r="D299" s="128" t="s">
        <v>701</v>
      </c>
      <c r="E299" s="128"/>
      <c r="F299" s="154" t="n">
        <v>45868</v>
      </c>
      <c r="G299" s="154" t="n">
        <v>46232</v>
      </c>
      <c r="H299" s="128" t="s">
        <v>9</v>
      </c>
      <c r="I299" s="131" t="n">
        <v>82600</v>
      </c>
      <c r="J299" s="128"/>
      <c r="K299" s="132"/>
      <c r="L299" s="127" t="n">
        <f aca="false">G299-F299+1</f>
        <v>365</v>
      </c>
      <c r="M299" s="128"/>
      <c r="N299" s="132"/>
      <c r="O299" s="132"/>
      <c r="P299" s="132"/>
      <c r="Q299" s="128"/>
      <c r="R299" s="128"/>
      <c r="S299" s="128"/>
      <c r="T299" s="132" t="n">
        <f aca="false">I299/12</f>
        <v>6883.33333333333</v>
      </c>
      <c r="U299" s="132" t="n">
        <f aca="false">$U$2-F299+1</f>
        <v>2</v>
      </c>
      <c r="V299" s="132" t="n">
        <f aca="false">U299*I299/L299</f>
        <v>452.602739726027</v>
      </c>
      <c r="W299" s="141" t="n">
        <f aca="false">IF(F299&lt;$W$2,31,$W$2-F299)</f>
        <v>31</v>
      </c>
      <c r="X299" s="132" t="n">
        <f aca="false">I299/12</f>
        <v>6883.33333333333</v>
      </c>
      <c r="Y299" s="131" t="n">
        <f aca="false">I299*W299/L299</f>
        <v>7015.34246575342</v>
      </c>
      <c r="Z299" s="141" t="n">
        <f aca="false">IF(F299&lt;$Z$2,30,$Z$2-I299)</f>
        <v>30</v>
      </c>
      <c r="AA299" s="147" t="n">
        <f aca="false">I299/12</f>
        <v>6883.33333333333</v>
      </c>
      <c r="AB299" s="147" t="n">
        <f aca="false">I299*Z299/L299</f>
        <v>6789.04109589041</v>
      </c>
      <c r="AC299" s="143"/>
      <c r="AD299" s="144"/>
      <c r="AE299" s="144"/>
    </row>
    <row r="300" s="137" customFormat="true" ht="15.75" hidden="false" customHeight="true" outlineLevel="0" collapsed="false">
      <c r="A300" s="127"/>
      <c r="B300" s="162" t="n">
        <v>45839</v>
      </c>
      <c r="C300" s="127" t="s">
        <v>116</v>
      </c>
      <c r="D300" s="127" t="s">
        <v>702</v>
      </c>
      <c r="E300" s="128"/>
      <c r="F300" s="148" t="n">
        <v>45870</v>
      </c>
      <c r="G300" s="148" t="n">
        <v>46234</v>
      </c>
      <c r="H300" s="142" t="s">
        <v>7</v>
      </c>
      <c r="I300" s="131" t="n">
        <v>2378880</v>
      </c>
      <c r="J300" s="127"/>
      <c r="K300" s="132"/>
      <c r="L300" s="127" t="n">
        <f aca="false">G300-F300+1</f>
        <v>365</v>
      </c>
      <c r="M300" s="127"/>
      <c r="N300" s="132"/>
      <c r="O300" s="132"/>
      <c r="P300" s="132"/>
      <c r="Q300" s="127"/>
      <c r="R300" s="127"/>
      <c r="S300" s="127"/>
      <c r="T300" s="127"/>
      <c r="U300" s="132" t="n">
        <f aca="false">$U$2-F300+1</f>
        <v>0</v>
      </c>
      <c r="V300" s="127"/>
      <c r="W300" s="135" t="n">
        <f aca="false">$W$2-F300+1</f>
        <v>31</v>
      </c>
      <c r="X300" s="132" t="n">
        <f aca="false">I300/12</f>
        <v>198240</v>
      </c>
      <c r="Y300" s="131" t="n">
        <f aca="false">I300*W300/L300</f>
        <v>202041.863013699</v>
      </c>
      <c r="Z300" s="135" t="n">
        <f aca="false">IF(F300&lt;$Z$2,30,$Z$2-I300)</f>
        <v>30</v>
      </c>
      <c r="AA300" s="134" t="n">
        <f aca="false">I300/12</f>
        <v>198240</v>
      </c>
      <c r="AB300" s="134" t="n">
        <f aca="false">I300*Z300/L300</f>
        <v>195524.383561644</v>
      </c>
      <c r="AC300" s="143"/>
      <c r="AD300" s="144"/>
      <c r="AE300" s="144"/>
    </row>
    <row r="301" customFormat="false" ht="15.75" hidden="false" customHeight="true" outlineLevel="0" collapsed="false">
      <c r="A301" s="128"/>
      <c r="B301" s="163" t="n">
        <v>45839</v>
      </c>
      <c r="C301" s="128" t="s">
        <v>703</v>
      </c>
      <c r="D301" s="128" t="s">
        <v>704</v>
      </c>
      <c r="E301" s="128"/>
      <c r="F301" s="154" t="n">
        <v>45869</v>
      </c>
      <c r="G301" s="154" t="n">
        <v>46052</v>
      </c>
      <c r="H301" s="145" t="s">
        <v>29</v>
      </c>
      <c r="I301" s="131" t="n">
        <v>35000</v>
      </c>
      <c r="J301" s="128"/>
      <c r="K301" s="132"/>
      <c r="L301" s="127" t="n">
        <f aca="false">G301-F301+1</f>
        <v>184</v>
      </c>
      <c r="M301" s="128"/>
      <c r="N301" s="132"/>
      <c r="O301" s="132"/>
      <c r="P301" s="132"/>
      <c r="Q301" s="128"/>
      <c r="R301" s="128"/>
      <c r="S301" s="128"/>
      <c r="T301" s="146" t="n">
        <f aca="false">I301/6</f>
        <v>5833.33333333333</v>
      </c>
      <c r="U301" s="132" t="n">
        <f aca="false">$U$2-F301+1</f>
        <v>1</v>
      </c>
      <c r="V301" s="147" t="n">
        <f aca="false">I301*U301/L301</f>
        <v>190.217391304348</v>
      </c>
      <c r="W301" s="141" t="n">
        <f aca="false">IF(F301&lt;$W$2,31,$W$2-F301)</f>
        <v>31</v>
      </c>
      <c r="X301" s="132" t="n">
        <f aca="false">I301/6</f>
        <v>5833.33333333333</v>
      </c>
      <c r="Y301" s="131" t="n">
        <f aca="false">I301*W301/L301</f>
        <v>5896.73913043478</v>
      </c>
      <c r="Z301" s="141" t="n">
        <f aca="false">IF(F301&lt;$Z$2,30,$Z$2-I301)</f>
        <v>30</v>
      </c>
      <c r="AA301" s="147" t="n">
        <f aca="false">I301/6</f>
        <v>5833.33333333333</v>
      </c>
      <c r="AB301" s="147" t="n">
        <f aca="false">Z301*I301/L301</f>
        <v>5706.52173913044</v>
      </c>
      <c r="AC301" s="143"/>
      <c r="AD301" s="144"/>
      <c r="AE301" s="144"/>
    </row>
    <row r="302" s="137" customFormat="true" ht="15.75" hidden="false" customHeight="true" outlineLevel="0" collapsed="false">
      <c r="A302" s="127"/>
      <c r="B302" s="162" t="n">
        <v>45870</v>
      </c>
      <c r="C302" s="127" t="s">
        <v>705</v>
      </c>
      <c r="D302" s="127" t="s">
        <v>706</v>
      </c>
      <c r="E302" s="128"/>
      <c r="F302" s="148" t="n">
        <v>45870</v>
      </c>
      <c r="G302" s="148" t="n">
        <v>45900</v>
      </c>
      <c r="H302" s="127" t="s">
        <v>707</v>
      </c>
      <c r="I302" s="131" t="n">
        <v>9440</v>
      </c>
      <c r="J302" s="127"/>
      <c r="K302" s="132"/>
      <c r="L302" s="127" t="n">
        <f aca="false">G302-F302+1</f>
        <v>31</v>
      </c>
      <c r="M302" s="127"/>
      <c r="N302" s="132"/>
      <c r="O302" s="132"/>
      <c r="P302" s="132"/>
      <c r="Q302" s="127"/>
      <c r="R302" s="127"/>
      <c r="S302" s="127"/>
      <c r="T302" s="132"/>
      <c r="U302" s="127"/>
      <c r="V302" s="132"/>
      <c r="W302" s="135" t="n">
        <f aca="false">G302-F302+1</f>
        <v>31</v>
      </c>
      <c r="X302" s="132" t="n">
        <f aca="false">I302</f>
        <v>9440</v>
      </c>
      <c r="Y302" s="131" t="n">
        <f aca="false">I302*W302/L302</f>
        <v>9440</v>
      </c>
      <c r="Z302" s="127"/>
      <c r="AA302" s="127"/>
      <c r="AB302" s="127"/>
      <c r="AC302" s="136"/>
      <c r="AD302" s="136"/>
      <c r="AE302" s="136"/>
    </row>
    <row r="303" s="137" customFormat="true" ht="15.75" hidden="false" customHeight="true" outlineLevel="0" collapsed="false">
      <c r="A303" s="127"/>
      <c r="B303" s="162" t="n">
        <v>45870</v>
      </c>
      <c r="C303" s="127" t="s">
        <v>708</v>
      </c>
      <c r="D303" s="127" t="s">
        <v>709</v>
      </c>
      <c r="E303" s="128"/>
      <c r="F303" s="148" t="n">
        <v>45874</v>
      </c>
      <c r="G303" s="148" t="n">
        <v>45904</v>
      </c>
      <c r="H303" s="127" t="s">
        <v>707</v>
      </c>
      <c r="I303" s="131" t="n">
        <v>5900</v>
      </c>
      <c r="J303" s="127"/>
      <c r="K303" s="132"/>
      <c r="L303" s="127" t="n">
        <f aca="false">G303-F303+1</f>
        <v>31</v>
      </c>
      <c r="M303" s="127"/>
      <c r="N303" s="132"/>
      <c r="O303" s="132"/>
      <c r="P303" s="132"/>
      <c r="Q303" s="127"/>
      <c r="R303" s="127"/>
      <c r="S303" s="127"/>
      <c r="T303" s="132"/>
      <c r="U303" s="127"/>
      <c r="V303" s="132"/>
      <c r="W303" s="135" t="n">
        <f aca="false">$W$2-F303+1</f>
        <v>27</v>
      </c>
      <c r="X303" s="166" t="n">
        <f aca="false">I303</f>
        <v>5900</v>
      </c>
      <c r="Y303" s="131" t="n">
        <f aca="false">I303*W303/L303</f>
        <v>5138.70967741936</v>
      </c>
      <c r="Z303" s="127" t="n">
        <f aca="false">G303-$W$2</f>
        <v>4</v>
      </c>
      <c r="AA303" s="127"/>
      <c r="AB303" s="134" t="n">
        <f aca="false">Z303*I303/L303</f>
        <v>761.290322580645</v>
      </c>
      <c r="AC303" s="136"/>
      <c r="AD303" s="136"/>
      <c r="AE303" s="136"/>
    </row>
    <row r="304" customFormat="false" ht="15.75" hidden="false" customHeight="true" outlineLevel="0" collapsed="false">
      <c r="A304" s="128"/>
      <c r="B304" s="163" t="n">
        <v>45870</v>
      </c>
      <c r="C304" s="128" t="s">
        <v>710</v>
      </c>
      <c r="D304" s="128" t="s">
        <v>711</v>
      </c>
      <c r="E304" s="128"/>
      <c r="F304" s="154" t="n">
        <v>45870</v>
      </c>
      <c r="G304" s="154" t="n">
        <v>46053</v>
      </c>
      <c r="H304" s="128" t="s">
        <v>29</v>
      </c>
      <c r="I304" s="131" t="n">
        <v>42480</v>
      </c>
      <c r="J304" s="128"/>
      <c r="K304" s="132"/>
      <c r="L304" s="127" t="n">
        <f aca="false">G304-F304+1</f>
        <v>184</v>
      </c>
      <c r="M304" s="128"/>
      <c r="N304" s="132"/>
      <c r="O304" s="132"/>
      <c r="P304" s="132"/>
      <c r="Q304" s="128"/>
      <c r="R304" s="128"/>
      <c r="S304" s="128"/>
      <c r="T304" s="132"/>
      <c r="U304" s="128"/>
      <c r="V304" s="132"/>
      <c r="W304" s="141" t="n">
        <f aca="false">$W$2-F304+1</f>
        <v>31</v>
      </c>
      <c r="X304" s="132" t="n">
        <f aca="false">I304/6</f>
        <v>7080</v>
      </c>
      <c r="Y304" s="131" t="n">
        <f aca="false">I304*W304/L304</f>
        <v>7156.95652173913</v>
      </c>
      <c r="Z304" s="141" t="n">
        <f aca="false">IF(F304&lt;$Z$2,30,$Z$2-I304)</f>
        <v>30</v>
      </c>
      <c r="AA304" s="147" t="n">
        <f aca="false">I304/6</f>
        <v>7080</v>
      </c>
      <c r="AB304" s="147" t="n">
        <f aca="false">Z304*I304/L304</f>
        <v>6926.08695652174</v>
      </c>
      <c r="AC304" s="143"/>
      <c r="AD304" s="144"/>
      <c r="AE304" s="144"/>
    </row>
    <row r="305" s="137" customFormat="true" ht="15.75" hidden="false" customHeight="true" outlineLevel="0" collapsed="false">
      <c r="A305" s="127"/>
      <c r="B305" s="162" t="n">
        <v>45870</v>
      </c>
      <c r="C305" s="127" t="s">
        <v>232</v>
      </c>
      <c r="D305" s="127" t="s">
        <v>712</v>
      </c>
      <c r="E305" s="128"/>
      <c r="F305" s="148" t="n">
        <v>45866</v>
      </c>
      <c r="G305" s="148" t="n">
        <v>46230</v>
      </c>
      <c r="H305" s="127" t="s">
        <v>9</v>
      </c>
      <c r="I305" s="131" t="n">
        <v>353985.84</v>
      </c>
      <c r="J305" s="127"/>
      <c r="K305" s="132"/>
      <c r="L305" s="127" t="n">
        <f aca="false">G305-F305+1</f>
        <v>365</v>
      </c>
      <c r="M305" s="127"/>
      <c r="N305" s="132"/>
      <c r="O305" s="132"/>
      <c r="P305" s="132"/>
      <c r="Q305" s="127"/>
      <c r="R305" s="127"/>
      <c r="S305" s="127"/>
      <c r="T305" s="132" t="n">
        <f aca="false">I305/12</f>
        <v>29498.82</v>
      </c>
      <c r="U305" s="127" t="n">
        <f aca="false">$U$2-F305</f>
        <v>3</v>
      </c>
      <c r="V305" s="131" t="n">
        <f aca="false">I305*U305/L305</f>
        <v>2909.47265753425</v>
      </c>
      <c r="W305" s="135" t="n">
        <f aca="false">IF(F305&lt;$W$2,31,$W$2-F305)</f>
        <v>31</v>
      </c>
      <c r="X305" s="127" t="n">
        <f aca="false">I305/12</f>
        <v>29498.82</v>
      </c>
      <c r="Y305" s="131" t="n">
        <f aca="false">I305*W305/L305</f>
        <v>30064.5507945206</v>
      </c>
      <c r="Z305" s="135" t="n">
        <f aca="false">IF(F305&lt;$Z$2,30,$Z$2-I305)</f>
        <v>30</v>
      </c>
      <c r="AA305" s="134" t="n">
        <f aca="false">I305/12</f>
        <v>29498.82</v>
      </c>
      <c r="AB305" s="134" t="n">
        <f aca="false">I305*Z305/L305</f>
        <v>29094.7265753425</v>
      </c>
      <c r="AC305" s="143"/>
      <c r="AD305" s="144"/>
      <c r="AE305" s="144"/>
    </row>
    <row r="306" customFormat="false" ht="15.75" hidden="false" customHeight="true" outlineLevel="0" collapsed="false">
      <c r="A306" s="128"/>
      <c r="B306" s="163" t="n">
        <v>45870</v>
      </c>
      <c r="C306" s="128" t="s">
        <v>713</v>
      </c>
      <c r="D306" s="128" t="s">
        <v>714</v>
      </c>
      <c r="E306" s="128"/>
      <c r="F306" s="154" t="n">
        <v>45871</v>
      </c>
      <c r="G306" s="154" t="n">
        <v>46235</v>
      </c>
      <c r="H306" s="128" t="s">
        <v>9</v>
      </c>
      <c r="I306" s="131" t="n">
        <v>63720</v>
      </c>
      <c r="J306" s="128"/>
      <c r="K306" s="132"/>
      <c r="L306" s="127" t="n">
        <f aca="false">G306-F306+1</f>
        <v>365</v>
      </c>
      <c r="M306" s="128"/>
      <c r="N306" s="132"/>
      <c r="O306" s="132"/>
      <c r="P306" s="132"/>
      <c r="Q306" s="128"/>
      <c r="R306" s="128"/>
      <c r="S306" s="128"/>
      <c r="T306" s="132"/>
      <c r="U306" s="128"/>
      <c r="V306" s="132"/>
      <c r="W306" s="141" t="n">
        <f aca="false">$W$2-F306+1</f>
        <v>30</v>
      </c>
      <c r="X306" s="131" t="n">
        <f aca="false">I306/12</f>
        <v>5310</v>
      </c>
      <c r="Y306" s="131" t="n">
        <f aca="false">I306*W306/L306</f>
        <v>5237.2602739726</v>
      </c>
      <c r="Z306" s="141" t="n">
        <f aca="false">IF(F306&lt;$Z$2,30,$Z$2-I306)</f>
        <v>30</v>
      </c>
      <c r="AA306" s="147" t="n">
        <f aca="false">I306/12</f>
        <v>5310</v>
      </c>
      <c r="AB306" s="147" t="n">
        <f aca="false">I306*Z306/L306</f>
        <v>5237.2602739726</v>
      </c>
      <c r="AC306" s="143"/>
      <c r="AD306" s="144"/>
      <c r="AE306" s="144"/>
    </row>
    <row r="307" s="137" customFormat="true" ht="15.75" hidden="false" customHeight="true" outlineLevel="0" collapsed="false">
      <c r="A307" s="127"/>
      <c r="B307" s="162" t="n">
        <v>45870</v>
      </c>
      <c r="C307" s="127" t="s">
        <v>524</v>
      </c>
      <c r="D307" s="127" t="s">
        <v>715</v>
      </c>
      <c r="E307" s="128"/>
      <c r="F307" s="148" t="n">
        <v>45875</v>
      </c>
      <c r="G307" s="148" t="n">
        <v>46239</v>
      </c>
      <c r="H307" s="127" t="s">
        <v>9</v>
      </c>
      <c r="I307" s="131" t="n">
        <v>94872</v>
      </c>
      <c r="J307" s="127"/>
      <c r="K307" s="132"/>
      <c r="L307" s="127" t="n">
        <f aca="false">G307-F307+1</f>
        <v>365</v>
      </c>
      <c r="M307" s="127"/>
      <c r="N307" s="132"/>
      <c r="O307" s="132"/>
      <c r="P307" s="132"/>
      <c r="Q307" s="127"/>
      <c r="R307" s="127"/>
      <c r="S307" s="127"/>
      <c r="T307" s="132"/>
      <c r="U307" s="127"/>
      <c r="V307" s="132"/>
      <c r="W307" s="135" t="n">
        <f aca="false">$W$2-F307+1</f>
        <v>26</v>
      </c>
      <c r="X307" s="131" t="n">
        <f aca="false">I307/12</f>
        <v>7906</v>
      </c>
      <c r="Y307" s="131" t="n">
        <f aca="false">I307*W307/L307</f>
        <v>6758.00547945206</v>
      </c>
      <c r="Z307" s="135" t="n">
        <f aca="false">IF(F307&lt;$Z$2,30,$Z$2-I307)</f>
        <v>30</v>
      </c>
      <c r="AA307" s="134" t="n">
        <f aca="false">I307/12</f>
        <v>7906</v>
      </c>
      <c r="AB307" s="134" t="n">
        <f aca="false">I307*Z307/L307</f>
        <v>7797.69863013699</v>
      </c>
      <c r="AC307" s="143"/>
      <c r="AD307" s="144"/>
      <c r="AE307" s="144"/>
    </row>
    <row r="308" customFormat="false" ht="15.75" hidden="false" customHeight="true" outlineLevel="0" collapsed="false">
      <c r="A308" s="128"/>
      <c r="B308" s="163" t="n">
        <v>45870</v>
      </c>
      <c r="C308" s="128" t="s">
        <v>716</v>
      </c>
      <c r="D308" s="128" t="s">
        <v>717</v>
      </c>
      <c r="E308" s="128"/>
      <c r="F308" s="154" t="n">
        <v>45873</v>
      </c>
      <c r="G308" s="154" t="n">
        <v>46237</v>
      </c>
      <c r="H308" s="128" t="s">
        <v>9</v>
      </c>
      <c r="I308" s="131" t="n">
        <v>82600</v>
      </c>
      <c r="J308" s="128"/>
      <c r="K308" s="132"/>
      <c r="L308" s="127" t="n">
        <f aca="false">G308-F308+1</f>
        <v>365</v>
      </c>
      <c r="M308" s="128"/>
      <c r="N308" s="132"/>
      <c r="O308" s="132"/>
      <c r="P308" s="132"/>
      <c r="Q308" s="128"/>
      <c r="R308" s="128"/>
      <c r="S308" s="128"/>
      <c r="T308" s="132"/>
      <c r="U308" s="128"/>
      <c r="V308" s="132"/>
      <c r="W308" s="141" t="n">
        <f aca="false">$W$2-F308+1</f>
        <v>28</v>
      </c>
      <c r="X308" s="131" t="n">
        <f aca="false">I308/12</f>
        <v>6883.33333333333</v>
      </c>
      <c r="Y308" s="131" t="n">
        <f aca="false">I308*W308/L308</f>
        <v>6336.43835616438</v>
      </c>
      <c r="Z308" s="141" t="n">
        <f aca="false">IF(F308&lt;$Z$2,30,$Z$2-I308)</f>
        <v>30</v>
      </c>
      <c r="AA308" s="147" t="n">
        <f aca="false">I308/12</f>
        <v>6883.33333333333</v>
      </c>
      <c r="AB308" s="147" t="n">
        <f aca="false">I308*Z308/L308</f>
        <v>6789.04109589041</v>
      </c>
      <c r="AC308" s="143"/>
      <c r="AD308" s="144"/>
      <c r="AE308" s="144"/>
    </row>
    <row r="309" customFormat="false" ht="15.75" hidden="false" customHeight="true" outlineLevel="0" collapsed="false">
      <c r="A309" s="128"/>
      <c r="B309" s="163" t="n">
        <v>45870</v>
      </c>
      <c r="C309" s="128" t="s">
        <v>718</v>
      </c>
      <c r="D309" s="128" t="s">
        <v>719</v>
      </c>
      <c r="E309" s="128"/>
      <c r="F309" s="154" t="n">
        <v>45873</v>
      </c>
      <c r="G309" s="154" t="n">
        <v>46237</v>
      </c>
      <c r="H309" s="128" t="s">
        <v>9</v>
      </c>
      <c r="I309" s="131" t="n">
        <v>63720</v>
      </c>
      <c r="J309" s="128"/>
      <c r="K309" s="132"/>
      <c r="L309" s="127" t="n">
        <f aca="false">G309-F309+1</f>
        <v>365</v>
      </c>
      <c r="M309" s="128"/>
      <c r="N309" s="132"/>
      <c r="O309" s="132"/>
      <c r="P309" s="132"/>
      <c r="Q309" s="128"/>
      <c r="R309" s="128"/>
      <c r="S309" s="128"/>
      <c r="T309" s="132"/>
      <c r="U309" s="128"/>
      <c r="V309" s="132"/>
      <c r="W309" s="141" t="n">
        <f aca="false">$W$2-F309+1</f>
        <v>28</v>
      </c>
      <c r="X309" s="131" t="n">
        <f aca="false">I309/12</f>
        <v>5310</v>
      </c>
      <c r="Y309" s="131" t="n">
        <f aca="false">I309*W309/L309</f>
        <v>4888.1095890411</v>
      </c>
      <c r="Z309" s="141" t="n">
        <f aca="false">IF(F309&lt;$Z$2,30,$Z$2-I309)</f>
        <v>30</v>
      </c>
      <c r="AA309" s="147" t="n">
        <f aca="false">I309/12</f>
        <v>5310</v>
      </c>
      <c r="AB309" s="147" t="n">
        <f aca="false">I309*Z309/L309</f>
        <v>5237.2602739726</v>
      </c>
      <c r="AC309" s="143"/>
      <c r="AD309" s="144"/>
      <c r="AE309" s="144"/>
    </row>
    <row r="310" s="137" customFormat="true" ht="15.75" hidden="false" customHeight="true" outlineLevel="0" collapsed="false">
      <c r="A310" s="127"/>
      <c r="B310" s="162" t="n">
        <v>45870</v>
      </c>
      <c r="C310" s="127" t="s">
        <v>271</v>
      </c>
      <c r="D310" s="127" t="s">
        <v>720</v>
      </c>
      <c r="E310" s="128"/>
      <c r="F310" s="148" t="n">
        <v>45873</v>
      </c>
      <c r="G310" s="148" t="n">
        <v>46237</v>
      </c>
      <c r="H310" s="164" t="s">
        <v>8</v>
      </c>
      <c r="I310" s="131" t="n">
        <v>2293920</v>
      </c>
      <c r="J310" s="127"/>
      <c r="K310" s="132"/>
      <c r="L310" s="127" t="n">
        <f aca="false">G310-F310+1</f>
        <v>365</v>
      </c>
      <c r="M310" s="127"/>
      <c r="N310" s="132"/>
      <c r="O310" s="132"/>
      <c r="P310" s="132"/>
      <c r="Q310" s="127"/>
      <c r="R310" s="127"/>
      <c r="S310" s="127"/>
      <c r="T310" s="132"/>
      <c r="U310" s="127"/>
      <c r="V310" s="132"/>
      <c r="W310" s="135" t="n">
        <f aca="false">$W$2-F310+1</f>
        <v>28</v>
      </c>
      <c r="X310" s="131" t="n">
        <f aca="false">I310/12</f>
        <v>191160</v>
      </c>
      <c r="Y310" s="131" t="n">
        <f aca="false">I310*W310/L310</f>
        <v>175971.945205479</v>
      </c>
      <c r="Z310" s="135" t="n">
        <f aca="false">IF(F310&lt;$Z$2,30,$Z$2-I310)</f>
        <v>30</v>
      </c>
      <c r="AA310" s="134" t="n">
        <f aca="false">I310/12</f>
        <v>191160</v>
      </c>
      <c r="AB310" s="134" t="n">
        <f aca="false">I310*Z310/L310</f>
        <v>188541.369863014</v>
      </c>
      <c r="AC310" s="143"/>
      <c r="AD310" s="144"/>
      <c r="AE310" s="144"/>
    </row>
    <row r="311" customFormat="false" ht="15.75" hidden="false" customHeight="true" outlineLevel="0" collapsed="false">
      <c r="A311" s="128"/>
      <c r="B311" s="163" t="n">
        <v>45870</v>
      </c>
      <c r="C311" s="128" t="s">
        <v>721</v>
      </c>
      <c r="D311" s="128" t="s">
        <v>722</v>
      </c>
      <c r="E311" s="128"/>
      <c r="F311" s="154" t="n">
        <v>45873</v>
      </c>
      <c r="G311" s="154" t="n">
        <v>46237</v>
      </c>
      <c r="H311" s="128" t="s">
        <v>9</v>
      </c>
      <c r="I311" s="131" t="n">
        <v>188800</v>
      </c>
      <c r="J311" s="128"/>
      <c r="K311" s="132"/>
      <c r="L311" s="127" t="n">
        <f aca="false">G311-F311+1</f>
        <v>365</v>
      </c>
      <c r="M311" s="128"/>
      <c r="N311" s="132"/>
      <c r="O311" s="132"/>
      <c r="P311" s="132"/>
      <c r="Q311" s="128"/>
      <c r="R311" s="128"/>
      <c r="S311" s="128"/>
      <c r="T311" s="132"/>
      <c r="U311" s="128"/>
      <c r="V311" s="132"/>
      <c r="W311" s="141" t="n">
        <f aca="false">$W$2-F311+1</f>
        <v>28</v>
      </c>
      <c r="X311" s="131" t="n">
        <f aca="false">I311/12</f>
        <v>15733.3333333333</v>
      </c>
      <c r="Y311" s="131" t="n">
        <f aca="false">I311*W311/L311</f>
        <v>14483.2876712329</v>
      </c>
      <c r="Z311" s="141" t="n">
        <f aca="false">IF(F311&lt;$Z$2,30,$Z$2-I311)</f>
        <v>30</v>
      </c>
      <c r="AA311" s="147" t="n">
        <f aca="false">I311/12</f>
        <v>15733.3333333333</v>
      </c>
      <c r="AB311" s="147" t="n">
        <f aca="false">I311*Z311/L311</f>
        <v>15517.8082191781</v>
      </c>
      <c r="AC311" s="143"/>
      <c r="AD311" s="144"/>
      <c r="AE311" s="144"/>
    </row>
    <row r="312" s="137" customFormat="true" ht="15.75" hidden="false" customHeight="true" outlineLevel="0" collapsed="false">
      <c r="A312" s="127"/>
      <c r="B312" s="162" t="n">
        <v>45870</v>
      </c>
      <c r="C312" s="127" t="s">
        <v>723</v>
      </c>
      <c r="D312" s="127" t="s">
        <v>724</v>
      </c>
      <c r="E312" s="128"/>
      <c r="F312" s="148" t="n">
        <v>45875</v>
      </c>
      <c r="G312" s="148" t="n">
        <v>45905</v>
      </c>
      <c r="H312" s="127" t="s">
        <v>707</v>
      </c>
      <c r="I312" s="131" t="n">
        <v>23600</v>
      </c>
      <c r="J312" s="127"/>
      <c r="K312" s="132"/>
      <c r="L312" s="127" t="n">
        <f aca="false">G312-F312+1</f>
        <v>31</v>
      </c>
      <c r="M312" s="127"/>
      <c r="N312" s="132"/>
      <c r="O312" s="132"/>
      <c r="P312" s="132"/>
      <c r="Q312" s="127"/>
      <c r="R312" s="127"/>
      <c r="S312" s="127"/>
      <c r="T312" s="132"/>
      <c r="U312" s="127"/>
      <c r="V312" s="132"/>
      <c r="W312" s="135" t="n">
        <f aca="false">$W$2-F312+1</f>
        <v>26</v>
      </c>
      <c r="X312" s="166" t="n">
        <f aca="false">I312</f>
        <v>23600</v>
      </c>
      <c r="Y312" s="131" t="n">
        <f aca="false">I312*W312/L312</f>
        <v>19793.5483870968</v>
      </c>
      <c r="Z312" s="127" t="n">
        <f aca="false">G312-$W$2</f>
        <v>5</v>
      </c>
      <c r="AA312" s="127"/>
      <c r="AB312" s="134" t="n">
        <f aca="false">Z312*I312/L312</f>
        <v>3806.45161290323</v>
      </c>
      <c r="AC312" s="136"/>
      <c r="AD312" s="136"/>
      <c r="AE312" s="136"/>
    </row>
    <row r="313" customFormat="false" ht="15.75" hidden="false" customHeight="true" outlineLevel="0" collapsed="false">
      <c r="A313" s="128"/>
      <c r="B313" s="163" t="n">
        <v>45870</v>
      </c>
      <c r="C313" s="128" t="s">
        <v>725</v>
      </c>
      <c r="D313" s="128" t="s">
        <v>726</v>
      </c>
      <c r="E313" s="128"/>
      <c r="F313" s="154" t="n">
        <v>45874</v>
      </c>
      <c r="G313" s="154" t="n">
        <v>46238</v>
      </c>
      <c r="H313" s="149" t="s">
        <v>8</v>
      </c>
      <c r="I313" s="131" t="n">
        <v>94400</v>
      </c>
      <c r="J313" s="128"/>
      <c r="K313" s="132"/>
      <c r="L313" s="127" t="n">
        <f aca="false">G313-F313+1</f>
        <v>365</v>
      </c>
      <c r="M313" s="128"/>
      <c r="N313" s="132"/>
      <c r="O313" s="132"/>
      <c r="P313" s="132"/>
      <c r="Q313" s="128"/>
      <c r="R313" s="128"/>
      <c r="S313" s="128"/>
      <c r="T313" s="132"/>
      <c r="U313" s="128"/>
      <c r="V313" s="132"/>
      <c r="W313" s="141" t="n">
        <f aca="false">$W$2-F313+1</f>
        <v>27</v>
      </c>
      <c r="X313" s="131" t="n">
        <f aca="false">I313/12</f>
        <v>7866.66666666667</v>
      </c>
      <c r="Y313" s="131" t="n">
        <f aca="false">I313*W313/L313</f>
        <v>6983.01369863014</v>
      </c>
      <c r="Z313" s="141" t="n">
        <f aca="false">IF(F313&lt;$Z$2,30,$Z$2-I313)</f>
        <v>30</v>
      </c>
      <c r="AA313" s="147" t="n">
        <f aca="false">I313/12</f>
        <v>7866.66666666667</v>
      </c>
      <c r="AB313" s="147" t="n">
        <f aca="false">I313*Z313/L313</f>
        <v>7758.90410958904</v>
      </c>
      <c r="AC313" s="143"/>
      <c r="AD313" s="144"/>
      <c r="AE313" s="144"/>
    </row>
    <row r="314" customFormat="false" ht="15.75" hidden="false" customHeight="true" outlineLevel="0" collapsed="false">
      <c r="A314" s="128"/>
      <c r="B314" s="163" t="n">
        <v>45870</v>
      </c>
      <c r="C314" s="128" t="s">
        <v>727</v>
      </c>
      <c r="D314" s="128" t="s">
        <v>728</v>
      </c>
      <c r="E314" s="128"/>
      <c r="F314" s="154" t="n">
        <v>45875</v>
      </c>
      <c r="G314" s="154" t="n">
        <v>46239</v>
      </c>
      <c r="H314" s="128" t="s">
        <v>9</v>
      </c>
      <c r="I314" s="131" t="n">
        <v>82600</v>
      </c>
      <c r="J314" s="128"/>
      <c r="K314" s="132"/>
      <c r="L314" s="127" t="n">
        <f aca="false">G314-F314+1</f>
        <v>365</v>
      </c>
      <c r="M314" s="128"/>
      <c r="N314" s="132"/>
      <c r="O314" s="132"/>
      <c r="P314" s="132"/>
      <c r="Q314" s="128"/>
      <c r="R314" s="128"/>
      <c r="S314" s="128"/>
      <c r="T314" s="132"/>
      <c r="U314" s="128"/>
      <c r="V314" s="132"/>
      <c r="W314" s="141" t="n">
        <f aca="false">$W$2-F314+1</f>
        <v>26</v>
      </c>
      <c r="X314" s="131" t="n">
        <f aca="false">I314/12</f>
        <v>6883.33333333333</v>
      </c>
      <c r="Y314" s="131" t="n">
        <f aca="false">I314*W314/L314</f>
        <v>5883.83561643836</v>
      </c>
      <c r="Z314" s="141" t="n">
        <f aca="false">IF(F314&lt;$Z$2,30,$Z$2-I314)</f>
        <v>30</v>
      </c>
      <c r="AA314" s="147" t="n">
        <f aca="false">I314/12</f>
        <v>6883.33333333333</v>
      </c>
      <c r="AB314" s="147" t="n">
        <f aca="false">I314*Z314/L314</f>
        <v>6789.04109589041</v>
      </c>
      <c r="AC314" s="143"/>
      <c r="AD314" s="144"/>
      <c r="AE314" s="144"/>
    </row>
    <row r="315" customFormat="false" ht="15.75" hidden="false" customHeight="true" outlineLevel="0" collapsed="false">
      <c r="A315" s="128"/>
      <c r="B315" s="163" t="n">
        <v>45870</v>
      </c>
      <c r="C315" s="128" t="s">
        <v>729</v>
      </c>
      <c r="D315" s="128" t="s">
        <v>730</v>
      </c>
      <c r="E315" s="128"/>
      <c r="F315" s="154" t="n">
        <v>45875</v>
      </c>
      <c r="G315" s="154" t="n">
        <v>46239</v>
      </c>
      <c r="H315" s="128" t="s">
        <v>9</v>
      </c>
      <c r="I315" s="131" t="n">
        <v>82600</v>
      </c>
      <c r="J315" s="128"/>
      <c r="K315" s="132"/>
      <c r="L315" s="127" t="n">
        <f aca="false">G315-F315+1</f>
        <v>365</v>
      </c>
      <c r="M315" s="128"/>
      <c r="N315" s="132"/>
      <c r="O315" s="132"/>
      <c r="P315" s="132"/>
      <c r="Q315" s="128"/>
      <c r="R315" s="128"/>
      <c r="S315" s="128"/>
      <c r="T315" s="132"/>
      <c r="U315" s="128"/>
      <c r="V315" s="132"/>
      <c r="W315" s="141" t="n">
        <f aca="false">$W$2-F315+1</f>
        <v>26</v>
      </c>
      <c r="X315" s="131" t="n">
        <f aca="false">I315/12</f>
        <v>6883.33333333333</v>
      </c>
      <c r="Y315" s="131" t="n">
        <f aca="false">I315*W315/L315</f>
        <v>5883.83561643836</v>
      </c>
      <c r="Z315" s="141" t="n">
        <f aca="false">IF(F315&lt;$Z$2,30,$Z$2-I315)</f>
        <v>30</v>
      </c>
      <c r="AA315" s="147" t="n">
        <f aca="false">I315/12</f>
        <v>6883.33333333333</v>
      </c>
      <c r="AB315" s="147" t="n">
        <f aca="false">I315*Z315/L315</f>
        <v>6789.04109589041</v>
      </c>
      <c r="AC315" s="143"/>
      <c r="AD315" s="144"/>
      <c r="AE315" s="144"/>
    </row>
    <row r="316" s="137" customFormat="true" ht="15.75" hidden="false" customHeight="true" outlineLevel="0" collapsed="false">
      <c r="A316" s="127"/>
      <c r="B316" s="162" t="n">
        <v>45870</v>
      </c>
      <c r="C316" s="127" t="s">
        <v>324</v>
      </c>
      <c r="D316" s="127" t="s">
        <v>731</v>
      </c>
      <c r="E316" s="128"/>
      <c r="F316" s="148" t="n">
        <v>45876</v>
      </c>
      <c r="G316" s="148" t="n">
        <v>46240</v>
      </c>
      <c r="H316" s="142" t="s">
        <v>7</v>
      </c>
      <c r="I316" s="131" t="n">
        <v>1949832</v>
      </c>
      <c r="J316" s="127"/>
      <c r="K316" s="132"/>
      <c r="L316" s="127" t="n">
        <f aca="false">G316-F316+1</f>
        <v>365</v>
      </c>
      <c r="M316" s="127"/>
      <c r="N316" s="132"/>
      <c r="O316" s="132"/>
      <c r="P316" s="132"/>
      <c r="Q316" s="127"/>
      <c r="R316" s="127"/>
      <c r="S316" s="127"/>
      <c r="T316" s="132"/>
      <c r="U316" s="127"/>
      <c r="V316" s="132"/>
      <c r="W316" s="135" t="n">
        <f aca="false">$W$2-F316+1</f>
        <v>25</v>
      </c>
      <c r="X316" s="131" t="n">
        <f aca="false">I316/12</f>
        <v>162486</v>
      </c>
      <c r="Y316" s="131" t="n">
        <f aca="false">I316*W316/L316</f>
        <v>133550.136986301</v>
      </c>
      <c r="Z316" s="135" t="n">
        <f aca="false">IF(F316&lt;$Z$2,30,$Z$2-I316)</f>
        <v>30</v>
      </c>
      <c r="AA316" s="134" t="n">
        <f aca="false">I316/12</f>
        <v>162486</v>
      </c>
      <c r="AB316" s="134" t="n">
        <f aca="false">I316*Z316/L316</f>
        <v>160260.164383562</v>
      </c>
      <c r="AC316" s="143"/>
      <c r="AD316" s="144"/>
      <c r="AE316" s="144"/>
    </row>
    <row r="317" s="137" customFormat="true" ht="15.75" hidden="false" customHeight="true" outlineLevel="0" collapsed="false">
      <c r="A317" s="127"/>
      <c r="B317" s="162" t="n">
        <v>45870</v>
      </c>
      <c r="C317" s="127" t="s">
        <v>732</v>
      </c>
      <c r="D317" s="127" t="s">
        <v>733</v>
      </c>
      <c r="E317" s="128"/>
      <c r="F317" s="148" t="n">
        <v>45877</v>
      </c>
      <c r="G317" s="148" t="n">
        <v>46241</v>
      </c>
      <c r="H317" s="127" t="s">
        <v>9</v>
      </c>
      <c r="I317" s="131" t="n">
        <v>74340</v>
      </c>
      <c r="J317" s="127"/>
      <c r="K317" s="132"/>
      <c r="L317" s="127" t="n">
        <f aca="false">G317-F317+1</f>
        <v>365</v>
      </c>
      <c r="M317" s="127"/>
      <c r="N317" s="132"/>
      <c r="O317" s="132"/>
      <c r="P317" s="132"/>
      <c r="Q317" s="127"/>
      <c r="R317" s="127"/>
      <c r="S317" s="127"/>
      <c r="T317" s="132"/>
      <c r="U317" s="127"/>
      <c r="V317" s="132"/>
      <c r="W317" s="135" t="n">
        <f aca="false">$W$2-F317+1</f>
        <v>24</v>
      </c>
      <c r="X317" s="131" t="n">
        <f aca="false">I317/12</f>
        <v>6195</v>
      </c>
      <c r="Y317" s="131" t="n">
        <f aca="false">I317*W317/L317</f>
        <v>4888.1095890411</v>
      </c>
      <c r="Z317" s="135" t="n">
        <f aca="false">IF(F317&lt;$Z$2,30,$Z$2-I317)</f>
        <v>30</v>
      </c>
      <c r="AA317" s="134" t="n">
        <f aca="false">I317/12</f>
        <v>6195</v>
      </c>
      <c r="AB317" s="134" t="n">
        <f aca="false">I317*Z317/L317</f>
        <v>6110.13698630137</v>
      </c>
      <c r="AC317" s="143"/>
      <c r="AD317" s="144"/>
      <c r="AE317" s="144"/>
    </row>
    <row r="318" s="137" customFormat="true" ht="15.75" hidden="false" customHeight="true" outlineLevel="0" collapsed="false">
      <c r="A318" s="127"/>
      <c r="B318" s="162" t="n">
        <v>45870</v>
      </c>
      <c r="C318" s="127" t="s">
        <v>605</v>
      </c>
      <c r="D318" s="127" t="s">
        <v>734</v>
      </c>
      <c r="E318" s="128"/>
      <c r="F318" s="148" t="n">
        <v>45877</v>
      </c>
      <c r="G318" s="148" t="n">
        <v>46241</v>
      </c>
      <c r="H318" s="127" t="s">
        <v>9</v>
      </c>
      <c r="I318" s="131" t="n">
        <v>65000</v>
      </c>
      <c r="J318" s="127"/>
      <c r="K318" s="132"/>
      <c r="L318" s="127" t="n">
        <f aca="false">G318-F318+1</f>
        <v>365</v>
      </c>
      <c r="M318" s="127"/>
      <c r="N318" s="132"/>
      <c r="O318" s="132"/>
      <c r="P318" s="132"/>
      <c r="Q318" s="127"/>
      <c r="R318" s="127"/>
      <c r="S318" s="127"/>
      <c r="T318" s="132"/>
      <c r="U318" s="127"/>
      <c r="V318" s="132"/>
      <c r="W318" s="135" t="n">
        <f aca="false">$W$2-F318+1</f>
        <v>24</v>
      </c>
      <c r="X318" s="131" t="n">
        <f aca="false">I318/12</f>
        <v>5416.66666666667</v>
      </c>
      <c r="Y318" s="131" t="n">
        <f aca="false">I318*W318/L318</f>
        <v>4273.97260273973</v>
      </c>
      <c r="Z318" s="135" t="n">
        <f aca="false">IF(F318&lt;$Z$2,30,$Z$2-I318)</f>
        <v>30</v>
      </c>
      <c r="AA318" s="134" t="n">
        <f aca="false">I318/12</f>
        <v>5416.66666666667</v>
      </c>
      <c r="AB318" s="134" t="n">
        <f aca="false">I318*Z318/L318</f>
        <v>5342.46575342466</v>
      </c>
      <c r="AC318" s="143"/>
      <c r="AD318" s="144"/>
      <c r="AE318" s="144"/>
    </row>
    <row r="319" s="137" customFormat="true" ht="15.75" hidden="false" customHeight="true" outlineLevel="0" collapsed="false">
      <c r="A319" s="127"/>
      <c r="B319" s="162" t="n">
        <v>45870</v>
      </c>
      <c r="C319" s="127" t="s">
        <v>518</v>
      </c>
      <c r="D319" s="127" t="s">
        <v>735</v>
      </c>
      <c r="E319" s="128"/>
      <c r="F319" s="148" t="n">
        <v>45877</v>
      </c>
      <c r="G319" s="148" t="n">
        <v>46241</v>
      </c>
      <c r="H319" s="127" t="s">
        <v>9</v>
      </c>
      <c r="I319" s="131" t="n">
        <v>82000</v>
      </c>
      <c r="J319" s="127"/>
      <c r="K319" s="132"/>
      <c r="L319" s="127" t="n">
        <f aca="false">G319-F319+1</f>
        <v>365</v>
      </c>
      <c r="M319" s="127"/>
      <c r="N319" s="132"/>
      <c r="O319" s="132"/>
      <c r="P319" s="132"/>
      <c r="Q319" s="127"/>
      <c r="R319" s="127"/>
      <c r="S319" s="127"/>
      <c r="T319" s="132"/>
      <c r="U319" s="127"/>
      <c r="V319" s="132"/>
      <c r="W319" s="135" t="n">
        <f aca="false">$W$2-F319+1</f>
        <v>24</v>
      </c>
      <c r="X319" s="131" t="n">
        <f aca="false">I319/12</f>
        <v>6833.33333333333</v>
      </c>
      <c r="Y319" s="131" t="n">
        <f aca="false">I319*W319/L319</f>
        <v>5391.78082191781</v>
      </c>
      <c r="Z319" s="135" t="n">
        <f aca="false">IF(F319&lt;$Z$2,30,$Z$2-I319)</f>
        <v>30</v>
      </c>
      <c r="AA319" s="134" t="n">
        <f aca="false">I319/12</f>
        <v>6833.33333333333</v>
      </c>
      <c r="AB319" s="134" t="n">
        <f aca="false">I319*Z319/L319</f>
        <v>6739.72602739726</v>
      </c>
      <c r="AC319" s="143"/>
      <c r="AD319" s="144"/>
      <c r="AE319" s="144"/>
    </row>
    <row r="320" customFormat="false" ht="15.75" hidden="false" customHeight="true" outlineLevel="0" collapsed="false">
      <c r="A320" s="128"/>
      <c r="B320" s="163" t="n">
        <v>45870</v>
      </c>
      <c r="C320" s="128" t="s">
        <v>736</v>
      </c>
      <c r="D320" s="128" t="s">
        <v>737</v>
      </c>
      <c r="E320" s="128"/>
      <c r="F320" s="154" t="n">
        <v>45881</v>
      </c>
      <c r="G320" s="154" t="n">
        <v>46245</v>
      </c>
      <c r="H320" s="128" t="s">
        <v>9</v>
      </c>
      <c r="I320" s="131" t="n">
        <v>70000</v>
      </c>
      <c r="J320" s="128"/>
      <c r="K320" s="132"/>
      <c r="L320" s="127" t="n">
        <f aca="false">G320-F320+1</f>
        <v>365</v>
      </c>
      <c r="M320" s="128"/>
      <c r="N320" s="132"/>
      <c r="O320" s="132"/>
      <c r="P320" s="132"/>
      <c r="Q320" s="128"/>
      <c r="R320" s="128"/>
      <c r="S320" s="128"/>
      <c r="T320" s="132"/>
      <c r="U320" s="128"/>
      <c r="V320" s="132"/>
      <c r="W320" s="141" t="n">
        <f aca="false">$W$2-F320+1</f>
        <v>20</v>
      </c>
      <c r="X320" s="131" t="n">
        <f aca="false">I320/12</f>
        <v>5833.33333333333</v>
      </c>
      <c r="Y320" s="131" t="n">
        <f aca="false">I320*W320/L320</f>
        <v>3835.61643835616</v>
      </c>
      <c r="Z320" s="141" t="n">
        <f aca="false">IF(F320&lt;$Z$2,30,$Z$2-I320)</f>
        <v>30</v>
      </c>
      <c r="AA320" s="147" t="n">
        <f aca="false">I320/12</f>
        <v>5833.33333333333</v>
      </c>
      <c r="AB320" s="147" t="n">
        <f aca="false">I320*Z320/L320</f>
        <v>5753.42465753425</v>
      </c>
      <c r="AC320" s="143"/>
      <c r="AD320" s="144"/>
      <c r="AE320" s="144"/>
    </row>
    <row r="321" customFormat="false" ht="15.75" hidden="false" customHeight="true" outlineLevel="0" collapsed="false">
      <c r="A321" s="128"/>
      <c r="B321" s="163" t="n">
        <v>45870</v>
      </c>
      <c r="C321" s="128" t="s">
        <v>738</v>
      </c>
      <c r="D321" s="128" t="s">
        <v>739</v>
      </c>
      <c r="E321" s="128"/>
      <c r="F321" s="154" t="n">
        <v>45881</v>
      </c>
      <c r="G321" s="154" t="n">
        <v>46064</v>
      </c>
      <c r="H321" s="128" t="s">
        <v>29</v>
      </c>
      <c r="I321" s="131" t="n">
        <v>41300</v>
      </c>
      <c r="J321" s="128"/>
      <c r="K321" s="132"/>
      <c r="L321" s="127" t="n">
        <f aca="false">G321-F321+1</f>
        <v>184</v>
      </c>
      <c r="M321" s="128"/>
      <c r="N321" s="132"/>
      <c r="O321" s="132"/>
      <c r="P321" s="132"/>
      <c r="Q321" s="128"/>
      <c r="R321" s="128"/>
      <c r="S321" s="128"/>
      <c r="T321" s="132"/>
      <c r="U321" s="128"/>
      <c r="V321" s="132"/>
      <c r="W321" s="141" t="n">
        <f aca="false">$W$2-F321+1</f>
        <v>20</v>
      </c>
      <c r="X321" s="132" t="n">
        <f aca="false">I321/6</f>
        <v>6883.33333333333</v>
      </c>
      <c r="Y321" s="131" t="n">
        <f aca="false">I321*W321/L321</f>
        <v>4489.13043478261</v>
      </c>
      <c r="Z321" s="141" t="n">
        <f aca="false">IF(F321&lt;$Z$2,30,$Z$2-I321)</f>
        <v>30</v>
      </c>
      <c r="AA321" s="147" t="n">
        <f aca="false">I321/6</f>
        <v>6883.33333333333</v>
      </c>
      <c r="AB321" s="147" t="n">
        <f aca="false">Z321*I321/L321</f>
        <v>6733.69565217391</v>
      </c>
      <c r="AC321" s="143"/>
      <c r="AD321" s="144"/>
      <c r="AE321" s="144"/>
    </row>
    <row r="322" customFormat="false" ht="15.75" hidden="false" customHeight="true" outlineLevel="0" collapsed="false">
      <c r="A322" s="128"/>
      <c r="B322" s="163" t="n">
        <v>45870</v>
      </c>
      <c r="C322" s="128" t="s">
        <v>740</v>
      </c>
      <c r="D322" s="128" t="s">
        <v>741</v>
      </c>
      <c r="E322" s="128"/>
      <c r="F322" s="154" t="n">
        <v>45884</v>
      </c>
      <c r="G322" s="154" t="n">
        <v>46248</v>
      </c>
      <c r="H322" s="128" t="s">
        <v>9</v>
      </c>
      <c r="I322" s="131" t="n">
        <v>74340</v>
      </c>
      <c r="J322" s="128"/>
      <c r="K322" s="132"/>
      <c r="L322" s="127" t="n">
        <f aca="false">G322-F322+1</f>
        <v>365</v>
      </c>
      <c r="M322" s="128"/>
      <c r="N322" s="132"/>
      <c r="O322" s="132"/>
      <c r="P322" s="132"/>
      <c r="Q322" s="128"/>
      <c r="R322" s="128"/>
      <c r="S322" s="128"/>
      <c r="T322" s="132"/>
      <c r="U322" s="128"/>
      <c r="V322" s="132"/>
      <c r="W322" s="141" t="n">
        <f aca="false">$W$2-F322+1</f>
        <v>17</v>
      </c>
      <c r="X322" s="131" t="n">
        <f aca="false">I322/12</f>
        <v>6195</v>
      </c>
      <c r="Y322" s="131" t="n">
        <f aca="false">I322*W322/L322</f>
        <v>3462.41095890411</v>
      </c>
      <c r="Z322" s="141" t="n">
        <f aca="false">IF(F322&lt;$Z$2,30,$Z$2-I322)</f>
        <v>30</v>
      </c>
      <c r="AA322" s="147" t="n">
        <f aca="false">I322/12</f>
        <v>6195</v>
      </c>
      <c r="AB322" s="147" t="n">
        <f aca="false">I322*Z322/L322</f>
        <v>6110.13698630137</v>
      </c>
      <c r="AC322" s="143"/>
      <c r="AD322" s="144"/>
      <c r="AE322" s="144"/>
    </row>
    <row r="323" customFormat="false" ht="15.75" hidden="false" customHeight="true" outlineLevel="0" collapsed="false">
      <c r="A323" s="128"/>
      <c r="B323" s="163" t="n">
        <v>45870</v>
      </c>
      <c r="C323" s="128" t="s">
        <v>742</v>
      </c>
      <c r="D323" s="128" t="s">
        <v>743</v>
      </c>
      <c r="E323" s="128"/>
      <c r="F323" s="154" t="n">
        <v>45882</v>
      </c>
      <c r="G323" s="154" t="n">
        <v>45973</v>
      </c>
      <c r="H323" s="150" t="s">
        <v>24</v>
      </c>
      <c r="I323" s="131" t="n">
        <v>35400</v>
      </c>
      <c r="J323" s="128"/>
      <c r="K323" s="132"/>
      <c r="L323" s="127" t="n">
        <f aca="false">G323-F323+1</f>
        <v>92</v>
      </c>
      <c r="M323" s="128"/>
      <c r="N323" s="132"/>
      <c r="O323" s="132"/>
      <c r="P323" s="132"/>
      <c r="Q323" s="128"/>
      <c r="R323" s="128"/>
      <c r="S323" s="128"/>
      <c r="T323" s="132"/>
      <c r="U323" s="128"/>
      <c r="V323" s="132"/>
      <c r="W323" s="141" t="n">
        <f aca="false">$W$2-F323+1</f>
        <v>19</v>
      </c>
      <c r="X323" s="132" t="n">
        <f aca="false">I323/3</f>
        <v>11800</v>
      </c>
      <c r="Y323" s="131" t="n">
        <f aca="false">I323*W323/L323</f>
        <v>7310.86956521739</v>
      </c>
      <c r="Z323" s="141" t="n">
        <f aca="false">IF(F323&lt;$Z$2,30,$Z$2-I323)</f>
        <v>30</v>
      </c>
      <c r="AA323" s="147" t="n">
        <f aca="false">I323/3</f>
        <v>11800</v>
      </c>
      <c r="AB323" s="147" t="n">
        <f aca="false">Z323*I323/L323</f>
        <v>11543.4782608696</v>
      </c>
      <c r="AC323" s="143"/>
      <c r="AD323" s="144"/>
      <c r="AE323" s="144"/>
    </row>
    <row r="324" s="137" customFormat="true" ht="15.75" hidden="false" customHeight="true" outlineLevel="0" collapsed="false">
      <c r="A324" s="127"/>
      <c r="B324" s="162" t="n">
        <v>45870</v>
      </c>
      <c r="C324" s="127" t="s">
        <v>744</v>
      </c>
      <c r="D324" s="127" t="s">
        <v>745</v>
      </c>
      <c r="E324" s="128"/>
      <c r="F324" s="148" t="n">
        <v>45883</v>
      </c>
      <c r="G324" s="148" t="n">
        <v>45913</v>
      </c>
      <c r="H324" s="127" t="s">
        <v>19</v>
      </c>
      <c r="I324" s="131" t="n">
        <v>10000</v>
      </c>
      <c r="J324" s="127"/>
      <c r="K324" s="132"/>
      <c r="L324" s="127" t="n">
        <f aca="false">G324-F324+1</f>
        <v>31</v>
      </c>
      <c r="M324" s="127"/>
      <c r="N324" s="132"/>
      <c r="O324" s="132"/>
      <c r="P324" s="132"/>
      <c r="Q324" s="127"/>
      <c r="R324" s="127"/>
      <c r="S324" s="127"/>
      <c r="T324" s="132"/>
      <c r="U324" s="127"/>
      <c r="V324" s="132"/>
      <c r="W324" s="135" t="n">
        <f aca="false">$W$2-F324+1</f>
        <v>18</v>
      </c>
      <c r="X324" s="166" t="n">
        <f aca="false">I324</f>
        <v>10000</v>
      </c>
      <c r="Y324" s="131" t="n">
        <f aca="false">I324*W324/L324</f>
        <v>5806.45161290323</v>
      </c>
      <c r="Z324" s="127" t="n">
        <f aca="false">G324-$W$2</f>
        <v>13</v>
      </c>
      <c r="AA324" s="127"/>
      <c r="AB324" s="134" t="n">
        <f aca="false">Z324*I324/L324</f>
        <v>4193.54838709678</v>
      </c>
      <c r="AC324" s="136"/>
      <c r="AD324" s="136"/>
      <c r="AE324" s="136"/>
    </row>
    <row r="325" customFormat="false" ht="15.75" hidden="false" customHeight="true" outlineLevel="0" collapsed="false">
      <c r="A325" s="128"/>
      <c r="B325" s="163" t="n">
        <v>45870</v>
      </c>
      <c r="C325" s="128" t="s">
        <v>746</v>
      </c>
      <c r="D325" s="128" t="s">
        <v>747</v>
      </c>
      <c r="E325" s="128"/>
      <c r="F325" s="154" t="n">
        <v>45883</v>
      </c>
      <c r="G325" s="154" t="n">
        <v>46247</v>
      </c>
      <c r="H325" s="128" t="s">
        <v>9</v>
      </c>
      <c r="I325" s="131" t="n">
        <v>99120</v>
      </c>
      <c r="J325" s="128"/>
      <c r="K325" s="132"/>
      <c r="L325" s="127" t="n">
        <f aca="false">G325-F325+1</f>
        <v>365</v>
      </c>
      <c r="M325" s="128"/>
      <c r="N325" s="132"/>
      <c r="O325" s="132"/>
      <c r="P325" s="132"/>
      <c r="Q325" s="128"/>
      <c r="R325" s="128"/>
      <c r="S325" s="128"/>
      <c r="T325" s="132"/>
      <c r="U325" s="128"/>
      <c r="V325" s="132"/>
      <c r="W325" s="141" t="n">
        <f aca="false">$W$2-F325+1</f>
        <v>18</v>
      </c>
      <c r="X325" s="131" t="n">
        <f aca="false">I325/12</f>
        <v>8260</v>
      </c>
      <c r="Y325" s="131" t="n">
        <f aca="false">I325*W325/L325</f>
        <v>4888.1095890411</v>
      </c>
      <c r="Z325" s="141" t="n">
        <f aca="false">IF(F325&lt;$Z$2,30,$Z$2-I325)</f>
        <v>30</v>
      </c>
      <c r="AA325" s="147" t="n">
        <f aca="false">I325/12</f>
        <v>8260</v>
      </c>
      <c r="AB325" s="147" t="n">
        <f aca="false">I325*Z325/L325</f>
        <v>8146.84931506849</v>
      </c>
      <c r="AC325" s="143"/>
      <c r="AD325" s="144"/>
      <c r="AE325" s="144"/>
    </row>
    <row r="326" s="137" customFormat="true" ht="15.75" hidden="false" customHeight="true" outlineLevel="0" collapsed="false">
      <c r="A326" s="127"/>
      <c r="B326" s="162" t="n">
        <v>45870</v>
      </c>
      <c r="C326" s="127" t="s">
        <v>236</v>
      </c>
      <c r="D326" s="127" t="s">
        <v>748</v>
      </c>
      <c r="E326" s="128"/>
      <c r="F326" s="148" t="n">
        <v>45887</v>
      </c>
      <c r="G326" s="148" t="n">
        <v>46251</v>
      </c>
      <c r="H326" s="142" t="s">
        <v>7</v>
      </c>
      <c r="I326" s="131" t="n">
        <v>1720440</v>
      </c>
      <c r="J326" s="127"/>
      <c r="K326" s="132"/>
      <c r="L326" s="127" t="n">
        <f aca="false">G326-F326+1</f>
        <v>365</v>
      </c>
      <c r="M326" s="127"/>
      <c r="N326" s="132"/>
      <c r="O326" s="132"/>
      <c r="P326" s="132"/>
      <c r="Q326" s="127"/>
      <c r="R326" s="127"/>
      <c r="S326" s="127"/>
      <c r="T326" s="132"/>
      <c r="U326" s="127"/>
      <c r="V326" s="132"/>
      <c r="W326" s="135" t="n">
        <f aca="false">$W$2-F326+1</f>
        <v>14</v>
      </c>
      <c r="X326" s="131" t="n">
        <f aca="false">I326/12</f>
        <v>143370</v>
      </c>
      <c r="Y326" s="131" t="n">
        <f aca="false">I326*W326/L326</f>
        <v>65989.4794520548</v>
      </c>
      <c r="Z326" s="135" t="n">
        <f aca="false">IF(F326&lt;$Z$2,30,$Z$2-I326)</f>
        <v>30</v>
      </c>
      <c r="AA326" s="134" t="n">
        <f aca="false">I326/12</f>
        <v>143370</v>
      </c>
      <c r="AB326" s="134" t="n">
        <f aca="false">I326*Z326/L326</f>
        <v>141406.02739726</v>
      </c>
      <c r="AC326" s="143"/>
      <c r="AD326" s="144"/>
      <c r="AE326" s="144"/>
    </row>
    <row r="327" s="137" customFormat="true" ht="15.75" hidden="false" customHeight="true" outlineLevel="0" collapsed="false">
      <c r="A327" s="127"/>
      <c r="B327" s="162" t="n">
        <v>45870</v>
      </c>
      <c r="C327" s="127" t="s">
        <v>749</v>
      </c>
      <c r="D327" s="127" t="s">
        <v>750</v>
      </c>
      <c r="E327" s="128"/>
      <c r="F327" s="148" t="n">
        <v>45894</v>
      </c>
      <c r="G327" s="148" t="n">
        <v>46077</v>
      </c>
      <c r="H327" s="127" t="s">
        <v>29</v>
      </c>
      <c r="I327" s="131" t="n">
        <v>582000</v>
      </c>
      <c r="J327" s="127"/>
      <c r="K327" s="132"/>
      <c r="L327" s="127" t="n">
        <f aca="false">G327-F327+1</f>
        <v>184</v>
      </c>
      <c r="M327" s="127"/>
      <c r="N327" s="132"/>
      <c r="O327" s="132"/>
      <c r="P327" s="132"/>
      <c r="Q327" s="127"/>
      <c r="R327" s="127"/>
      <c r="S327" s="127"/>
      <c r="T327" s="132"/>
      <c r="U327" s="127"/>
      <c r="V327" s="132"/>
      <c r="W327" s="135" t="n">
        <f aca="false">$W$2-F327+1</f>
        <v>7</v>
      </c>
      <c r="X327" s="132" t="n">
        <f aca="false">I327/6</f>
        <v>97000</v>
      </c>
      <c r="Y327" s="131" t="n">
        <f aca="false">I327*W327/L327</f>
        <v>22141.3043478261</v>
      </c>
      <c r="Z327" s="135" t="n">
        <f aca="false">IF(F327&lt;$Z$2,30,$Z$2-I327)</f>
        <v>30</v>
      </c>
      <c r="AA327" s="134" t="n">
        <f aca="false">I327/6</f>
        <v>97000</v>
      </c>
      <c r="AB327" s="134" t="n">
        <f aca="false">Z327*I327/L327</f>
        <v>94891.3043478261</v>
      </c>
      <c r="AC327" s="143"/>
      <c r="AD327" s="144"/>
      <c r="AE327" s="144"/>
    </row>
    <row r="328" customFormat="false" ht="15.75" hidden="false" customHeight="true" outlineLevel="0" collapsed="false">
      <c r="A328" s="128"/>
      <c r="B328" s="163" t="n">
        <v>45870</v>
      </c>
      <c r="C328" s="128" t="s">
        <v>751</v>
      </c>
      <c r="D328" s="128" t="s">
        <v>752</v>
      </c>
      <c r="E328" s="128"/>
      <c r="F328" s="154" t="n">
        <v>45884</v>
      </c>
      <c r="G328" s="154" t="n">
        <v>46248</v>
      </c>
      <c r="H328" s="128" t="s">
        <v>9</v>
      </c>
      <c r="I328" s="131" t="n">
        <v>82600</v>
      </c>
      <c r="J328" s="128"/>
      <c r="K328" s="132"/>
      <c r="L328" s="127" t="n">
        <f aca="false">G328-F328+1</f>
        <v>365</v>
      </c>
      <c r="M328" s="128"/>
      <c r="N328" s="132"/>
      <c r="O328" s="132"/>
      <c r="P328" s="132"/>
      <c r="Q328" s="128"/>
      <c r="R328" s="128"/>
      <c r="S328" s="128"/>
      <c r="T328" s="132"/>
      <c r="U328" s="128"/>
      <c r="V328" s="132"/>
      <c r="W328" s="141" t="n">
        <f aca="false">$W$2-F328+1</f>
        <v>17</v>
      </c>
      <c r="X328" s="131" t="n">
        <f aca="false">I328/12</f>
        <v>6883.33333333333</v>
      </c>
      <c r="Y328" s="131" t="n">
        <f aca="false">I328*W328/L328</f>
        <v>3847.12328767123</v>
      </c>
      <c r="Z328" s="141" t="n">
        <f aca="false">IF(F328&lt;$Z$2,30,$Z$2-I328)</f>
        <v>30</v>
      </c>
      <c r="AA328" s="147" t="n">
        <f aca="false">I328/12</f>
        <v>6883.33333333333</v>
      </c>
      <c r="AB328" s="147" t="n">
        <f aca="false">I328*Z328/L328</f>
        <v>6789.04109589041</v>
      </c>
      <c r="AC328" s="143"/>
      <c r="AD328" s="144"/>
      <c r="AE328" s="144"/>
    </row>
    <row r="329" customFormat="false" ht="15.75" hidden="false" customHeight="true" outlineLevel="0" collapsed="false">
      <c r="A329" s="128"/>
      <c r="B329" s="163" t="n">
        <v>45839</v>
      </c>
      <c r="C329" s="128" t="s">
        <v>177</v>
      </c>
      <c r="D329" s="128" t="s">
        <v>697</v>
      </c>
      <c r="E329" s="128"/>
      <c r="F329" s="154" t="n">
        <v>45866</v>
      </c>
      <c r="G329" s="154" t="n">
        <v>45883</v>
      </c>
      <c r="H329" s="145" t="s">
        <v>17</v>
      </c>
      <c r="I329" s="131" t="n">
        <f aca="false">34592.52*118%</f>
        <v>40819.1736</v>
      </c>
      <c r="J329" s="128"/>
      <c r="K329" s="132"/>
      <c r="L329" s="127" t="n">
        <f aca="false">G329-F329+1</f>
        <v>18</v>
      </c>
      <c r="M329" s="128"/>
      <c r="N329" s="132"/>
      <c r="O329" s="132"/>
      <c r="P329" s="132"/>
      <c r="Q329" s="128"/>
      <c r="R329" s="128"/>
      <c r="S329" s="128"/>
      <c r="T329" s="132" t="n">
        <f aca="false">I329</f>
        <v>40819.1736</v>
      </c>
      <c r="U329" s="132" t="n">
        <f aca="false">$U$2-F329+1</f>
        <v>4</v>
      </c>
      <c r="V329" s="147" t="n">
        <f aca="false">I329*U329/L329</f>
        <v>9070.92746666667</v>
      </c>
      <c r="W329" s="141" t="n">
        <f aca="false">G329-$W$1+1</f>
        <v>14</v>
      </c>
      <c r="X329" s="132" t="n">
        <v>0</v>
      </c>
      <c r="Y329" s="131" t="n">
        <f aca="false">I329*W329/L329</f>
        <v>31748.2461333333</v>
      </c>
      <c r="Z329" s="141"/>
      <c r="AA329" s="147"/>
      <c r="AB329" s="147"/>
      <c r="AC329" s="136"/>
      <c r="AD329" s="136"/>
      <c r="AE329" s="136"/>
    </row>
    <row r="330" s="124" customFormat="true" ht="15.75" hidden="false" customHeight="true" outlineLevel="0" collapsed="false">
      <c r="A330" s="117"/>
      <c r="B330" s="162" t="n">
        <v>45931</v>
      </c>
      <c r="C330" s="127" t="s">
        <v>177</v>
      </c>
      <c r="D330" s="127" t="s">
        <v>753</v>
      </c>
      <c r="E330" s="148" t="n">
        <v>45884</v>
      </c>
      <c r="F330" s="148" t="n">
        <v>45945</v>
      </c>
      <c r="G330" s="148" t="n">
        <v>46126</v>
      </c>
      <c r="H330" s="156" t="s">
        <v>28</v>
      </c>
      <c r="I330" s="131" t="n">
        <f aca="false">(152708+27487.44)*6</f>
        <v>1081172.64</v>
      </c>
      <c r="J330" s="127"/>
      <c r="K330" s="132"/>
      <c r="L330" s="127" t="n">
        <f aca="false">G330-F330+1</f>
        <v>182</v>
      </c>
      <c r="M330" s="117"/>
      <c r="N330" s="119"/>
      <c r="O330" s="119"/>
      <c r="P330" s="119"/>
      <c r="Q330" s="117"/>
      <c r="R330" s="117"/>
      <c r="S330" s="117"/>
      <c r="T330" s="119"/>
      <c r="U330" s="119"/>
      <c r="V330" s="170"/>
      <c r="W330" s="171"/>
      <c r="X330" s="119"/>
      <c r="Y330" s="172"/>
      <c r="Z330" s="171"/>
      <c r="AA330" s="170"/>
      <c r="AB330" s="170"/>
      <c r="AC330" s="143"/>
      <c r="AD330" s="144"/>
      <c r="AE330" s="144"/>
    </row>
    <row r="331" s="137" customFormat="true" ht="15.75" hidden="false" customHeight="true" outlineLevel="0" collapsed="false">
      <c r="A331" s="127"/>
      <c r="B331" s="162" t="n">
        <v>45901</v>
      </c>
      <c r="C331" s="127" t="s">
        <v>177</v>
      </c>
      <c r="D331" s="127" t="s">
        <v>754</v>
      </c>
      <c r="E331" s="128"/>
      <c r="F331" s="148" t="n">
        <v>45884</v>
      </c>
      <c r="G331" s="148" t="n">
        <v>45944</v>
      </c>
      <c r="H331" s="156" t="s">
        <v>20</v>
      </c>
      <c r="I331" s="131" t="n">
        <f aca="false">(343328+61799.04)</f>
        <v>405127.04</v>
      </c>
      <c r="J331" s="127"/>
      <c r="K331" s="132"/>
      <c r="L331" s="127" t="n">
        <f aca="false">G331-F331+1</f>
        <v>61</v>
      </c>
      <c r="M331" s="127"/>
      <c r="N331" s="132"/>
      <c r="O331" s="132"/>
      <c r="P331" s="132"/>
      <c r="Q331" s="127"/>
      <c r="R331" s="127"/>
      <c r="S331" s="127"/>
      <c r="T331" s="132"/>
      <c r="U331" s="127"/>
      <c r="V331" s="132"/>
      <c r="W331" s="135" t="n">
        <f aca="false">$W$2-F331+1</f>
        <v>17</v>
      </c>
      <c r="X331" s="132" t="n">
        <f aca="false">I331/8</f>
        <v>50640.88</v>
      </c>
      <c r="Y331" s="131" t="n">
        <f aca="false">I331*W331/L331</f>
        <v>112904.25704918</v>
      </c>
      <c r="Z331" s="135" t="n">
        <f aca="false">IF(F331&lt;$Z$2,30,$Z$2-I331)</f>
        <v>30</v>
      </c>
      <c r="AA331" s="134" t="n">
        <f aca="false">I331/8</f>
        <v>50640.88</v>
      </c>
      <c r="AB331" s="134" t="n">
        <f aca="false">Z331*I331/L331</f>
        <v>199242.806557377</v>
      </c>
      <c r="AC331" s="143"/>
      <c r="AD331" s="136"/>
      <c r="AE331" s="144"/>
    </row>
    <row r="332" customFormat="false" ht="15.75" hidden="false" customHeight="true" outlineLevel="0" collapsed="false">
      <c r="A332" s="128"/>
      <c r="B332" s="163" t="n">
        <v>45870</v>
      </c>
      <c r="C332" s="128" t="s">
        <v>755</v>
      </c>
      <c r="D332" s="128" t="s">
        <v>756</v>
      </c>
      <c r="E332" s="128"/>
      <c r="F332" s="154" t="n">
        <v>45887</v>
      </c>
      <c r="G332" s="154" t="n">
        <v>46251</v>
      </c>
      <c r="H332" s="128" t="s">
        <v>9</v>
      </c>
      <c r="I332" s="131" t="n">
        <v>141600</v>
      </c>
      <c r="J332" s="128"/>
      <c r="K332" s="132"/>
      <c r="L332" s="127" t="n">
        <f aca="false">G332-F332+1</f>
        <v>365</v>
      </c>
      <c r="M332" s="128"/>
      <c r="N332" s="132"/>
      <c r="O332" s="132"/>
      <c r="P332" s="132"/>
      <c r="Q332" s="128"/>
      <c r="R332" s="128"/>
      <c r="S332" s="128"/>
      <c r="T332" s="132"/>
      <c r="U332" s="128"/>
      <c r="V332" s="132"/>
      <c r="W332" s="141" t="n">
        <f aca="false">$W$2-F332+1</f>
        <v>14</v>
      </c>
      <c r="X332" s="131" t="n">
        <f aca="false">I332/12</f>
        <v>11800</v>
      </c>
      <c r="Y332" s="131" t="n">
        <f aca="false">I332*W332/L332</f>
        <v>5431.23287671233</v>
      </c>
      <c r="Z332" s="141" t="n">
        <f aca="false">IF(F332&lt;$Z$2,30,$Z$2-I332)</f>
        <v>30</v>
      </c>
      <c r="AA332" s="147" t="n">
        <f aca="false">I332/12</f>
        <v>11800</v>
      </c>
      <c r="AB332" s="147" t="n">
        <f aca="false">I332*Z332/L332</f>
        <v>11638.3561643836</v>
      </c>
      <c r="AC332" s="143"/>
      <c r="AD332" s="144"/>
      <c r="AE332" s="144"/>
    </row>
    <row r="333" customFormat="false" ht="15.75" hidden="false" customHeight="true" outlineLevel="0" collapsed="false">
      <c r="A333" s="128"/>
      <c r="B333" s="163" t="n">
        <v>45870</v>
      </c>
      <c r="C333" s="128" t="s">
        <v>757</v>
      </c>
      <c r="D333" s="128" t="s">
        <v>758</v>
      </c>
      <c r="E333" s="128"/>
      <c r="F333" s="154" t="n">
        <v>45897</v>
      </c>
      <c r="G333" s="154" t="n">
        <v>46258</v>
      </c>
      <c r="H333" s="128" t="s">
        <v>9</v>
      </c>
      <c r="I333" s="131" t="n">
        <v>1239000</v>
      </c>
      <c r="J333" s="128"/>
      <c r="K333" s="132"/>
      <c r="L333" s="127" t="n">
        <f aca="false">G333-F333+1</f>
        <v>362</v>
      </c>
      <c r="M333" s="128"/>
      <c r="N333" s="132"/>
      <c r="O333" s="132"/>
      <c r="P333" s="132"/>
      <c r="Q333" s="128"/>
      <c r="R333" s="128"/>
      <c r="S333" s="128"/>
      <c r="T333" s="132"/>
      <c r="U333" s="128"/>
      <c r="V333" s="132"/>
      <c r="W333" s="141" t="n">
        <f aca="false">$W$2-F333+1</f>
        <v>4</v>
      </c>
      <c r="X333" s="131" t="n">
        <f aca="false">I333/12</f>
        <v>103250</v>
      </c>
      <c r="Y333" s="131" t="n">
        <f aca="false">I333*W333/L333</f>
        <v>13690.6077348066</v>
      </c>
      <c r="Z333" s="141" t="n">
        <f aca="false">IF(F333&lt;$Z$2,30,$Z$2-I333)</f>
        <v>30</v>
      </c>
      <c r="AA333" s="147" t="n">
        <f aca="false">I333/12</f>
        <v>103250</v>
      </c>
      <c r="AB333" s="147" t="n">
        <f aca="false">I333*Z333/L333</f>
        <v>102679.55801105</v>
      </c>
      <c r="AC333" s="143"/>
      <c r="AD333" s="144"/>
      <c r="AE333" s="144"/>
    </row>
    <row r="334" customFormat="false" ht="15.75" hidden="false" customHeight="true" outlineLevel="0" collapsed="false">
      <c r="A334" s="128"/>
      <c r="B334" s="163" t="n">
        <v>45870</v>
      </c>
      <c r="C334" s="128" t="s">
        <v>759</v>
      </c>
      <c r="D334" s="128" t="s">
        <v>760</v>
      </c>
      <c r="E334" s="128"/>
      <c r="F334" s="154" t="n">
        <v>45887</v>
      </c>
      <c r="G334" s="154" t="n">
        <v>46251</v>
      </c>
      <c r="H334" s="128" t="s">
        <v>9</v>
      </c>
      <c r="I334" s="131" t="n">
        <v>82600</v>
      </c>
      <c r="J334" s="128"/>
      <c r="K334" s="132"/>
      <c r="L334" s="127" t="n">
        <f aca="false">G334-F334+1</f>
        <v>365</v>
      </c>
      <c r="M334" s="128"/>
      <c r="N334" s="132"/>
      <c r="O334" s="132"/>
      <c r="P334" s="132"/>
      <c r="Q334" s="128"/>
      <c r="R334" s="128"/>
      <c r="S334" s="128"/>
      <c r="T334" s="132"/>
      <c r="U334" s="128"/>
      <c r="V334" s="132"/>
      <c r="W334" s="141" t="n">
        <f aca="false">$W$2-F334+1</f>
        <v>14</v>
      </c>
      <c r="X334" s="131" t="n">
        <f aca="false">I334/12</f>
        <v>6883.33333333333</v>
      </c>
      <c r="Y334" s="131" t="n">
        <f aca="false">I334*W334/L334</f>
        <v>3168.21917808219</v>
      </c>
      <c r="Z334" s="141" t="n">
        <f aca="false">IF(F334&lt;$Z$2,30,$Z$2-I334)</f>
        <v>30</v>
      </c>
      <c r="AA334" s="147" t="n">
        <f aca="false">I334/12</f>
        <v>6883.33333333333</v>
      </c>
      <c r="AB334" s="147" t="n">
        <f aca="false">I334*Z334/L334</f>
        <v>6789.04109589041</v>
      </c>
      <c r="AC334" s="143"/>
      <c r="AD334" s="144"/>
      <c r="AE334" s="144"/>
    </row>
    <row r="335" customFormat="false" ht="15.75" hidden="false" customHeight="true" outlineLevel="0" collapsed="false">
      <c r="A335" s="128"/>
      <c r="B335" s="163" t="n">
        <v>45870</v>
      </c>
      <c r="C335" s="128" t="s">
        <v>761</v>
      </c>
      <c r="D335" s="128" t="s">
        <v>762</v>
      </c>
      <c r="E335" s="128"/>
      <c r="F335" s="154" t="n">
        <v>45888</v>
      </c>
      <c r="G335" s="154" t="n">
        <v>46252</v>
      </c>
      <c r="H335" s="128" t="s">
        <v>9</v>
      </c>
      <c r="I335" s="131" t="n">
        <v>82600</v>
      </c>
      <c r="J335" s="128"/>
      <c r="K335" s="132"/>
      <c r="L335" s="127" t="n">
        <f aca="false">G335-F335+1</f>
        <v>365</v>
      </c>
      <c r="M335" s="128"/>
      <c r="N335" s="132"/>
      <c r="O335" s="132"/>
      <c r="P335" s="132"/>
      <c r="Q335" s="128"/>
      <c r="R335" s="128"/>
      <c r="S335" s="128"/>
      <c r="T335" s="132"/>
      <c r="U335" s="128"/>
      <c r="V335" s="132"/>
      <c r="W335" s="141" t="n">
        <f aca="false">$W$2-F335+1</f>
        <v>13</v>
      </c>
      <c r="X335" s="131" t="n">
        <f aca="false">I335/12</f>
        <v>6883.33333333333</v>
      </c>
      <c r="Y335" s="131" t="n">
        <f aca="false">I335*W335/L335</f>
        <v>2941.91780821918</v>
      </c>
      <c r="Z335" s="141" t="n">
        <f aca="false">IF(F335&lt;$Z$2,30,$Z$2-I335)</f>
        <v>30</v>
      </c>
      <c r="AA335" s="147" t="n">
        <f aca="false">I335/12</f>
        <v>6883.33333333333</v>
      </c>
      <c r="AB335" s="147" t="n">
        <f aca="false">I335*Z335/L335</f>
        <v>6789.04109589041</v>
      </c>
      <c r="AC335" s="143"/>
      <c r="AD335" s="144"/>
      <c r="AE335" s="144"/>
    </row>
    <row r="336" customFormat="false" ht="15.75" hidden="false" customHeight="true" outlineLevel="0" collapsed="false">
      <c r="A336" s="128"/>
      <c r="B336" s="163" t="n">
        <v>45870</v>
      </c>
      <c r="C336" s="128" t="s">
        <v>763</v>
      </c>
      <c r="D336" s="128" t="s">
        <v>764</v>
      </c>
      <c r="E336" s="128"/>
      <c r="F336" s="154" t="n">
        <v>45888</v>
      </c>
      <c r="G336" s="154" t="n">
        <v>46071</v>
      </c>
      <c r="H336" s="128" t="s">
        <v>29</v>
      </c>
      <c r="I336" s="131" t="n">
        <v>41300</v>
      </c>
      <c r="J336" s="128"/>
      <c r="K336" s="132"/>
      <c r="L336" s="127" t="n">
        <f aca="false">G336-F336+1</f>
        <v>184</v>
      </c>
      <c r="M336" s="128"/>
      <c r="N336" s="132"/>
      <c r="O336" s="132"/>
      <c r="P336" s="132"/>
      <c r="Q336" s="128"/>
      <c r="R336" s="128"/>
      <c r="S336" s="128"/>
      <c r="T336" s="132"/>
      <c r="U336" s="128"/>
      <c r="V336" s="132"/>
      <c r="W336" s="141" t="n">
        <f aca="false">$W$2-F336+1</f>
        <v>13</v>
      </c>
      <c r="X336" s="132" t="n">
        <f aca="false">I336/6</f>
        <v>6883.33333333333</v>
      </c>
      <c r="Y336" s="131" t="n">
        <f aca="false">I336*W336/L336</f>
        <v>2917.9347826087</v>
      </c>
      <c r="Z336" s="141" t="n">
        <f aca="false">IF(F336&lt;$Z$2,30,$Z$2-I336)</f>
        <v>30</v>
      </c>
      <c r="AA336" s="147" t="n">
        <f aca="false">I336/6</f>
        <v>6883.33333333333</v>
      </c>
      <c r="AB336" s="147" t="n">
        <f aca="false">Z336*I336/L336</f>
        <v>6733.69565217391</v>
      </c>
      <c r="AC336" s="143"/>
      <c r="AD336" s="144"/>
      <c r="AE336" s="144"/>
    </row>
    <row r="337" s="137" customFormat="true" ht="15.75" hidden="false" customHeight="true" outlineLevel="0" collapsed="false">
      <c r="A337" s="127"/>
      <c r="B337" s="162" t="n">
        <v>45870</v>
      </c>
      <c r="C337" s="127" t="s">
        <v>318</v>
      </c>
      <c r="D337" s="127" t="s">
        <v>765</v>
      </c>
      <c r="E337" s="128"/>
      <c r="F337" s="148" t="n">
        <v>45874</v>
      </c>
      <c r="G337" s="148" t="n">
        <v>46238</v>
      </c>
      <c r="H337" s="164" t="s">
        <v>8</v>
      </c>
      <c r="I337" s="131" t="n">
        <v>90000</v>
      </c>
      <c r="J337" s="127"/>
      <c r="K337" s="132"/>
      <c r="L337" s="127" t="n">
        <f aca="false">G337-F337+1</f>
        <v>365</v>
      </c>
      <c r="M337" s="127"/>
      <c r="N337" s="132"/>
      <c r="O337" s="132"/>
      <c r="P337" s="132"/>
      <c r="Q337" s="127"/>
      <c r="R337" s="127"/>
      <c r="S337" s="127"/>
      <c r="T337" s="132"/>
      <c r="U337" s="127"/>
      <c r="V337" s="132"/>
      <c r="W337" s="135" t="n">
        <f aca="false">$W$2-F337+1</f>
        <v>27</v>
      </c>
      <c r="X337" s="131" t="n">
        <f aca="false">I337/12</f>
        <v>7500</v>
      </c>
      <c r="Y337" s="131" t="n">
        <f aca="false">I337*W337/L337</f>
        <v>6657.53424657534</v>
      </c>
      <c r="Z337" s="135" t="n">
        <f aca="false">IF(F337&lt;$Z$2,30,$Z$2-I337)</f>
        <v>30</v>
      </c>
      <c r="AA337" s="134" t="n">
        <f aca="false">I337/12</f>
        <v>7500</v>
      </c>
      <c r="AB337" s="134" t="n">
        <f aca="false">I337*Z337/L337</f>
        <v>7397.2602739726</v>
      </c>
      <c r="AC337" s="143"/>
      <c r="AD337" s="144"/>
      <c r="AE337" s="144"/>
    </row>
    <row r="338" customFormat="false" ht="15.75" hidden="false" customHeight="true" outlineLevel="0" collapsed="false">
      <c r="A338" s="128"/>
      <c r="B338" s="163" t="n">
        <v>45870</v>
      </c>
      <c r="C338" s="128" t="s">
        <v>766</v>
      </c>
      <c r="D338" s="128" t="s">
        <v>767</v>
      </c>
      <c r="E338" s="128"/>
      <c r="F338" s="154" t="n">
        <v>45887</v>
      </c>
      <c r="G338" s="154" t="n">
        <v>46251</v>
      </c>
      <c r="H338" s="128" t="s">
        <v>9</v>
      </c>
      <c r="I338" s="131" t="n">
        <v>86986.5</v>
      </c>
      <c r="J338" s="128"/>
      <c r="K338" s="132"/>
      <c r="L338" s="127" t="n">
        <f aca="false">G338-F338+1</f>
        <v>365</v>
      </c>
      <c r="M338" s="128"/>
      <c r="N338" s="132"/>
      <c r="O338" s="132"/>
      <c r="P338" s="132"/>
      <c r="Q338" s="128"/>
      <c r="R338" s="128"/>
      <c r="S338" s="128"/>
      <c r="T338" s="132"/>
      <c r="U338" s="128"/>
      <c r="V338" s="132"/>
      <c r="W338" s="141" t="n">
        <f aca="false">$W$2-F338+1</f>
        <v>14</v>
      </c>
      <c r="X338" s="131" t="n">
        <f aca="false">I338/12</f>
        <v>7248.875</v>
      </c>
      <c r="Y338" s="131" t="n">
        <f aca="false">I338*W338/L338</f>
        <v>3336.46849315069</v>
      </c>
      <c r="Z338" s="141" t="n">
        <f aca="false">IF(F338&lt;$Z$2,30,$Z$2-I338)</f>
        <v>30</v>
      </c>
      <c r="AA338" s="147" t="n">
        <f aca="false">I338/12</f>
        <v>7248.875</v>
      </c>
      <c r="AB338" s="147" t="n">
        <f aca="false">I338*Z338/L338</f>
        <v>7149.57534246575</v>
      </c>
      <c r="AC338" s="143"/>
      <c r="AD338" s="144"/>
      <c r="AE338" s="144"/>
    </row>
    <row r="339" customFormat="false" ht="15.75" hidden="false" customHeight="true" outlineLevel="0" collapsed="false">
      <c r="A339" s="128"/>
      <c r="B339" s="163" t="n">
        <v>45870</v>
      </c>
      <c r="C339" s="128" t="s">
        <v>768</v>
      </c>
      <c r="D339" s="128" t="s">
        <v>769</v>
      </c>
      <c r="E339" s="128"/>
      <c r="F339" s="154" t="n">
        <v>45891</v>
      </c>
      <c r="G339" s="154" t="n">
        <v>46074</v>
      </c>
      <c r="H339" s="128" t="s">
        <v>29</v>
      </c>
      <c r="I339" s="131" t="n">
        <v>42480</v>
      </c>
      <c r="J339" s="128"/>
      <c r="K339" s="132"/>
      <c r="L339" s="127" t="n">
        <f aca="false">G339-F339+1</f>
        <v>184</v>
      </c>
      <c r="M339" s="128"/>
      <c r="N339" s="132"/>
      <c r="O339" s="132"/>
      <c r="P339" s="132"/>
      <c r="Q339" s="128"/>
      <c r="R339" s="128"/>
      <c r="S339" s="128"/>
      <c r="T339" s="132"/>
      <c r="U339" s="128"/>
      <c r="V339" s="132"/>
      <c r="W339" s="141" t="n">
        <f aca="false">$W$2-F339+1</f>
        <v>10</v>
      </c>
      <c r="X339" s="132" t="n">
        <f aca="false">I339/6</f>
        <v>7080</v>
      </c>
      <c r="Y339" s="131" t="n">
        <f aca="false">I339*W339/L339</f>
        <v>2308.69565217391</v>
      </c>
      <c r="Z339" s="141" t="n">
        <f aca="false">IF(F339&lt;$Z$2,30,$Z$2-I339)</f>
        <v>30</v>
      </c>
      <c r="AA339" s="147" t="n">
        <f aca="false">I339/6</f>
        <v>7080</v>
      </c>
      <c r="AB339" s="147" t="n">
        <f aca="false">Z339*I339/L339</f>
        <v>6926.08695652174</v>
      </c>
      <c r="AC339" s="143"/>
      <c r="AD339" s="144"/>
      <c r="AE339" s="144"/>
    </row>
    <row r="340" s="137" customFormat="true" ht="15.75" hidden="false" customHeight="true" outlineLevel="0" collapsed="false">
      <c r="A340" s="127"/>
      <c r="B340" s="162" t="n">
        <v>45870</v>
      </c>
      <c r="C340" s="127" t="s">
        <v>632</v>
      </c>
      <c r="D340" s="127" t="s">
        <v>770</v>
      </c>
      <c r="E340" s="128"/>
      <c r="F340" s="148" t="n">
        <v>45900</v>
      </c>
      <c r="G340" s="148" t="n">
        <v>46263</v>
      </c>
      <c r="H340" s="142" t="s">
        <v>7</v>
      </c>
      <c r="I340" s="131" t="n">
        <v>2987760</v>
      </c>
      <c r="J340" s="127"/>
      <c r="K340" s="132"/>
      <c r="L340" s="127" t="n">
        <f aca="false">G340-F340+1</f>
        <v>364</v>
      </c>
      <c r="M340" s="127"/>
      <c r="N340" s="132"/>
      <c r="O340" s="132"/>
      <c r="P340" s="132"/>
      <c r="Q340" s="127"/>
      <c r="R340" s="127"/>
      <c r="S340" s="127"/>
      <c r="T340" s="132"/>
      <c r="U340" s="127"/>
      <c r="V340" s="132"/>
      <c r="W340" s="135" t="n">
        <f aca="false">$W$2-F340+1</f>
        <v>1</v>
      </c>
      <c r="X340" s="131" t="n">
        <f aca="false">I340/12</f>
        <v>248980</v>
      </c>
      <c r="Y340" s="131" t="n">
        <f aca="false">I340*W340/L340</f>
        <v>8208.13186813187</v>
      </c>
      <c r="Z340" s="135" t="n">
        <f aca="false">IF(F340&lt;$Z$2,30,$Z$2-I340)</f>
        <v>30</v>
      </c>
      <c r="AA340" s="134" t="n">
        <f aca="false">I340/12</f>
        <v>248980</v>
      </c>
      <c r="AB340" s="134" t="n">
        <f aca="false">I340*Z340/L340</f>
        <v>246243.956043956</v>
      </c>
      <c r="AC340" s="143"/>
      <c r="AD340" s="144"/>
      <c r="AE340" s="144"/>
    </row>
    <row r="341" customFormat="false" ht="15.75" hidden="false" customHeight="true" outlineLevel="0" collapsed="false">
      <c r="A341" s="128"/>
      <c r="B341" s="163" t="n">
        <v>45870</v>
      </c>
      <c r="C341" s="128" t="s">
        <v>771</v>
      </c>
      <c r="D341" s="128" t="s">
        <v>772</v>
      </c>
      <c r="E341" s="128"/>
      <c r="F341" s="154" t="n">
        <v>45894</v>
      </c>
      <c r="G341" s="154" t="n">
        <v>45924</v>
      </c>
      <c r="H341" s="128" t="s">
        <v>19</v>
      </c>
      <c r="I341" s="131" t="n">
        <v>7080</v>
      </c>
      <c r="J341" s="128"/>
      <c r="K341" s="132"/>
      <c r="L341" s="127" t="n">
        <f aca="false">G341-F341+1</f>
        <v>31</v>
      </c>
      <c r="M341" s="128"/>
      <c r="N341" s="132"/>
      <c r="O341" s="132"/>
      <c r="P341" s="132"/>
      <c r="Q341" s="128"/>
      <c r="R341" s="128"/>
      <c r="S341" s="128"/>
      <c r="T341" s="132"/>
      <c r="U341" s="128"/>
      <c r="V341" s="132"/>
      <c r="W341" s="141" t="n">
        <f aca="false">$W$2-F341+1</f>
        <v>7</v>
      </c>
      <c r="X341" s="167" t="n">
        <f aca="false">I341</f>
        <v>7080</v>
      </c>
      <c r="Y341" s="131" t="n">
        <f aca="false">I341*W341/L341</f>
        <v>1598.70967741935</v>
      </c>
      <c r="Z341" s="128" t="n">
        <f aca="false">G341-$W$2</f>
        <v>24</v>
      </c>
      <c r="AA341" s="128"/>
      <c r="AB341" s="147" t="n">
        <f aca="false">Z341*I341/L341</f>
        <v>5481.29032258065</v>
      </c>
      <c r="AC341" s="136"/>
      <c r="AD341" s="136"/>
      <c r="AE341" s="136"/>
    </row>
    <row r="342" s="137" customFormat="true" ht="15.75" hidden="false" customHeight="true" outlineLevel="0" collapsed="false">
      <c r="A342" s="127"/>
      <c r="B342" s="162" t="n">
        <v>45870</v>
      </c>
      <c r="C342" s="127" t="s">
        <v>498</v>
      </c>
      <c r="D342" s="127" t="s">
        <v>773</v>
      </c>
      <c r="E342" s="128"/>
      <c r="F342" s="148" t="n">
        <v>45717</v>
      </c>
      <c r="G342" s="148" t="n">
        <v>45900</v>
      </c>
      <c r="H342" s="127" t="s">
        <v>29</v>
      </c>
      <c r="I342" s="131" t="n">
        <v>30000</v>
      </c>
      <c r="J342" s="127" t="n">
        <f aca="false">I342/6</f>
        <v>5000</v>
      </c>
      <c r="K342" s="132" t="n">
        <f aca="false">I342/6</f>
        <v>5000</v>
      </c>
      <c r="L342" s="127" t="n">
        <f aca="false">G342-F342+1</f>
        <v>184</v>
      </c>
      <c r="M342" s="127" t="n">
        <v>30</v>
      </c>
      <c r="N342" s="132" t="n">
        <f aca="false">M342*I342/L342</f>
        <v>4891.30434782609</v>
      </c>
      <c r="O342" s="132" t="n">
        <v>31</v>
      </c>
      <c r="P342" s="132" t="n">
        <f aca="false">I342*O342/L342</f>
        <v>5054.34782608696</v>
      </c>
      <c r="Q342" s="133" t="n">
        <f aca="false">K342</f>
        <v>5000</v>
      </c>
      <c r="R342" s="127" t="n">
        <f aca="false">IF(F342&lt;$R$2,30,$R$2-F342)</f>
        <v>30</v>
      </c>
      <c r="S342" s="133" t="n">
        <f aca="false">R342*I342/L342</f>
        <v>4891.30434782609</v>
      </c>
      <c r="T342" s="132" t="n">
        <f aca="false">S342</f>
        <v>4891.30434782609</v>
      </c>
      <c r="U342" s="132" t="n">
        <v>31</v>
      </c>
      <c r="V342" s="132" t="n">
        <f aca="false">U342*I342/L342</f>
        <v>5054.34782608696</v>
      </c>
      <c r="W342" s="135" t="n">
        <f aca="false">G342-$W$1+1</f>
        <v>31</v>
      </c>
      <c r="X342" s="132" t="n">
        <f aca="false">I342/6</f>
        <v>5000</v>
      </c>
      <c r="Y342" s="131" t="n">
        <f aca="false">I342*W342/L342</f>
        <v>5054.34782608696</v>
      </c>
      <c r="Z342" s="127"/>
      <c r="AA342" s="127"/>
      <c r="AB342" s="127"/>
      <c r="AC342" s="136"/>
      <c r="AD342" s="136"/>
      <c r="AE342" s="136"/>
    </row>
    <row r="343" s="137" customFormat="true" ht="15.75" hidden="false" customHeight="true" outlineLevel="0" collapsed="false">
      <c r="A343" s="127"/>
      <c r="B343" s="162" t="n">
        <v>45870</v>
      </c>
      <c r="C343" s="127" t="s">
        <v>498</v>
      </c>
      <c r="D343" s="127" t="s">
        <v>774</v>
      </c>
      <c r="E343" s="128"/>
      <c r="F343" s="148" t="n">
        <v>45901</v>
      </c>
      <c r="G343" s="148" t="n">
        <v>46266</v>
      </c>
      <c r="H343" s="127" t="s">
        <v>9</v>
      </c>
      <c r="I343" s="131" t="n">
        <v>82600</v>
      </c>
      <c r="J343" s="127"/>
      <c r="K343" s="132"/>
      <c r="L343" s="127" t="n">
        <f aca="false">G343-F343+1</f>
        <v>366</v>
      </c>
      <c r="M343" s="127"/>
      <c r="N343" s="132"/>
      <c r="O343" s="132"/>
      <c r="P343" s="132"/>
      <c r="Q343" s="127"/>
      <c r="R343" s="127"/>
      <c r="S343" s="127"/>
      <c r="T343" s="132"/>
      <c r="U343" s="127"/>
      <c r="V343" s="132"/>
      <c r="W343" s="135" t="n">
        <v>0</v>
      </c>
      <c r="X343" s="127"/>
      <c r="Y343" s="131" t="n">
        <f aca="false">I343*W343/L343</f>
        <v>0</v>
      </c>
      <c r="Z343" s="127" t="n">
        <f aca="false">$Z$2-F343+1</f>
        <v>30</v>
      </c>
      <c r="AA343" s="134" t="n">
        <f aca="false">I343/12</f>
        <v>6883.33333333333</v>
      </c>
      <c r="AB343" s="134" t="n">
        <f aca="false">I343*Z343/L343</f>
        <v>6770.49180327869</v>
      </c>
      <c r="AC343" s="143"/>
      <c r="AD343" s="144"/>
      <c r="AE343" s="144"/>
    </row>
    <row r="344" customFormat="false" ht="15.75" hidden="false" customHeight="true" outlineLevel="0" collapsed="false">
      <c r="A344" s="128"/>
      <c r="B344" s="163" t="n">
        <v>45870</v>
      </c>
      <c r="C344" s="128" t="s">
        <v>775</v>
      </c>
      <c r="D344" s="128" t="s">
        <v>776</v>
      </c>
      <c r="E344" s="128"/>
      <c r="F344" s="154" t="n">
        <v>45895</v>
      </c>
      <c r="G344" s="154" t="n">
        <v>45925</v>
      </c>
      <c r="H344" s="128" t="s">
        <v>19</v>
      </c>
      <c r="I344" s="131" t="n">
        <v>11800</v>
      </c>
      <c r="J344" s="128"/>
      <c r="K344" s="132"/>
      <c r="L344" s="127" t="n">
        <f aca="false">G344-F344+1</f>
        <v>31</v>
      </c>
      <c r="M344" s="128"/>
      <c r="N344" s="132"/>
      <c r="O344" s="132"/>
      <c r="P344" s="132"/>
      <c r="Q344" s="128"/>
      <c r="R344" s="128"/>
      <c r="S344" s="128"/>
      <c r="T344" s="132"/>
      <c r="U344" s="128"/>
      <c r="V344" s="132"/>
      <c r="W344" s="141" t="n">
        <f aca="false">$W$2-F344+1</f>
        <v>6</v>
      </c>
      <c r="X344" s="167" t="n">
        <f aca="false">I344</f>
        <v>11800</v>
      </c>
      <c r="Y344" s="131" t="n">
        <f aca="false">I344*W344/L344</f>
        <v>2283.87096774194</v>
      </c>
      <c r="Z344" s="128" t="n">
        <f aca="false">G344-$W$2</f>
        <v>25</v>
      </c>
      <c r="AA344" s="128"/>
      <c r="AB344" s="147" t="n">
        <f aca="false">Z344*I344/L344</f>
        <v>9516.12903225806</v>
      </c>
      <c r="AC344" s="136"/>
      <c r="AD344" s="136"/>
      <c r="AE344" s="136"/>
    </row>
    <row r="345" s="137" customFormat="true" ht="15.75" hidden="false" customHeight="true" outlineLevel="0" collapsed="false">
      <c r="A345" s="127"/>
      <c r="B345" s="162" t="n">
        <v>45870</v>
      </c>
      <c r="C345" s="127" t="s">
        <v>116</v>
      </c>
      <c r="D345" s="127" t="s">
        <v>777</v>
      </c>
      <c r="E345" s="128"/>
      <c r="F345" s="148" t="n">
        <v>45901</v>
      </c>
      <c r="G345" s="148" t="n">
        <v>46053</v>
      </c>
      <c r="H345" s="127" t="s">
        <v>27</v>
      </c>
      <c r="I345" s="131" t="n">
        <v>20650</v>
      </c>
      <c r="J345" s="127"/>
      <c r="K345" s="132"/>
      <c r="L345" s="127" t="n">
        <f aca="false">G345-F345+1</f>
        <v>153</v>
      </c>
      <c r="M345" s="127"/>
      <c r="N345" s="132"/>
      <c r="O345" s="132"/>
      <c r="P345" s="132"/>
      <c r="Q345" s="127"/>
      <c r="R345" s="127"/>
      <c r="S345" s="127"/>
      <c r="T345" s="132"/>
      <c r="U345" s="127"/>
      <c r="V345" s="132"/>
      <c r="W345" s="135" t="n">
        <v>0</v>
      </c>
      <c r="X345" s="127"/>
      <c r="Y345" s="131" t="n">
        <f aca="false">I345*W345/L345</f>
        <v>0</v>
      </c>
      <c r="Z345" s="127" t="n">
        <f aca="false">$Z$2-F345+1</f>
        <v>30</v>
      </c>
      <c r="AA345" s="134" t="n">
        <f aca="false">I345/5</f>
        <v>4130</v>
      </c>
      <c r="AB345" s="134" t="n">
        <f aca="false">Z345*I345/L345</f>
        <v>4049.01960784314</v>
      </c>
      <c r="AC345" s="143"/>
      <c r="AD345" s="144"/>
      <c r="AE345" s="144"/>
    </row>
    <row r="346" s="137" customFormat="true" ht="15.75" hidden="false" customHeight="true" outlineLevel="0" collapsed="false">
      <c r="A346" s="127"/>
      <c r="B346" s="162" t="n">
        <v>45870</v>
      </c>
      <c r="C346" s="127" t="s">
        <v>147</v>
      </c>
      <c r="D346" s="127" t="s">
        <v>778</v>
      </c>
      <c r="E346" s="128"/>
      <c r="F346" s="148" t="n">
        <v>45848</v>
      </c>
      <c r="G346" s="148" t="n">
        <v>46032</v>
      </c>
      <c r="H346" s="127" t="s">
        <v>29</v>
      </c>
      <c r="I346" s="131" t="n">
        <v>99120</v>
      </c>
      <c r="J346" s="127"/>
      <c r="K346" s="132"/>
      <c r="L346" s="127" t="n">
        <f aca="false">G346-F346+1</f>
        <v>185</v>
      </c>
      <c r="M346" s="127"/>
      <c r="N346" s="132"/>
      <c r="O346" s="132"/>
      <c r="P346" s="132"/>
      <c r="Q346" s="127"/>
      <c r="R346" s="127"/>
      <c r="S346" s="127"/>
      <c r="T346" s="132" t="n">
        <f aca="false">I346/6</f>
        <v>16520</v>
      </c>
      <c r="U346" s="127" t="n">
        <f aca="false">$U$2-F346</f>
        <v>21</v>
      </c>
      <c r="V346" s="131" t="n">
        <f aca="false">I346*U346/L346</f>
        <v>11251.4594594595</v>
      </c>
      <c r="W346" s="135" t="n">
        <f aca="false">IF(F346&lt;$W$2,31,$W$2-F346)</f>
        <v>31</v>
      </c>
      <c r="X346" s="132" t="n">
        <f aca="false">I346/6</f>
        <v>16520</v>
      </c>
      <c r="Y346" s="131" t="n">
        <f aca="false">I346*W346/L346</f>
        <v>16609.2972972973</v>
      </c>
      <c r="Z346" s="135" t="n">
        <f aca="false">IF(F346&lt;$Z$2,30,$Z$2-I346)</f>
        <v>30</v>
      </c>
      <c r="AA346" s="134" t="n">
        <f aca="false">I346/6</f>
        <v>16520</v>
      </c>
      <c r="AB346" s="134" t="n">
        <f aca="false">Z346*I346/L346</f>
        <v>16073.5135135135</v>
      </c>
      <c r="AC346" s="143"/>
      <c r="AD346" s="144"/>
      <c r="AE346" s="144"/>
    </row>
    <row r="347" s="137" customFormat="true" ht="15.75" hidden="false" customHeight="true" outlineLevel="0" collapsed="false">
      <c r="A347" s="127"/>
      <c r="B347" s="162" t="n">
        <v>45870</v>
      </c>
      <c r="C347" s="127" t="s">
        <v>573</v>
      </c>
      <c r="D347" s="127" t="s">
        <v>779</v>
      </c>
      <c r="E347" s="128"/>
      <c r="F347" s="148" t="n">
        <v>45901</v>
      </c>
      <c r="G347" s="148" t="n">
        <v>46265</v>
      </c>
      <c r="H347" s="164" t="s">
        <v>8</v>
      </c>
      <c r="I347" s="131" t="n">
        <v>955800</v>
      </c>
      <c r="J347" s="127"/>
      <c r="K347" s="132"/>
      <c r="L347" s="127" t="n">
        <f aca="false">G347-F347+1</f>
        <v>365</v>
      </c>
      <c r="M347" s="127"/>
      <c r="N347" s="132"/>
      <c r="O347" s="132"/>
      <c r="P347" s="132"/>
      <c r="Q347" s="127"/>
      <c r="R347" s="127"/>
      <c r="S347" s="127"/>
      <c r="T347" s="132"/>
      <c r="U347" s="127"/>
      <c r="V347" s="132"/>
      <c r="W347" s="135" t="n">
        <v>0</v>
      </c>
      <c r="X347" s="127"/>
      <c r="Y347" s="131" t="n">
        <f aca="false">I347*W347/L347</f>
        <v>0</v>
      </c>
      <c r="Z347" s="127" t="n">
        <f aca="false">$Z$2-F347+1</f>
        <v>30</v>
      </c>
      <c r="AA347" s="134" t="n">
        <f aca="false">I347/12</f>
        <v>79650</v>
      </c>
      <c r="AB347" s="134" t="n">
        <f aca="false">I347*Z347/L347</f>
        <v>78558.904109589</v>
      </c>
      <c r="AC347" s="143"/>
      <c r="AD347" s="144"/>
      <c r="AE347" s="144"/>
    </row>
    <row r="348" customFormat="false" ht="15.75" hidden="false" customHeight="true" outlineLevel="0" collapsed="false">
      <c r="A348" s="128"/>
      <c r="B348" s="163" t="n">
        <v>45870</v>
      </c>
      <c r="C348" s="128" t="s">
        <v>780</v>
      </c>
      <c r="D348" s="128" t="s">
        <v>781</v>
      </c>
      <c r="E348" s="128"/>
      <c r="F348" s="154" t="n">
        <v>45896</v>
      </c>
      <c r="G348" s="154" t="n">
        <v>46260</v>
      </c>
      <c r="H348" s="128" t="s">
        <v>9</v>
      </c>
      <c r="I348" s="131" t="n">
        <v>70210</v>
      </c>
      <c r="J348" s="128"/>
      <c r="K348" s="132"/>
      <c r="L348" s="127" t="n">
        <f aca="false">G348-F348+1</f>
        <v>365</v>
      </c>
      <c r="M348" s="128"/>
      <c r="N348" s="132"/>
      <c r="O348" s="132"/>
      <c r="P348" s="132"/>
      <c r="Q348" s="128"/>
      <c r="R348" s="128"/>
      <c r="S348" s="128"/>
      <c r="T348" s="132"/>
      <c r="U348" s="128"/>
      <c r="V348" s="132"/>
      <c r="W348" s="141" t="n">
        <f aca="false">$W$2-F348+1</f>
        <v>5</v>
      </c>
      <c r="X348" s="131" t="n">
        <f aca="false">I348/12</f>
        <v>5850.83333333333</v>
      </c>
      <c r="Y348" s="131" t="n">
        <f aca="false">I348*W348/L348</f>
        <v>961.780821917808</v>
      </c>
      <c r="Z348" s="141" t="n">
        <f aca="false">IF(F348&lt;$Z$2,30,$Z$2-I348)</f>
        <v>30</v>
      </c>
      <c r="AA348" s="147" t="n">
        <f aca="false">I348/12</f>
        <v>5850.83333333333</v>
      </c>
      <c r="AB348" s="147" t="n">
        <f aca="false">I348*Z348/L348</f>
        <v>5770.68493150685</v>
      </c>
      <c r="AC348" s="143"/>
      <c r="AD348" s="144"/>
      <c r="AE348" s="144"/>
    </row>
    <row r="349" customFormat="false" ht="15.75" hidden="false" customHeight="true" outlineLevel="0" collapsed="false">
      <c r="A349" s="128"/>
      <c r="B349" s="163" t="n">
        <v>45870</v>
      </c>
      <c r="C349" s="128" t="s">
        <v>782</v>
      </c>
      <c r="D349" s="128" t="s">
        <v>783</v>
      </c>
      <c r="E349" s="128"/>
      <c r="F349" s="154" t="n">
        <v>45901</v>
      </c>
      <c r="G349" s="154" t="n">
        <v>46265</v>
      </c>
      <c r="H349" s="128" t="s">
        <v>9</v>
      </c>
      <c r="I349" s="131" t="n">
        <v>360818.64</v>
      </c>
      <c r="J349" s="128"/>
      <c r="K349" s="132"/>
      <c r="L349" s="127" t="n">
        <f aca="false">G349-F349+1</f>
        <v>365</v>
      </c>
      <c r="M349" s="128"/>
      <c r="N349" s="132"/>
      <c r="O349" s="132"/>
      <c r="P349" s="132"/>
      <c r="Q349" s="128"/>
      <c r="R349" s="128"/>
      <c r="S349" s="128"/>
      <c r="T349" s="132"/>
      <c r="U349" s="128"/>
      <c r="V349" s="132"/>
      <c r="W349" s="141" t="n">
        <v>0</v>
      </c>
      <c r="X349" s="128"/>
      <c r="Y349" s="131" t="n">
        <f aca="false">I349*W349/L349</f>
        <v>0</v>
      </c>
      <c r="Z349" s="128" t="n">
        <f aca="false">$Z$2-F349+1</f>
        <v>30</v>
      </c>
      <c r="AA349" s="147" t="n">
        <f aca="false">I349/12</f>
        <v>30068.22</v>
      </c>
      <c r="AB349" s="147" t="n">
        <f aca="false">I349*Z349/L349</f>
        <v>29656.3265753425</v>
      </c>
      <c r="AC349" s="143"/>
      <c r="AD349" s="144"/>
      <c r="AE349" s="144"/>
    </row>
    <row r="350" customFormat="false" ht="15.75" hidden="false" customHeight="true" outlineLevel="0" collapsed="false">
      <c r="A350" s="128"/>
      <c r="B350" s="163" t="n">
        <v>45870</v>
      </c>
      <c r="C350" s="128" t="s">
        <v>784</v>
      </c>
      <c r="D350" s="128" t="s">
        <v>785</v>
      </c>
      <c r="E350" s="128"/>
      <c r="F350" s="154" t="n">
        <v>45898</v>
      </c>
      <c r="G350" s="154" t="n">
        <v>46262</v>
      </c>
      <c r="H350" s="145" t="s">
        <v>7</v>
      </c>
      <c r="I350" s="131" t="n">
        <v>212400</v>
      </c>
      <c r="J350" s="128"/>
      <c r="K350" s="132"/>
      <c r="L350" s="127" t="n">
        <f aca="false">G350-F350+1</f>
        <v>365</v>
      </c>
      <c r="M350" s="128"/>
      <c r="N350" s="132"/>
      <c r="O350" s="132"/>
      <c r="P350" s="132"/>
      <c r="Q350" s="128"/>
      <c r="R350" s="128"/>
      <c r="S350" s="128"/>
      <c r="T350" s="132"/>
      <c r="U350" s="128"/>
      <c r="V350" s="132"/>
      <c r="W350" s="141" t="n">
        <f aca="false">$W$2-F350+1</f>
        <v>3</v>
      </c>
      <c r="X350" s="131" t="n">
        <f aca="false">I350/12</f>
        <v>17700</v>
      </c>
      <c r="Y350" s="131" t="n">
        <f aca="false">I350*W350/L350</f>
        <v>1745.75342465753</v>
      </c>
      <c r="Z350" s="141" t="n">
        <f aca="false">IF(F350&lt;$Z$2,30,$Z$2-I350)</f>
        <v>30</v>
      </c>
      <c r="AA350" s="147" t="n">
        <f aca="false">I350/12</f>
        <v>17700</v>
      </c>
      <c r="AB350" s="147" t="n">
        <f aca="false">I350*Z350/L350</f>
        <v>17457.5342465753</v>
      </c>
      <c r="AC350" s="143"/>
      <c r="AD350" s="144"/>
      <c r="AE350" s="144"/>
    </row>
    <row r="351" s="137" customFormat="true" ht="15.75" hidden="false" customHeight="true" outlineLevel="0" collapsed="false">
      <c r="A351" s="127"/>
      <c r="B351" s="162" t="n">
        <v>45870</v>
      </c>
      <c r="C351" s="127" t="s">
        <v>598</v>
      </c>
      <c r="D351" s="127" t="s">
        <v>786</v>
      </c>
      <c r="E351" s="128"/>
      <c r="F351" s="148" t="n">
        <v>45901</v>
      </c>
      <c r="G351" s="148" t="n">
        <v>46265</v>
      </c>
      <c r="H351" s="127" t="s">
        <v>9</v>
      </c>
      <c r="I351" s="131" t="n">
        <v>708000</v>
      </c>
      <c r="J351" s="127"/>
      <c r="K351" s="132"/>
      <c r="L351" s="127" t="n">
        <f aca="false">G351-F351+1</f>
        <v>365</v>
      </c>
      <c r="M351" s="127"/>
      <c r="N351" s="132"/>
      <c r="O351" s="132"/>
      <c r="P351" s="132"/>
      <c r="Q351" s="127"/>
      <c r="R351" s="127"/>
      <c r="S351" s="127"/>
      <c r="T351" s="132"/>
      <c r="U351" s="127"/>
      <c r="V351" s="132"/>
      <c r="W351" s="135" t="n">
        <v>0</v>
      </c>
      <c r="X351" s="127"/>
      <c r="Y351" s="131" t="n">
        <f aca="false">I351*W351/L351</f>
        <v>0</v>
      </c>
      <c r="Z351" s="127" t="n">
        <f aca="false">$Z$2-F351+1</f>
        <v>30</v>
      </c>
      <c r="AA351" s="134" t="n">
        <f aca="false">I351/12</f>
        <v>59000</v>
      </c>
      <c r="AB351" s="134" t="n">
        <f aca="false">I351*Z351/L351</f>
        <v>58191.7808219178</v>
      </c>
      <c r="AC351" s="143"/>
      <c r="AD351" s="144"/>
      <c r="AE351" s="144"/>
    </row>
    <row r="352" s="137" customFormat="true" ht="15.75" hidden="false" customHeight="true" outlineLevel="0" collapsed="false">
      <c r="A352" s="127"/>
      <c r="B352" s="162" t="n">
        <v>45870</v>
      </c>
      <c r="C352" s="127" t="s">
        <v>360</v>
      </c>
      <c r="D352" s="127" t="s">
        <v>787</v>
      </c>
      <c r="E352" s="128"/>
      <c r="F352" s="148" t="n">
        <v>45896</v>
      </c>
      <c r="G352" s="148" t="n">
        <v>46260</v>
      </c>
      <c r="H352" s="142" t="s">
        <v>7</v>
      </c>
      <c r="I352" s="131" t="n">
        <v>165200</v>
      </c>
      <c r="J352" s="127"/>
      <c r="K352" s="132"/>
      <c r="L352" s="127" t="n">
        <f aca="false">G352-F352+1</f>
        <v>365</v>
      </c>
      <c r="M352" s="127"/>
      <c r="N352" s="132"/>
      <c r="O352" s="132"/>
      <c r="P352" s="132"/>
      <c r="Q352" s="127"/>
      <c r="R352" s="127"/>
      <c r="S352" s="127"/>
      <c r="T352" s="132"/>
      <c r="U352" s="127"/>
      <c r="V352" s="132"/>
      <c r="W352" s="135" t="n">
        <f aca="false">$W$2-F352+1</f>
        <v>5</v>
      </c>
      <c r="X352" s="131" t="n">
        <f aca="false">I352/12</f>
        <v>13766.6666666667</v>
      </c>
      <c r="Y352" s="131" t="n">
        <f aca="false">I352*W352/L352</f>
        <v>2263.01369863014</v>
      </c>
      <c r="Z352" s="135" t="n">
        <f aca="false">IF(F352&lt;$Z$2,30,$Z$2-I352)</f>
        <v>30</v>
      </c>
      <c r="AA352" s="134" t="n">
        <f aca="false">I352/12</f>
        <v>13766.6666666667</v>
      </c>
      <c r="AB352" s="134" t="n">
        <f aca="false">I352*Z352/L352</f>
        <v>13578.0821917808</v>
      </c>
      <c r="AC352" s="143"/>
      <c r="AD352" s="144"/>
      <c r="AE352" s="144"/>
    </row>
    <row r="353" customFormat="false" ht="15.75" hidden="false" customHeight="true" outlineLevel="0" collapsed="false">
      <c r="A353" s="128"/>
      <c r="B353" s="163" t="n">
        <v>45870</v>
      </c>
      <c r="C353" s="128" t="s">
        <v>788</v>
      </c>
      <c r="D353" s="128" t="s">
        <v>789</v>
      </c>
      <c r="E353" s="128"/>
      <c r="F353" s="154" t="n">
        <v>45901</v>
      </c>
      <c r="G353" s="154" t="n">
        <v>46265</v>
      </c>
      <c r="H353" s="128" t="s">
        <v>9</v>
      </c>
      <c r="I353" s="131" t="n">
        <v>82600</v>
      </c>
      <c r="J353" s="128"/>
      <c r="K353" s="132"/>
      <c r="L353" s="127" t="n">
        <f aca="false">G353-F353+1</f>
        <v>365</v>
      </c>
      <c r="M353" s="128"/>
      <c r="N353" s="132"/>
      <c r="O353" s="132"/>
      <c r="P353" s="132"/>
      <c r="Q353" s="128"/>
      <c r="R353" s="128"/>
      <c r="S353" s="128"/>
      <c r="T353" s="132"/>
      <c r="U353" s="128"/>
      <c r="V353" s="132"/>
      <c r="W353" s="141" t="n">
        <v>0</v>
      </c>
      <c r="X353" s="128"/>
      <c r="Y353" s="131" t="n">
        <f aca="false">I353*W353/L353</f>
        <v>0</v>
      </c>
      <c r="Z353" s="128" t="n">
        <f aca="false">$Z$2-F353+1</f>
        <v>30</v>
      </c>
      <c r="AA353" s="147" t="n">
        <f aca="false">I353/12</f>
        <v>6883.33333333333</v>
      </c>
      <c r="AB353" s="147" t="n">
        <f aca="false">I353*Z353/L353</f>
        <v>6789.04109589041</v>
      </c>
      <c r="AC353" s="143"/>
      <c r="AD353" s="144"/>
      <c r="AE353" s="144"/>
    </row>
    <row r="354" s="137" customFormat="true" ht="15.75" hidden="false" customHeight="true" outlineLevel="0" collapsed="false">
      <c r="A354" s="127"/>
      <c r="B354" s="162" t="n">
        <v>45870</v>
      </c>
      <c r="C354" s="127" t="s">
        <v>301</v>
      </c>
      <c r="D354" s="127" t="s">
        <v>790</v>
      </c>
      <c r="E354" s="128"/>
      <c r="F354" s="148" t="n">
        <v>45901</v>
      </c>
      <c r="G354" s="148" t="n">
        <v>46265</v>
      </c>
      <c r="H354" s="127" t="s">
        <v>9</v>
      </c>
      <c r="I354" s="127" t="n">
        <f aca="false">216000+38880</f>
        <v>254880</v>
      </c>
      <c r="J354" s="127"/>
      <c r="K354" s="132"/>
      <c r="L354" s="127" t="n">
        <f aca="false">G354-F354+1</f>
        <v>365</v>
      </c>
      <c r="M354" s="127"/>
      <c r="N354" s="132"/>
      <c r="O354" s="132"/>
      <c r="P354" s="132"/>
      <c r="Q354" s="127"/>
      <c r="R354" s="127"/>
      <c r="S354" s="127"/>
      <c r="T354" s="132"/>
      <c r="U354" s="127"/>
      <c r="V354" s="132"/>
      <c r="W354" s="135" t="n">
        <v>0</v>
      </c>
      <c r="X354" s="127"/>
      <c r="Y354" s="131"/>
      <c r="Z354" s="127" t="n">
        <f aca="false">$Z$2-F354+1</f>
        <v>30</v>
      </c>
      <c r="AA354" s="134" t="n">
        <f aca="false">I354/12</f>
        <v>21240</v>
      </c>
      <c r="AB354" s="134" t="n">
        <f aca="false">I354*Z354/L354</f>
        <v>20949.0410958904</v>
      </c>
      <c r="AC354" s="143"/>
      <c r="AD354" s="144"/>
      <c r="AE354" s="144"/>
    </row>
    <row r="355" s="137" customFormat="true" ht="15.75" hidden="false" customHeight="true" outlineLevel="0" collapsed="false">
      <c r="A355" s="127"/>
      <c r="B355" s="162" t="s">
        <v>791</v>
      </c>
      <c r="C355" s="127" t="s">
        <v>125</v>
      </c>
      <c r="D355" s="127" t="s">
        <v>792</v>
      </c>
      <c r="E355" s="128"/>
      <c r="F355" s="148" t="n">
        <v>45845</v>
      </c>
      <c r="G355" s="148" t="n">
        <v>46209</v>
      </c>
      <c r="H355" s="127" t="s">
        <v>9</v>
      </c>
      <c r="I355" s="131" t="n">
        <f aca="false">118000*6</f>
        <v>708000</v>
      </c>
      <c r="J355" s="127"/>
      <c r="K355" s="132"/>
      <c r="L355" s="127" t="n">
        <f aca="false">G355-F355+1</f>
        <v>365</v>
      </c>
      <c r="M355" s="127"/>
      <c r="N355" s="132"/>
      <c r="O355" s="132"/>
      <c r="P355" s="132"/>
      <c r="Q355" s="127"/>
      <c r="R355" s="127"/>
      <c r="S355" s="127"/>
      <c r="T355" s="132" t="n">
        <f aca="false">I355/12</f>
        <v>59000</v>
      </c>
      <c r="U355" s="127" t="n">
        <v>7</v>
      </c>
      <c r="V355" s="132" t="n">
        <f aca="false">U355*I355/L355</f>
        <v>13578.0821917808</v>
      </c>
      <c r="W355" s="135" t="n">
        <f aca="false">IF(F355&lt;$W$2,31,$W$2-F355)</f>
        <v>31</v>
      </c>
      <c r="X355" s="132" t="n">
        <f aca="false">I355/12</f>
        <v>59000</v>
      </c>
      <c r="Y355" s="131" t="n">
        <f aca="false">I355*W355/L355</f>
        <v>60131.5068493151</v>
      </c>
      <c r="Z355" s="135" t="n">
        <f aca="false">IF(F355&lt;$Z$2,30,$Z$2-I355)</f>
        <v>30</v>
      </c>
      <c r="AA355" s="134" t="n">
        <f aca="false">I355/12</f>
        <v>59000</v>
      </c>
      <c r="AB355" s="134" t="n">
        <f aca="false">I355*Z355/L355</f>
        <v>58191.7808219178</v>
      </c>
      <c r="AC355" s="143"/>
      <c r="AD355" s="144"/>
      <c r="AE355" s="144"/>
    </row>
    <row r="356" customFormat="false" ht="15" hidden="false" customHeight="false" outlineLevel="0" collapsed="false">
      <c r="A356" s="128"/>
      <c r="B356" s="163" t="n">
        <v>45870</v>
      </c>
      <c r="C356" s="128" t="s">
        <v>793</v>
      </c>
      <c r="D356" s="128" t="s">
        <v>794</v>
      </c>
      <c r="E356" s="128"/>
      <c r="F356" s="154" t="n">
        <v>45901</v>
      </c>
      <c r="G356" s="154" t="n">
        <v>45930</v>
      </c>
      <c r="H356" s="128" t="s">
        <v>19</v>
      </c>
      <c r="I356" s="131" t="n">
        <v>38350</v>
      </c>
      <c r="J356" s="128"/>
      <c r="K356" s="132"/>
      <c r="L356" s="127" t="n">
        <f aca="false">G356-F356+1</f>
        <v>30</v>
      </c>
      <c r="M356" s="128"/>
      <c r="N356" s="132"/>
      <c r="O356" s="132"/>
      <c r="P356" s="132"/>
      <c r="Q356" s="128"/>
      <c r="R356" s="128"/>
      <c r="S356" s="128"/>
      <c r="T356" s="132"/>
      <c r="U356" s="128"/>
      <c r="V356" s="132"/>
      <c r="W356" s="141" t="n">
        <v>0</v>
      </c>
      <c r="X356" s="128"/>
      <c r="Y356" s="131" t="n">
        <f aca="false">I356*W356/L356</f>
        <v>0</v>
      </c>
      <c r="Z356" s="128" t="n">
        <f aca="false">G356-F356+1</f>
        <v>30</v>
      </c>
      <c r="AA356" s="147" t="n">
        <f aca="false">I356/1</f>
        <v>38350</v>
      </c>
      <c r="AB356" s="147" t="n">
        <f aca="false">Z356*I356/L356</f>
        <v>38350</v>
      </c>
      <c r="AC356" s="136"/>
      <c r="AD356" s="136"/>
      <c r="AE356" s="136"/>
    </row>
    <row r="357" s="137" customFormat="true" ht="15" hidden="false" customHeight="false" outlineLevel="0" collapsed="false">
      <c r="A357" s="127"/>
      <c r="B357" s="162" t="n">
        <v>45901</v>
      </c>
      <c r="C357" s="127" t="s">
        <v>640</v>
      </c>
      <c r="D357" s="127" t="s">
        <v>795</v>
      </c>
      <c r="E357" s="128"/>
      <c r="F357" s="148" t="n">
        <v>45882</v>
      </c>
      <c r="G357" s="148" t="n">
        <v>45900</v>
      </c>
      <c r="H357" s="127" t="s">
        <v>17</v>
      </c>
      <c r="I357" s="131" t="n">
        <v>13018</v>
      </c>
      <c r="J357" s="127"/>
      <c r="K357" s="132"/>
      <c r="L357" s="127" t="n">
        <f aca="false">G357-F357+1</f>
        <v>19</v>
      </c>
      <c r="M357" s="127"/>
      <c r="N357" s="132"/>
      <c r="O357" s="132"/>
      <c r="P357" s="132"/>
      <c r="Q357" s="127"/>
      <c r="R357" s="127"/>
      <c r="S357" s="127"/>
      <c r="T357" s="132"/>
      <c r="U357" s="127"/>
      <c r="V357" s="132"/>
      <c r="W357" s="135" t="n">
        <f aca="false">G357-F357+1</f>
        <v>19</v>
      </c>
      <c r="X357" s="132" t="n">
        <f aca="false">I357</f>
        <v>13018</v>
      </c>
      <c r="Y357" s="131" t="n">
        <f aca="false">I357*W357/L357</f>
        <v>13018</v>
      </c>
      <c r="Z357" s="127"/>
      <c r="AA357" s="127"/>
      <c r="AB357" s="127"/>
      <c r="AC357" s="136"/>
      <c r="AD357" s="136"/>
      <c r="AE357" s="136"/>
    </row>
    <row r="358" s="137" customFormat="true" ht="15.75" hidden="false" customHeight="true" outlineLevel="0" collapsed="false">
      <c r="A358" s="127"/>
      <c r="B358" s="162" t="n">
        <v>45901</v>
      </c>
      <c r="C358" s="127" t="s">
        <v>640</v>
      </c>
      <c r="D358" s="127" t="s">
        <v>796</v>
      </c>
      <c r="E358" s="128"/>
      <c r="F358" s="148" t="n">
        <v>45901</v>
      </c>
      <c r="G358" s="148" t="n">
        <v>46265</v>
      </c>
      <c r="H358" s="127" t="s">
        <v>9</v>
      </c>
      <c r="I358" s="131" t="n">
        <v>254880</v>
      </c>
      <c r="J358" s="127"/>
      <c r="K358" s="132"/>
      <c r="L358" s="127" t="n">
        <f aca="false">G358-F358+1</f>
        <v>365</v>
      </c>
      <c r="M358" s="127"/>
      <c r="N358" s="132"/>
      <c r="O358" s="132"/>
      <c r="P358" s="132"/>
      <c r="Q358" s="127"/>
      <c r="R358" s="127"/>
      <c r="S358" s="127"/>
      <c r="T358" s="132"/>
      <c r="U358" s="127"/>
      <c r="V358" s="132"/>
      <c r="W358" s="173"/>
      <c r="X358" s="127"/>
      <c r="Y358" s="132"/>
      <c r="Z358" s="127" t="n">
        <f aca="false">$Z$2-F358+1</f>
        <v>30</v>
      </c>
      <c r="AA358" s="134" t="n">
        <f aca="false">I358/12</f>
        <v>21240</v>
      </c>
      <c r="AB358" s="134" t="n">
        <f aca="false">I358*Z358/L358</f>
        <v>20949.0410958904</v>
      </c>
      <c r="AC358" s="143"/>
      <c r="AD358" s="144"/>
      <c r="AE358" s="144"/>
    </row>
    <row r="359" customFormat="false" ht="15.75" hidden="false" customHeight="true" outlineLevel="0" collapsed="false">
      <c r="A359" s="128"/>
      <c r="B359" s="163" t="n">
        <v>45901</v>
      </c>
      <c r="C359" s="128" t="s">
        <v>797</v>
      </c>
      <c r="D359" s="128" t="s">
        <v>798</v>
      </c>
      <c r="E359" s="128"/>
      <c r="F359" s="154" t="n">
        <v>45909</v>
      </c>
      <c r="G359" s="154" t="n">
        <v>45923</v>
      </c>
      <c r="H359" s="128" t="s">
        <v>15</v>
      </c>
      <c r="I359" s="131" t="n">
        <v>4720</v>
      </c>
      <c r="J359" s="128"/>
      <c r="K359" s="132"/>
      <c r="L359" s="127" t="n">
        <f aca="false">G359-F359+1</f>
        <v>15</v>
      </c>
      <c r="M359" s="128"/>
      <c r="N359" s="132"/>
      <c r="O359" s="132"/>
      <c r="P359" s="132"/>
      <c r="Q359" s="128"/>
      <c r="R359" s="128"/>
      <c r="S359" s="128"/>
      <c r="T359" s="132"/>
      <c r="U359" s="128"/>
      <c r="V359" s="132"/>
      <c r="W359" s="173"/>
      <c r="X359" s="128"/>
      <c r="Y359" s="132"/>
      <c r="Z359" s="128" t="n">
        <f aca="false">G359-F359+1</f>
        <v>15</v>
      </c>
      <c r="AA359" s="147" t="n">
        <f aca="false">I359/1</f>
        <v>4720</v>
      </c>
      <c r="AB359" s="147" t="n">
        <f aca="false">Z359*I359/L359</f>
        <v>4720</v>
      </c>
      <c r="AC359" s="136"/>
      <c r="AD359" s="136"/>
      <c r="AE359" s="136"/>
    </row>
    <row r="360" s="137" customFormat="true" ht="15.75" hidden="false" customHeight="true" outlineLevel="0" collapsed="false">
      <c r="A360" s="127"/>
      <c r="B360" s="162" t="n">
        <v>45901</v>
      </c>
      <c r="C360" s="127" t="s">
        <v>799</v>
      </c>
      <c r="D360" s="127" t="s">
        <v>800</v>
      </c>
      <c r="E360" s="128"/>
      <c r="F360" s="148" t="n">
        <v>45901</v>
      </c>
      <c r="G360" s="148" t="n">
        <v>46265</v>
      </c>
      <c r="H360" s="127" t="s">
        <v>9</v>
      </c>
      <c r="I360" s="131" t="n">
        <v>74340</v>
      </c>
      <c r="J360" s="127"/>
      <c r="K360" s="132"/>
      <c r="L360" s="127" t="n">
        <f aca="false">G360-F360+1</f>
        <v>365</v>
      </c>
      <c r="M360" s="127"/>
      <c r="N360" s="132"/>
      <c r="O360" s="132"/>
      <c r="P360" s="132"/>
      <c r="Q360" s="127"/>
      <c r="R360" s="127"/>
      <c r="S360" s="127"/>
      <c r="T360" s="132"/>
      <c r="U360" s="127"/>
      <c r="V360" s="132"/>
      <c r="W360" s="173"/>
      <c r="X360" s="127"/>
      <c r="Y360" s="132"/>
      <c r="Z360" s="127" t="n">
        <f aca="false">$Z$2-F360+1</f>
        <v>30</v>
      </c>
      <c r="AA360" s="134" t="n">
        <f aca="false">I360/12</f>
        <v>6195</v>
      </c>
      <c r="AB360" s="134" t="n">
        <f aca="false">I360*Z360/L360</f>
        <v>6110.13698630137</v>
      </c>
      <c r="AC360" s="143"/>
      <c r="AD360" s="144"/>
      <c r="AE360" s="144"/>
    </row>
    <row r="361" s="137" customFormat="true" ht="15.75" hidden="false" customHeight="true" outlineLevel="0" collapsed="false">
      <c r="A361" s="127"/>
      <c r="B361" s="162" t="n">
        <v>45901</v>
      </c>
      <c r="C361" s="127" t="s">
        <v>187</v>
      </c>
      <c r="D361" s="127" t="s">
        <v>801</v>
      </c>
      <c r="E361" s="128"/>
      <c r="F361" s="148" t="n">
        <v>45901</v>
      </c>
      <c r="G361" s="148" t="n">
        <v>46265</v>
      </c>
      <c r="H361" s="127" t="s">
        <v>9</v>
      </c>
      <c r="I361" s="131" t="n">
        <v>82600</v>
      </c>
      <c r="J361" s="127"/>
      <c r="K361" s="132"/>
      <c r="L361" s="127" t="n">
        <f aca="false">G361-F361+1</f>
        <v>365</v>
      </c>
      <c r="M361" s="127"/>
      <c r="N361" s="132"/>
      <c r="O361" s="132"/>
      <c r="P361" s="132"/>
      <c r="Q361" s="127"/>
      <c r="R361" s="127"/>
      <c r="S361" s="127"/>
      <c r="T361" s="132"/>
      <c r="U361" s="127"/>
      <c r="V361" s="132"/>
      <c r="W361" s="173"/>
      <c r="X361" s="127"/>
      <c r="Y361" s="132"/>
      <c r="Z361" s="127" t="n">
        <f aca="false">$Z$2-F361+1</f>
        <v>30</v>
      </c>
      <c r="AA361" s="134" t="n">
        <f aca="false">I361/12</f>
        <v>6883.33333333333</v>
      </c>
      <c r="AB361" s="134" t="n">
        <f aca="false">I361*Z361/L361</f>
        <v>6789.04109589041</v>
      </c>
      <c r="AC361" s="143"/>
      <c r="AD361" s="144"/>
      <c r="AE361" s="144"/>
    </row>
    <row r="362" s="137" customFormat="true" ht="15.75" hidden="false" customHeight="true" outlineLevel="0" collapsed="false">
      <c r="A362" s="127"/>
      <c r="B362" s="162" t="n">
        <v>45901</v>
      </c>
      <c r="C362" s="127" t="s">
        <v>687</v>
      </c>
      <c r="D362" s="127" t="s">
        <v>802</v>
      </c>
      <c r="E362" s="128"/>
      <c r="F362" s="148" t="n">
        <v>45901</v>
      </c>
      <c r="G362" s="148" t="n">
        <v>46265</v>
      </c>
      <c r="H362" s="142" t="s">
        <v>7</v>
      </c>
      <c r="I362" s="131" t="n">
        <v>358720</v>
      </c>
      <c r="J362" s="127"/>
      <c r="K362" s="132"/>
      <c r="L362" s="127" t="n">
        <f aca="false">G362-F362+1</f>
        <v>365</v>
      </c>
      <c r="M362" s="127"/>
      <c r="N362" s="132"/>
      <c r="O362" s="132"/>
      <c r="P362" s="132"/>
      <c r="Q362" s="127"/>
      <c r="R362" s="127"/>
      <c r="S362" s="127"/>
      <c r="T362" s="132"/>
      <c r="U362" s="127"/>
      <c r="V362" s="132"/>
      <c r="W362" s="173"/>
      <c r="X362" s="127"/>
      <c r="Y362" s="132"/>
      <c r="Z362" s="127" t="n">
        <f aca="false">$Z$2-F362+1</f>
        <v>30</v>
      </c>
      <c r="AA362" s="134" t="n">
        <f aca="false">I362/12</f>
        <v>29893.3333333333</v>
      </c>
      <c r="AB362" s="134" t="n">
        <f aca="false">I362*Z362/L362</f>
        <v>29483.8356164384</v>
      </c>
      <c r="AC362" s="143"/>
      <c r="AD362" s="144"/>
      <c r="AE362" s="144"/>
    </row>
    <row r="363" s="137" customFormat="true" ht="15.75" hidden="false" customHeight="true" outlineLevel="0" collapsed="false">
      <c r="A363" s="127"/>
      <c r="B363" s="162" t="n">
        <v>45901</v>
      </c>
      <c r="C363" s="127" t="s">
        <v>414</v>
      </c>
      <c r="D363" s="127" t="s">
        <v>803</v>
      </c>
      <c r="E363" s="128"/>
      <c r="F363" s="148" t="n">
        <v>45901</v>
      </c>
      <c r="G363" s="148" t="n">
        <v>46081</v>
      </c>
      <c r="H363" s="127" t="s">
        <v>29</v>
      </c>
      <c r="I363" s="131" t="n">
        <v>70800</v>
      </c>
      <c r="J363" s="127"/>
      <c r="K363" s="132"/>
      <c r="L363" s="127" t="n">
        <f aca="false">G363-F363+1</f>
        <v>181</v>
      </c>
      <c r="M363" s="127"/>
      <c r="N363" s="132"/>
      <c r="O363" s="132"/>
      <c r="P363" s="132"/>
      <c r="Q363" s="127"/>
      <c r="R363" s="127"/>
      <c r="S363" s="127"/>
      <c r="T363" s="132"/>
      <c r="U363" s="127"/>
      <c r="V363" s="132"/>
      <c r="W363" s="173"/>
      <c r="X363" s="127"/>
      <c r="Y363" s="132"/>
      <c r="Z363" s="127" t="n">
        <f aca="false">$Z$2-F363+1</f>
        <v>30</v>
      </c>
      <c r="AA363" s="134" t="n">
        <f aca="false">I363/6</f>
        <v>11800</v>
      </c>
      <c r="AB363" s="134" t="n">
        <f aca="false">Z363*I363/L363</f>
        <v>11734.8066298343</v>
      </c>
      <c r="AC363" s="143"/>
      <c r="AD363" s="144"/>
      <c r="AE363" s="144"/>
    </row>
    <row r="364" customFormat="false" ht="15.75" hidden="false" customHeight="true" outlineLevel="0" collapsed="false">
      <c r="A364" s="128"/>
      <c r="B364" s="163" t="n">
        <v>45901</v>
      </c>
      <c r="C364" s="128" t="s">
        <v>804</v>
      </c>
      <c r="D364" s="128" t="s">
        <v>805</v>
      </c>
      <c r="E364" s="128"/>
      <c r="F364" s="154" t="n">
        <v>45902</v>
      </c>
      <c r="G364" s="154" t="n">
        <v>46266</v>
      </c>
      <c r="H364" s="128" t="s">
        <v>9</v>
      </c>
      <c r="I364" s="131" t="n">
        <f aca="false">80948-1652</f>
        <v>79296</v>
      </c>
      <c r="J364" s="128"/>
      <c r="K364" s="132"/>
      <c r="L364" s="127" t="n">
        <f aca="false">G364-F364+1</f>
        <v>365</v>
      </c>
      <c r="M364" s="128"/>
      <c r="N364" s="132"/>
      <c r="O364" s="132"/>
      <c r="P364" s="132"/>
      <c r="Q364" s="128"/>
      <c r="R364" s="128"/>
      <c r="S364" s="128"/>
      <c r="T364" s="132"/>
      <c r="U364" s="128"/>
      <c r="V364" s="132"/>
      <c r="W364" s="173"/>
      <c r="X364" s="128"/>
      <c r="Y364" s="132"/>
      <c r="Z364" s="128" t="n">
        <f aca="false">$Z$2-F364+1</f>
        <v>29</v>
      </c>
      <c r="AA364" s="147" t="n">
        <f aca="false">I364/12</f>
        <v>6608</v>
      </c>
      <c r="AB364" s="147" t="n">
        <f aca="false">I364*Z364/L364</f>
        <v>6300.2301369863</v>
      </c>
      <c r="AC364" s="143"/>
      <c r="AD364" s="144"/>
      <c r="AE364" s="144"/>
    </row>
    <row r="365" customFormat="false" ht="15.75" hidden="false" customHeight="true" outlineLevel="0" collapsed="false">
      <c r="A365" s="128"/>
      <c r="B365" s="163" t="n">
        <v>45901</v>
      </c>
      <c r="C365" s="128" t="s">
        <v>806</v>
      </c>
      <c r="D365" s="128" t="s">
        <v>807</v>
      </c>
      <c r="E365" s="128"/>
      <c r="F365" s="154" t="n">
        <v>45915</v>
      </c>
      <c r="G365" s="154" t="n">
        <v>46279</v>
      </c>
      <c r="H365" s="128" t="s">
        <v>9</v>
      </c>
      <c r="I365" s="131" t="n">
        <v>250000</v>
      </c>
      <c r="J365" s="128"/>
      <c r="K365" s="132"/>
      <c r="L365" s="127" t="n">
        <f aca="false">G365-F365+1</f>
        <v>365</v>
      </c>
      <c r="M365" s="128"/>
      <c r="N365" s="132"/>
      <c r="O365" s="132"/>
      <c r="P365" s="132"/>
      <c r="Q365" s="128"/>
      <c r="R365" s="128"/>
      <c r="S365" s="128"/>
      <c r="T365" s="132"/>
      <c r="U365" s="128"/>
      <c r="V365" s="132"/>
      <c r="W365" s="173"/>
      <c r="X365" s="128"/>
      <c r="Y365" s="132"/>
      <c r="Z365" s="128" t="n">
        <f aca="false">$Z$2-F365+1</f>
        <v>16</v>
      </c>
      <c r="AA365" s="147" t="n">
        <f aca="false">I365/12</f>
        <v>20833.3333333333</v>
      </c>
      <c r="AB365" s="147" t="n">
        <f aca="false">I365*Z365/L365</f>
        <v>10958.904109589</v>
      </c>
      <c r="AC365" s="143"/>
      <c r="AD365" s="144"/>
      <c r="AE365" s="144"/>
    </row>
    <row r="366" s="137" customFormat="true" ht="15.75" hidden="false" customHeight="true" outlineLevel="0" collapsed="false">
      <c r="A366" s="127"/>
      <c r="B366" s="162" t="n">
        <v>45901</v>
      </c>
      <c r="C366" s="127" t="s">
        <v>808</v>
      </c>
      <c r="D366" s="127" t="s">
        <v>809</v>
      </c>
      <c r="E366" s="128"/>
      <c r="F366" s="148" t="n">
        <v>45904</v>
      </c>
      <c r="G366" s="148" t="n">
        <v>45933</v>
      </c>
      <c r="H366" s="127" t="s">
        <v>19</v>
      </c>
      <c r="I366" s="131" t="n">
        <v>11800</v>
      </c>
      <c r="J366" s="127"/>
      <c r="K366" s="132"/>
      <c r="L366" s="127" t="n">
        <f aca="false">G366-F366+1</f>
        <v>30</v>
      </c>
      <c r="M366" s="127"/>
      <c r="N366" s="132"/>
      <c r="O366" s="132"/>
      <c r="P366" s="132"/>
      <c r="Q366" s="127"/>
      <c r="R366" s="127"/>
      <c r="S366" s="127"/>
      <c r="T366" s="132"/>
      <c r="U366" s="127"/>
      <c r="V366" s="132"/>
      <c r="W366" s="173"/>
      <c r="X366" s="127"/>
      <c r="Y366" s="132"/>
      <c r="Z366" s="127" t="n">
        <f aca="false">$Z$2-F366+1</f>
        <v>27</v>
      </c>
      <c r="AA366" s="134" t="n">
        <f aca="false">I366/1</f>
        <v>11800</v>
      </c>
      <c r="AB366" s="134" t="n">
        <f aca="false">I366*Z366/L366</f>
        <v>10620</v>
      </c>
      <c r="AC366" s="143"/>
      <c r="AD366" s="136"/>
      <c r="AE366" s="144"/>
    </row>
    <row r="367" s="137" customFormat="true" ht="15.75" hidden="false" customHeight="true" outlineLevel="0" collapsed="false">
      <c r="A367" s="127"/>
      <c r="B367" s="162" t="n">
        <v>45901</v>
      </c>
      <c r="C367" s="127" t="s">
        <v>671</v>
      </c>
      <c r="D367" s="127" t="s">
        <v>810</v>
      </c>
      <c r="E367" s="128"/>
      <c r="F367" s="148" t="n">
        <v>45859</v>
      </c>
      <c r="G367" s="148" t="n">
        <v>46223</v>
      </c>
      <c r="H367" s="127" t="s">
        <v>9</v>
      </c>
      <c r="I367" s="131" t="n">
        <v>3540</v>
      </c>
      <c r="J367" s="127"/>
      <c r="K367" s="132"/>
      <c r="L367" s="127" t="n">
        <f aca="false">G367-F367+1</f>
        <v>365</v>
      </c>
      <c r="M367" s="127"/>
      <c r="N367" s="132"/>
      <c r="O367" s="132"/>
      <c r="P367" s="132"/>
      <c r="Q367" s="127"/>
      <c r="R367" s="127"/>
      <c r="S367" s="127"/>
      <c r="T367" s="132" t="n">
        <f aca="false">I367/12</f>
        <v>295</v>
      </c>
      <c r="U367" s="127" t="n">
        <f aca="false">$U$2-F367</f>
        <v>10</v>
      </c>
      <c r="V367" s="131" t="n">
        <f aca="false">I367*U367/L367</f>
        <v>96.986301369863</v>
      </c>
      <c r="W367" s="132" t="n">
        <f aca="false">IF(F367&lt;$W$2,31,$W$2-H367)</f>
        <v>31</v>
      </c>
      <c r="X367" s="134" t="n">
        <f aca="false">I367/12</f>
        <v>295</v>
      </c>
      <c r="Y367" s="132" t="n">
        <f aca="false">W367*I367/L367</f>
        <v>300.657534246575</v>
      </c>
      <c r="Z367" s="135" t="n">
        <f aca="false">IF(F367&lt;$Z$2,30,$Z$2-I367)</f>
        <v>30</v>
      </c>
      <c r="AA367" s="134" t="n">
        <f aca="false">I367/12</f>
        <v>295</v>
      </c>
      <c r="AB367" s="134" t="n">
        <f aca="false">I367*Z367/L367</f>
        <v>290.958904109589</v>
      </c>
      <c r="AC367" s="143"/>
      <c r="AD367" s="144"/>
      <c r="AE367" s="144"/>
    </row>
    <row r="368" customFormat="false" ht="15.75" hidden="false" customHeight="true" outlineLevel="0" collapsed="false">
      <c r="A368" s="128"/>
      <c r="B368" s="163" t="n">
        <v>45901</v>
      </c>
      <c r="C368" s="128" t="s">
        <v>811</v>
      </c>
      <c r="D368" s="128" t="s">
        <v>812</v>
      </c>
      <c r="E368" s="128"/>
      <c r="F368" s="154" t="n">
        <v>45905</v>
      </c>
      <c r="G368" s="154" t="n">
        <v>46269</v>
      </c>
      <c r="H368" s="128" t="s">
        <v>10</v>
      </c>
      <c r="I368" s="131" t="n">
        <v>127440</v>
      </c>
      <c r="J368" s="128"/>
      <c r="K368" s="132"/>
      <c r="L368" s="127" t="n">
        <f aca="false">G368-F368+1</f>
        <v>365</v>
      </c>
      <c r="M368" s="128"/>
      <c r="N368" s="132"/>
      <c r="O368" s="132"/>
      <c r="P368" s="132"/>
      <c r="Q368" s="128"/>
      <c r="R368" s="128"/>
      <c r="S368" s="128"/>
      <c r="T368" s="132"/>
      <c r="U368" s="128"/>
      <c r="V368" s="132"/>
      <c r="W368" s="173"/>
      <c r="X368" s="128"/>
      <c r="Y368" s="132"/>
      <c r="Z368" s="128" t="n">
        <f aca="false">$Z$2-F368+1</f>
        <v>26</v>
      </c>
      <c r="AA368" s="147" t="n">
        <f aca="false">I368/12</f>
        <v>10620</v>
      </c>
      <c r="AB368" s="147" t="n">
        <f aca="false">I368*Z368/L368</f>
        <v>9077.91780821918</v>
      </c>
      <c r="AC368" s="143"/>
      <c r="AD368" s="144"/>
      <c r="AE368" s="144"/>
    </row>
    <row r="369" customFormat="false" ht="15.75" hidden="false" customHeight="true" outlineLevel="0" collapsed="false">
      <c r="A369" s="128"/>
      <c r="B369" s="163" t="n">
        <v>45901</v>
      </c>
      <c r="C369" s="128" t="s">
        <v>813</v>
      </c>
      <c r="D369" s="128" t="s">
        <v>814</v>
      </c>
      <c r="E369" s="128"/>
      <c r="F369" s="154" t="n">
        <v>45905</v>
      </c>
      <c r="G369" s="154" t="n">
        <v>46269</v>
      </c>
      <c r="H369" s="128" t="s">
        <v>10</v>
      </c>
      <c r="I369" s="131" t="n">
        <v>127440</v>
      </c>
      <c r="J369" s="128"/>
      <c r="K369" s="132"/>
      <c r="L369" s="127" t="n">
        <f aca="false">G369-F369+1</f>
        <v>365</v>
      </c>
      <c r="M369" s="128"/>
      <c r="N369" s="132"/>
      <c r="O369" s="132"/>
      <c r="P369" s="132"/>
      <c r="Q369" s="128"/>
      <c r="R369" s="128"/>
      <c r="S369" s="128"/>
      <c r="T369" s="132"/>
      <c r="U369" s="128"/>
      <c r="V369" s="132"/>
      <c r="W369" s="173"/>
      <c r="X369" s="128"/>
      <c r="Y369" s="132"/>
      <c r="Z369" s="128" t="n">
        <f aca="false">$Z$2-F369+1</f>
        <v>26</v>
      </c>
      <c r="AA369" s="147" t="n">
        <f aca="false">I369/12</f>
        <v>10620</v>
      </c>
      <c r="AB369" s="147" t="n">
        <f aca="false">I369*Z369/L369</f>
        <v>9077.91780821918</v>
      </c>
      <c r="AC369" s="143"/>
      <c r="AD369" s="144"/>
      <c r="AE369" s="144"/>
    </row>
    <row r="370" s="137" customFormat="true" ht="15.75" hidden="false" customHeight="true" outlineLevel="0" collapsed="false">
      <c r="A370" s="127"/>
      <c r="B370" s="162" t="n">
        <v>45901</v>
      </c>
      <c r="C370" s="127" t="s">
        <v>372</v>
      </c>
      <c r="D370" s="127" t="s">
        <v>815</v>
      </c>
      <c r="E370" s="128"/>
      <c r="F370" s="148" t="n">
        <v>45907</v>
      </c>
      <c r="G370" s="148" t="n">
        <v>46171</v>
      </c>
      <c r="H370" s="142" t="s">
        <v>32</v>
      </c>
      <c r="I370" s="131" t="n">
        <f aca="false">480780+(874800+157464)</f>
        <v>1513044</v>
      </c>
      <c r="J370" s="127"/>
      <c r="K370" s="132"/>
      <c r="L370" s="127" t="n">
        <f aca="false">G370-F370+1</f>
        <v>265</v>
      </c>
      <c r="M370" s="127"/>
      <c r="N370" s="132"/>
      <c r="O370" s="132"/>
      <c r="P370" s="132"/>
      <c r="Q370" s="127"/>
      <c r="R370" s="127"/>
      <c r="S370" s="127"/>
      <c r="T370" s="132"/>
      <c r="U370" s="127"/>
      <c r="V370" s="132"/>
      <c r="W370" s="173"/>
      <c r="X370" s="127"/>
      <c r="Y370" s="132"/>
      <c r="Z370" s="127" t="n">
        <f aca="false">$Z$2-F370+1</f>
        <v>24</v>
      </c>
      <c r="AA370" s="134" t="n">
        <f aca="false">I370/8.23</f>
        <v>183844.957472661</v>
      </c>
      <c r="AB370" s="134" t="n">
        <f aca="false">I370*Z370/L370</f>
        <v>137030.4</v>
      </c>
      <c r="AC370" s="143"/>
      <c r="AD370" s="144"/>
      <c r="AE370" s="144"/>
    </row>
    <row r="371" s="137" customFormat="true" ht="15.75" hidden="false" customHeight="true" outlineLevel="0" collapsed="false">
      <c r="A371" s="127"/>
      <c r="B371" s="162" t="n">
        <v>45901</v>
      </c>
      <c r="C371" s="127" t="s">
        <v>199</v>
      </c>
      <c r="D371" s="127" t="s">
        <v>816</v>
      </c>
      <c r="E371" s="128"/>
      <c r="F371" s="148" t="n">
        <v>45908</v>
      </c>
      <c r="G371" s="148" t="n">
        <v>46272</v>
      </c>
      <c r="H371" s="127" t="s">
        <v>9</v>
      </c>
      <c r="I371" s="131" t="n">
        <v>250000</v>
      </c>
      <c r="J371" s="127"/>
      <c r="K371" s="132"/>
      <c r="L371" s="127" t="n">
        <f aca="false">G371-F371+1</f>
        <v>365</v>
      </c>
      <c r="M371" s="127"/>
      <c r="N371" s="132"/>
      <c r="O371" s="132"/>
      <c r="P371" s="132"/>
      <c r="Q371" s="127"/>
      <c r="R371" s="127"/>
      <c r="S371" s="127"/>
      <c r="T371" s="132"/>
      <c r="U371" s="127"/>
      <c r="V371" s="132"/>
      <c r="W371" s="173"/>
      <c r="X371" s="127"/>
      <c r="Y371" s="132"/>
      <c r="Z371" s="127" t="n">
        <f aca="false">$Z$2-F371+1</f>
        <v>23</v>
      </c>
      <c r="AA371" s="134" t="n">
        <f aca="false">I371/12</f>
        <v>20833.3333333333</v>
      </c>
      <c r="AB371" s="134" t="n">
        <f aca="false">I371*Z371/L371</f>
        <v>15753.4246575342</v>
      </c>
      <c r="AC371" s="143"/>
      <c r="AD371" s="144"/>
      <c r="AE371" s="144"/>
    </row>
    <row r="372" customFormat="false" ht="15.75" hidden="false" customHeight="true" outlineLevel="0" collapsed="false">
      <c r="A372" s="128"/>
      <c r="B372" s="163" t="n">
        <v>45901</v>
      </c>
      <c r="C372" s="128" t="s">
        <v>817</v>
      </c>
      <c r="D372" s="128" t="s">
        <v>818</v>
      </c>
      <c r="E372" s="128"/>
      <c r="F372" s="154" t="n">
        <v>45908</v>
      </c>
      <c r="G372" s="154" t="n">
        <v>46272</v>
      </c>
      <c r="H372" s="128" t="s">
        <v>9</v>
      </c>
      <c r="I372" s="131" t="n">
        <v>79060</v>
      </c>
      <c r="J372" s="128"/>
      <c r="K372" s="132"/>
      <c r="L372" s="127" t="n">
        <f aca="false">G372-F372+1</f>
        <v>365</v>
      </c>
      <c r="M372" s="128"/>
      <c r="N372" s="132"/>
      <c r="O372" s="132"/>
      <c r="P372" s="132"/>
      <c r="Q372" s="128"/>
      <c r="R372" s="128"/>
      <c r="S372" s="128"/>
      <c r="T372" s="132"/>
      <c r="U372" s="128"/>
      <c r="V372" s="132"/>
      <c r="W372" s="173"/>
      <c r="X372" s="128"/>
      <c r="Y372" s="132"/>
      <c r="Z372" s="128" t="n">
        <f aca="false">$Z$2-F372+1</f>
        <v>23</v>
      </c>
      <c r="AA372" s="147" t="n">
        <f aca="false">I372/12</f>
        <v>6588.33333333333</v>
      </c>
      <c r="AB372" s="147" t="n">
        <f aca="false">I372*Z372/L372</f>
        <v>4981.86301369863</v>
      </c>
      <c r="AC372" s="143"/>
      <c r="AD372" s="144"/>
      <c r="AE372" s="144"/>
    </row>
    <row r="373" s="137" customFormat="true" ht="15.75" hidden="false" customHeight="true" outlineLevel="0" collapsed="false">
      <c r="A373" s="127"/>
      <c r="B373" s="162" t="n">
        <v>45901</v>
      </c>
      <c r="C373" s="127" t="s">
        <v>708</v>
      </c>
      <c r="D373" s="127" t="s">
        <v>819</v>
      </c>
      <c r="E373" s="128"/>
      <c r="F373" s="148" t="n">
        <v>45915</v>
      </c>
      <c r="G373" s="148" t="n">
        <v>46272</v>
      </c>
      <c r="H373" s="127" t="s">
        <v>9</v>
      </c>
      <c r="I373" s="131" t="n">
        <v>490000</v>
      </c>
      <c r="J373" s="127"/>
      <c r="K373" s="132"/>
      <c r="L373" s="127" t="n">
        <f aca="false">G373-F373+1</f>
        <v>358</v>
      </c>
      <c r="M373" s="127"/>
      <c r="N373" s="132"/>
      <c r="O373" s="132"/>
      <c r="P373" s="132"/>
      <c r="Q373" s="127"/>
      <c r="R373" s="127"/>
      <c r="S373" s="127"/>
      <c r="T373" s="132"/>
      <c r="U373" s="127"/>
      <c r="V373" s="132"/>
      <c r="W373" s="173"/>
      <c r="X373" s="127"/>
      <c r="Y373" s="132"/>
      <c r="Z373" s="127" t="n">
        <f aca="false">$Z$2-F373+1</f>
        <v>16</v>
      </c>
      <c r="AA373" s="134" t="n">
        <f aca="false">I373/12</f>
        <v>40833.3333333333</v>
      </c>
      <c r="AB373" s="134" t="n">
        <f aca="false">I373*Z373/L373</f>
        <v>21899.4413407821</v>
      </c>
      <c r="AC373" s="143"/>
      <c r="AD373" s="144"/>
      <c r="AE373" s="144"/>
    </row>
    <row r="374" customFormat="false" ht="15.75" hidden="false" customHeight="true" outlineLevel="0" collapsed="false">
      <c r="A374" s="128"/>
      <c r="B374" s="163" t="n">
        <v>45901</v>
      </c>
      <c r="C374" s="128" t="s">
        <v>820</v>
      </c>
      <c r="D374" s="128" t="s">
        <v>821</v>
      </c>
      <c r="E374" s="128"/>
      <c r="F374" s="154" t="n">
        <v>45903</v>
      </c>
      <c r="G374" s="154" t="n">
        <v>46267</v>
      </c>
      <c r="H374" s="149" t="s">
        <v>8</v>
      </c>
      <c r="I374" s="131" t="n">
        <v>30000</v>
      </c>
      <c r="J374" s="128"/>
      <c r="K374" s="132"/>
      <c r="L374" s="127" t="n">
        <f aca="false">G374-F374+1</f>
        <v>365</v>
      </c>
      <c r="M374" s="128"/>
      <c r="N374" s="132"/>
      <c r="O374" s="132"/>
      <c r="P374" s="132"/>
      <c r="Q374" s="128"/>
      <c r="R374" s="128"/>
      <c r="S374" s="128"/>
      <c r="T374" s="132"/>
      <c r="U374" s="128"/>
      <c r="V374" s="132"/>
      <c r="W374" s="173"/>
      <c r="X374" s="128"/>
      <c r="Y374" s="132"/>
      <c r="Z374" s="128" t="n">
        <f aca="false">$Z$2-F374+1</f>
        <v>28</v>
      </c>
      <c r="AA374" s="147" t="n">
        <f aca="false">I374/12</f>
        <v>2500</v>
      </c>
      <c r="AB374" s="147" t="n">
        <f aca="false">I374*Z374/L374</f>
        <v>2301.3698630137</v>
      </c>
      <c r="AC374" s="143"/>
      <c r="AD374" s="144"/>
      <c r="AE374" s="144"/>
    </row>
    <row r="375" s="137" customFormat="true" ht="15.75" hidden="false" customHeight="true" outlineLevel="0" collapsed="false">
      <c r="A375" s="127"/>
      <c r="B375" s="162" t="s">
        <v>822</v>
      </c>
      <c r="C375" s="127" t="s">
        <v>669</v>
      </c>
      <c r="D375" s="127" t="s">
        <v>823</v>
      </c>
      <c r="E375" s="128"/>
      <c r="F375" s="148" t="n">
        <v>45901</v>
      </c>
      <c r="G375" s="148" t="n">
        <v>46265</v>
      </c>
      <c r="H375" s="127" t="s">
        <v>10</v>
      </c>
      <c r="I375" s="131" t="n">
        <v>48000</v>
      </c>
      <c r="J375" s="127"/>
      <c r="K375" s="132"/>
      <c r="L375" s="127" t="n">
        <f aca="false">G375-F375+1</f>
        <v>365</v>
      </c>
      <c r="M375" s="127"/>
      <c r="N375" s="132"/>
      <c r="O375" s="132"/>
      <c r="P375" s="132"/>
      <c r="Q375" s="127"/>
      <c r="R375" s="127"/>
      <c r="S375" s="127"/>
      <c r="T375" s="132"/>
      <c r="U375" s="127"/>
      <c r="V375" s="132"/>
      <c r="W375" s="173"/>
      <c r="X375" s="127"/>
      <c r="Y375" s="132"/>
      <c r="Z375" s="127" t="n">
        <f aca="false">$Z$2-F375+1</f>
        <v>30</v>
      </c>
      <c r="AA375" s="134" t="n">
        <f aca="false">I375/12</f>
        <v>4000</v>
      </c>
      <c r="AB375" s="134" t="n">
        <f aca="false">I375*Z375/L375</f>
        <v>3945.20547945206</v>
      </c>
      <c r="AC375" s="143"/>
      <c r="AD375" s="144"/>
      <c r="AE375" s="144"/>
    </row>
    <row r="376" customFormat="false" ht="15.75" hidden="false" customHeight="true" outlineLevel="0" collapsed="false">
      <c r="A376" s="128"/>
      <c r="B376" s="163" t="n">
        <v>45901</v>
      </c>
      <c r="C376" s="128" t="s">
        <v>824</v>
      </c>
      <c r="D376" s="128" t="s">
        <v>825</v>
      </c>
      <c r="E376" s="128"/>
      <c r="F376" s="154" t="n">
        <v>45910</v>
      </c>
      <c r="G376" s="154" t="n">
        <v>46274</v>
      </c>
      <c r="H376" s="145" t="s">
        <v>7</v>
      </c>
      <c r="I376" s="131" t="n">
        <v>74340</v>
      </c>
      <c r="J376" s="128"/>
      <c r="K376" s="132"/>
      <c r="L376" s="127" t="n">
        <f aca="false">G376-F376+1</f>
        <v>365</v>
      </c>
      <c r="M376" s="128"/>
      <c r="N376" s="132"/>
      <c r="O376" s="132"/>
      <c r="P376" s="132"/>
      <c r="Q376" s="128"/>
      <c r="R376" s="128"/>
      <c r="S376" s="128"/>
      <c r="T376" s="132"/>
      <c r="U376" s="128"/>
      <c r="V376" s="132"/>
      <c r="W376" s="173"/>
      <c r="X376" s="128"/>
      <c r="Y376" s="132"/>
      <c r="Z376" s="128" t="n">
        <f aca="false">$Z$2-F376+1</f>
        <v>21</v>
      </c>
      <c r="AA376" s="147" t="n">
        <f aca="false">I376/12</f>
        <v>6195</v>
      </c>
      <c r="AB376" s="147" t="n">
        <f aca="false">I376*Z376/L376</f>
        <v>4277.09589041096</v>
      </c>
      <c r="AC376" s="143"/>
      <c r="AD376" s="144"/>
      <c r="AE376" s="144"/>
    </row>
    <row r="377" customFormat="false" ht="15.75" hidden="false" customHeight="true" outlineLevel="0" collapsed="false">
      <c r="A377" s="128"/>
      <c r="B377" s="163" t="n">
        <v>45901</v>
      </c>
      <c r="C377" s="128" t="s">
        <v>826</v>
      </c>
      <c r="D377" s="128" t="s">
        <v>827</v>
      </c>
      <c r="E377" s="128"/>
      <c r="F377" s="154" t="n">
        <v>45912</v>
      </c>
      <c r="G377" s="154" t="n">
        <v>46276</v>
      </c>
      <c r="H377" s="128" t="s">
        <v>9</v>
      </c>
      <c r="I377" s="131" t="n">
        <v>371700</v>
      </c>
      <c r="J377" s="128"/>
      <c r="K377" s="132"/>
      <c r="L377" s="127" t="n">
        <f aca="false">G377-F377+1</f>
        <v>365</v>
      </c>
      <c r="M377" s="128"/>
      <c r="N377" s="132"/>
      <c r="O377" s="132"/>
      <c r="P377" s="132"/>
      <c r="Q377" s="128"/>
      <c r="R377" s="128"/>
      <c r="S377" s="128"/>
      <c r="T377" s="132"/>
      <c r="U377" s="128"/>
      <c r="V377" s="132"/>
      <c r="W377" s="173"/>
      <c r="X377" s="128"/>
      <c r="Y377" s="132"/>
      <c r="Z377" s="128" t="n">
        <f aca="false">$Z$2-F377+1</f>
        <v>19</v>
      </c>
      <c r="AA377" s="147" t="n">
        <f aca="false">I377/12</f>
        <v>30975</v>
      </c>
      <c r="AB377" s="147" t="n">
        <f aca="false">I377*Z377/L377</f>
        <v>19348.7671232877</v>
      </c>
      <c r="AC377" s="143"/>
      <c r="AD377" s="144"/>
      <c r="AE377" s="144"/>
    </row>
    <row r="378" s="137" customFormat="true" ht="15.75" hidden="false" customHeight="true" outlineLevel="0" collapsed="false">
      <c r="A378" s="127"/>
      <c r="B378" s="162" t="n">
        <v>45901</v>
      </c>
      <c r="C378" s="127" t="s">
        <v>723</v>
      </c>
      <c r="D378" s="127" t="s">
        <v>828</v>
      </c>
      <c r="E378" s="128"/>
      <c r="F378" s="148" t="n">
        <v>45916</v>
      </c>
      <c r="G378" s="148" t="n">
        <v>45945</v>
      </c>
      <c r="H378" s="127" t="s">
        <v>19</v>
      </c>
      <c r="I378" s="131" t="n">
        <v>23600</v>
      </c>
      <c r="J378" s="127"/>
      <c r="K378" s="132"/>
      <c r="L378" s="127" t="n">
        <f aca="false">G378-F378+1</f>
        <v>30</v>
      </c>
      <c r="M378" s="127"/>
      <c r="N378" s="132"/>
      <c r="O378" s="132"/>
      <c r="P378" s="132"/>
      <c r="Q378" s="127"/>
      <c r="R378" s="127"/>
      <c r="S378" s="127"/>
      <c r="T378" s="132"/>
      <c r="U378" s="127"/>
      <c r="V378" s="132"/>
      <c r="W378" s="173"/>
      <c r="X378" s="127"/>
      <c r="Y378" s="132"/>
      <c r="Z378" s="127" t="n">
        <f aca="false">$Z$2-F378+1</f>
        <v>15</v>
      </c>
      <c r="AA378" s="134" t="n">
        <f aca="false">I378/1</f>
        <v>23600</v>
      </c>
      <c r="AB378" s="134" t="n">
        <f aca="false">I378*Z378/L378</f>
        <v>11800</v>
      </c>
      <c r="AC378" s="143"/>
      <c r="AD378" s="136"/>
      <c r="AE378" s="144"/>
    </row>
    <row r="379" s="137" customFormat="true" ht="15.75" hidden="false" customHeight="true" outlineLevel="0" collapsed="false">
      <c r="A379" s="127"/>
      <c r="B379" s="162" t="n">
        <v>45901</v>
      </c>
      <c r="C379" s="127" t="s">
        <v>705</v>
      </c>
      <c r="D379" s="127" t="s">
        <v>829</v>
      </c>
      <c r="E379" s="128"/>
      <c r="F379" s="148" t="n">
        <v>45917</v>
      </c>
      <c r="G379" s="148" t="n">
        <v>46281</v>
      </c>
      <c r="H379" s="142" t="s">
        <v>7</v>
      </c>
      <c r="I379" s="131" t="n">
        <v>82600</v>
      </c>
      <c r="J379" s="127"/>
      <c r="K379" s="132"/>
      <c r="L379" s="127" t="n">
        <f aca="false">G379-F379+1</f>
        <v>365</v>
      </c>
      <c r="M379" s="127"/>
      <c r="N379" s="132"/>
      <c r="O379" s="132"/>
      <c r="P379" s="132"/>
      <c r="Q379" s="127"/>
      <c r="R379" s="127"/>
      <c r="S379" s="127"/>
      <c r="T379" s="132"/>
      <c r="U379" s="127"/>
      <c r="V379" s="132"/>
      <c r="W379" s="173"/>
      <c r="X379" s="127"/>
      <c r="Y379" s="132"/>
      <c r="Z379" s="127" t="n">
        <f aca="false">$Z$2-F379+1</f>
        <v>14</v>
      </c>
      <c r="AA379" s="134" t="n">
        <f aca="false">I379/12</f>
        <v>6883.33333333333</v>
      </c>
      <c r="AB379" s="134" t="n">
        <f aca="false">I379*Z379/L379</f>
        <v>3168.21917808219</v>
      </c>
      <c r="AC379" s="143"/>
      <c r="AD379" s="144"/>
      <c r="AE379" s="144"/>
    </row>
    <row r="380" customFormat="false" ht="15.75" hidden="false" customHeight="true" outlineLevel="0" collapsed="false">
      <c r="A380" s="128"/>
      <c r="B380" s="163" t="n">
        <v>45901</v>
      </c>
      <c r="C380" s="128" t="s">
        <v>830</v>
      </c>
      <c r="D380" s="128" t="s">
        <v>831</v>
      </c>
      <c r="E380" s="128"/>
      <c r="F380" s="154" t="n">
        <v>45917</v>
      </c>
      <c r="G380" s="154" t="n">
        <v>46281</v>
      </c>
      <c r="H380" s="128" t="s">
        <v>9</v>
      </c>
      <c r="I380" s="131" t="n">
        <v>165200</v>
      </c>
      <c r="J380" s="128"/>
      <c r="K380" s="132"/>
      <c r="L380" s="127" t="n">
        <f aca="false">G380-F380+1</f>
        <v>365</v>
      </c>
      <c r="M380" s="128"/>
      <c r="N380" s="132"/>
      <c r="O380" s="132"/>
      <c r="P380" s="132"/>
      <c r="Q380" s="128"/>
      <c r="R380" s="128"/>
      <c r="S380" s="128"/>
      <c r="T380" s="132"/>
      <c r="U380" s="128"/>
      <c r="V380" s="132"/>
      <c r="W380" s="173"/>
      <c r="X380" s="128"/>
      <c r="Y380" s="132"/>
      <c r="Z380" s="128" t="n">
        <f aca="false">$Z$2-F380+1</f>
        <v>14</v>
      </c>
      <c r="AA380" s="147" t="n">
        <f aca="false">I380/12</f>
        <v>13766.6666666667</v>
      </c>
      <c r="AB380" s="147" t="n">
        <f aca="false">I380*Z380/L380</f>
        <v>6336.43835616438</v>
      </c>
      <c r="AC380" s="143"/>
      <c r="AD380" s="144"/>
      <c r="AE380" s="144"/>
    </row>
    <row r="381" s="137" customFormat="true" ht="15.75" hidden="false" customHeight="true" outlineLevel="0" collapsed="false">
      <c r="A381" s="127"/>
      <c r="B381" s="162" t="n">
        <v>45901</v>
      </c>
      <c r="C381" s="127" t="s">
        <v>732</v>
      </c>
      <c r="D381" s="127" t="s">
        <v>832</v>
      </c>
      <c r="E381" s="128"/>
      <c r="F381" s="148" t="n">
        <v>45877</v>
      </c>
      <c r="G381" s="148" t="n">
        <v>46241</v>
      </c>
      <c r="H381" s="127" t="s">
        <v>9</v>
      </c>
      <c r="I381" s="131" t="n">
        <v>23600</v>
      </c>
      <c r="J381" s="127"/>
      <c r="K381" s="132"/>
      <c r="L381" s="127" t="n">
        <f aca="false">G381-F381+1</f>
        <v>365</v>
      </c>
      <c r="M381" s="127"/>
      <c r="N381" s="132"/>
      <c r="O381" s="132"/>
      <c r="P381" s="132"/>
      <c r="Q381" s="127"/>
      <c r="R381" s="127"/>
      <c r="S381" s="127"/>
      <c r="T381" s="132"/>
      <c r="U381" s="127" t="n">
        <v>0</v>
      </c>
      <c r="V381" s="132"/>
      <c r="W381" s="173" t="n">
        <f aca="false">$W$2-F381+1</f>
        <v>24</v>
      </c>
      <c r="X381" s="134" t="n">
        <f aca="false">I381/12</f>
        <v>1966.66666666667</v>
      </c>
      <c r="Y381" s="132" t="n">
        <f aca="false">W381*I381/L381</f>
        <v>1551.78082191781</v>
      </c>
      <c r="Z381" s="135" t="n">
        <f aca="false">IF(F381&lt;$Z$2,30,$Z$2-I381)</f>
        <v>30</v>
      </c>
      <c r="AA381" s="134" t="n">
        <f aca="false">I381/12</f>
        <v>1966.66666666667</v>
      </c>
      <c r="AB381" s="134" t="n">
        <f aca="false">I381*Z381/L381</f>
        <v>1939.72602739726</v>
      </c>
      <c r="AC381" s="143"/>
      <c r="AD381" s="144"/>
      <c r="AE381" s="144"/>
    </row>
    <row r="382" s="137" customFormat="true" ht="15.75" hidden="false" customHeight="true" outlineLevel="0" collapsed="false">
      <c r="A382" s="127"/>
      <c r="B382" s="162" t="n">
        <v>45901</v>
      </c>
      <c r="C382" s="127" t="s">
        <v>125</v>
      </c>
      <c r="D382" s="127" t="s">
        <v>833</v>
      </c>
      <c r="E382" s="128"/>
      <c r="F382" s="148" t="n">
        <v>45901</v>
      </c>
      <c r="G382" s="148" t="n">
        <v>45930</v>
      </c>
      <c r="H382" s="127" t="s">
        <v>19</v>
      </c>
      <c r="I382" s="131" t="n">
        <v>29000</v>
      </c>
      <c r="J382" s="127"/>
      <c r="K382" s="132"/>
      <c r="L382" s="127" t="n">
        <f aca="false">G382-F382+1</f>
        <v>30</v>
      </c>
      <c r="M382" s="127"/>
      <c r="N382" s="132"/>
      <c r="O382" s="132"/>
      <c r="P382" s="132"/>
      <c r="Q382" s="127"/>
      <c r="R382" s="127"/>
      <c r="S382" s="127"/>
      <c r="T382" s="132"/>
      <c r="U382" s="127"/>
      <c r="V382" s="132"/>
      <c r="W382" s="173"/>
      <c r="X382" s="127"/>
      <c r="Y382" s="132"/>
      <c r="Z382" s="127" t="n">
        <f aca="false">G382-F382+1</f>
        <v>30</v>
      </c>
      <c r="AA382" s="134" t="n">
        <f aca="false">I382/1</f>
        <v>29000</v>
      </c>
      <c r="AB382" s="134" t="n">
        <f aca="false">Z382*I382/L382</f>
        <v>29000</v>
      </c>
      <c r="AC382" s="136"/>
      <c r="AD382" s="136"/>
      <c r="AE382" s="136"/>
    </row>
    <row r="383" customFormat="false" ht="15.75" hidden="false" customHeight="true" outlineLevel="0" collapsed="false">
      <c r="A383" s="128"/>
      <c r="B383" s="163" t="n">
        <v>45901</v>
      </c>
      <c r="C383" s="128" t="s">
        <v>834</v>
      </c>
      <c r="D383" s="128" t="s">
        <v>835</v>
      </c>
      <c r="E383" s="128"/>
      <c r="F383" s="154" t="n">
        <v>45922</v>
      </c>
      <c r="G383" s="154" t="n">
        <v>46286</v>
      </c>
      <c r="H383" s="128" t="s">
        <v>9</v>
      </c>
      <c r="I383" s="131" t="n">
        <v>62640</v>
      </c>
      <c r="J383" s="128"/>
      <c r="K383" s="132"/>
      <c r="L383" s="127" t="n">
        <f aca="false">G383-F383+1</f>
        <v>365</v>
      </c>
      <c r="M383" s="128"/>
      <c r="N383" s="132"/>
      <c r="O383" s="132"/>
      <c r="P383" s="132"/>
      <c r="Q383" s="128"/>
      <c r="R383" s="128"/>
      <c r="S383" s="128"/>
      <c r="T383" s="132"/>
      <c r="U383" s="128"/>
      <c r="V383" s="132"/>
      <c r="W383" s="173"/>
      <c r="X383" s="128"/>
      <c r="Y383" s="132"/>
      <c r="Z383" s="128" t="n">
        <f aca="false">$Z$2-F383+1</f>
        <v>9</v>
      </c>
      <c r="AA383" s="147" t="n">
        <f aca="false">I383/12</f>
        <v>5220</v>
      </c>
      <c r="AB383" s="147" t="n">
        <f aca="false">I383*Z383/L383</f>
        <v>1544.54794520548</v>
      </c>
      <c r="AC383" s="143"/>
      <c r="AD383" s="144"/>
      <c r="AE383" s="144"/>
    </row>
    <row r="384" customFormat="false" ht="15.75" hidden="false" customHeight="true" outlineLevel="0" collapsed="false">
      <c r="A384" s="128"/>
      <c r="B384" s="163" t="s">
        <v>822</v>
      </c>
      <c r="C384" s="128" t="s">
        <v>836</v>
      </c>
      <c r="D384" s="128" t="s">
        <v>837</v>
      </c>
      <c r="E384" s="128"/>
      <c r="F384" s="154" t="n">
        <v>45917</v>
      </c>
      <c r="G384" s="154" t="n">
        <v>46281</v>
      </c>
      <c r="H384" s="128" t="s">
        <v>10</v>
      </c>
      <c r="I384" s="131" t="n">
        <v>72000</v>
      </c>
      <c r="J384" s="128"/>
      <c r="K384" s="132"/>
      <c r="L384" s="127" t="n">
        <f aca="false">G384-F384+1</f>
        <v>365</v>
      </c>
      <c r="M384" s="128"/>
      <c r="N384" s="132"/>
      <c r="O384" s="132"/>
      <c r="P384" s="132"/>
      <c r="Q384" s="128"/>
      <c r="R384" s="128"/>
      <c r="S384" s="128"/>
      <c r="T384" s="132"/>
      <c r="U384" s="128"/>
      <c r="V384" s="132"/>
      <c r="W384" s="173"/>
      <c r="X384" s="128"/>
      <c r="Y384" s="132"/>
      <c r="Z384" s="128" t="n">
        <f aca="false">$Z$2-F384+1</f>
        <v>14</v>
      </c>
      <c r="AA384" s="147" t="n">
        <f aca="false">I384/12</f>
        <v>6000</v>
      </c>
      <c r="AB384" s="147" t="n">
        <f aca="false">I384*Z384/L384</f>
        <v>2761.64383561644</v>
      </c>
      <c r="AC384" s="143"/>
      <c r="AD384" s="144"/>
      <c r="AE384" s="144"/>
    </row>
    <row r="385" s="137" customFormat="true" ht="15.75" hidden="false" customHeight="true" outlineLevel="0" collapsed="false">
      <c r="A385" s="127"/>
      <c r="B385" s="126" t="n">
        <v>45901</v>
      </c>
      <c r="C385" s="127" t="s">
        <v>316</v>
      </c>
      <c r="D385" s="127" t="s">
        <v>838</v>
      </c>
      <c r="E385" s="128"/>
      <c r="F385" s="148" t="n">
        <v>45866</v>
      </c>
      <c r="G385" s="148" t="n">
        <v>45896</v>
      </c>
      <c r="H385" s="127" t="s">
        <v>19</v>
      </c>
      <c r="I385" s="131" t="n">
        <v>15340</v>
      </c>
      <c r="J385" s="127"/>
      <c r="K385" s="132"/>
      <c r="L385" s="127" t="n">
        <f aca="false">G385-F385+1</f>
        <v>31</v>
      </c>
      <c r="M385" s="127"/>
      <c r="N385" s="132"/>
      <c r="O385" s="132"/>
      <c r="P385" s="132"/>
      <c r="Q385" s="127"/>
      <c r="R385" s="127"/>
      <c r="S385" s="127"/>
      <c r="T385" s="132" t="n">
        <f aca="false">I385</f>
        <v>15340</v>
      </c>
      <c r="U385" s="127" t="n">
        <f aca="false">$U$2-F385</f>
        <v>3</v>
      </c>
      <c r="V385" s="131" t="n">
        <f aca="false">I385*U385/L385</f>
        <v>1484.51612903226</v>
      </c>
      <c r="W385" s="135" t="n">
        <f aca="false">G385-$W$1+1</f>
        <v>27</v>
      </c>
      <c r="X385" s="127"/>
      <c r="Y385" s="131" t="n">
        <f aca="false">W385*I385/L385</f>
        <v>13360.6451612903</v>
      </c>
      <c r="Z385" s="127"/>
      <c r="AA385" s="127"/>
      <c r="AB385" s="127"/>
      <c r="AC385" s="136"/>
      <c r="AD385" s="136"/>
      <c r="AE385" s="136"/>
    </row>
    <row r="386" customFormat="false" ht="15.75" hidden="false" customHeight="true" outlineLevel="0" collapsed="false">
      <c r="A386" s="128"/>
      <c r="B386" s="163" t="n">
        <v>45901</v>
      </c>
      <c r="C386" s="128" t="s">
        <v>839</v>
      </c>
      <c r="D386" s="128" t="s">
        <v>840</v>
      </c>
      <c r="E386" s="128"/>
      <c r="F386" s="154" t="n">
        <v>45917</v>
      </c>
      <c r="G386" s="154" t="n">
        <v>46281</v>
      </c>
      <c r="H386" s="128" t="s">
        <v>9</v>
      </c>
      <c r="I386" s="131" t="n">
        <v>127440</v>
      </c>
      <c r="J386" s="128"/>
      <c r="K386" s="132"/>
      <c r="L386" s="127" t="n">
        <f aca="false">G386-F386+1</f>
        <v>365</v>
      </c>
      <c r="M386" s="128"/>
      <c r="N386" s="132"/>
      <c r="O386" s="132"/>
      <c r="P386" s="132"/>
      <c r="Q386" s="128"/>
      <c r="R386" s="128"/>
      <c r="S386" s="128"/>
      <c r="T386" s="132"/>
      <c r="U386" s="128"/>
      <c r="V386" s="132"/>
      <c r="W386" s="173"/>
      <c r="X386" s="128"/>
      <c r="Y386" s="132"/>
      <c r="Z386" s="128" t="n">
        <f aca="false">$Z$2-F386+1</f>
        <v>14</v>
      </c>
      <c r="AA386" s="147" t="n">
        <f aca="false">I386/12</f>
        <v>10620</v>
      </c>
      <c r="AB386" s="147" t="n">
        <f aca="false">I386*Z386/L386</f>
        <v>4888.1095890411</v>
      </c>
      <c r="AC386" s="143"/>
      <c r="AD386" s="144"/>
      <c r="AE386" s="144"/>
    </row>
    <row r="387" customFormat="false" ht="15.75" hidden="false" customHeight="true" outlineLevel="0" collapsed="false">
      <c r="A387" s="128"/>
      <c r="B387" s="163" t="n">
        <v>45901</v>
      </c>
      <c r="C387" s="128" t="s">
        <v>841</v>
      </c>
      <c r="D387" s="128" t="s">
        <v>842</v>
      </c>
      <c r="E387" s="128"/>
      <c r="F387" s="154" t="n">
        <v>45876</v>
      </c>
      <c r="G387" s="154" t="n">
        <v>45967</v>
      </c>
      <c r="H387" s="150" t="s">
        <v>24</v>
      </c>
      <c r="I387" s="131" t="n">
        <v>37760</v>
      </c>
      <c r="J387" s="128"/>
      <c r="K387" s="132"/>
      <c r="L387" s="127" t="n">
        <f aca="false">G387-F387+1</f>
        <v>92</v>
      </c>
      <c r="M387" s="128"/>
      <c r="N387" s="132"/>
      <c r="O387" s="132"/>
      <c r="P387" s="132"/>
      <c r="Q387" s="128"/>
      <c r="R387" s="128"/>
      <c r="S387" s="128"/>
      <c r="T387" s="132"/>
      <c r="U387" s="128" t="n">
        <v>0</v>
      </c>
      <c r="V387" s="132"/>
      <c r="W387" s="173" t="n">
        <f aca="false">$W$2-F387+1</f>
        <v>25</v>
      </c>
      <c r="X387" s="147" t="n">
        <f aca="false">I387/3</f>
        <v>12586.6666666667</v>
      </c>
      <c r="Y387" s="132" t="n">
        <f aca="false">W387*I387/L387</f>
        <v>10260.8695652174</v>
      </c>
      <c r="Z387" s="141" t="n">
        <f aca="false">IF(F387&lt;$Z$2,30,$Z$2-I387)</f>
        <v>30</v>
      </c>
      <c r="AA387" s="147" t="n">
        <f aca="false">I387/3</f>
        <v>12586.6666666667</v>
      </c>
      <c r="AB387" s="147" t="n">
        <f aca="false">Z387*I387/L387</f>
        <v>12313.0434782609</v>
      </c>
      <c r="AC387" s="143"/>
      <c r="AD387" s="144"/>
      <c r="AE387" s="144"/>
    </row>
    <row r="388" customFormat="false" ht="15.75" hidden="false" customHeight="true" outlineLevel="0" collapsed="false">
      <c r="A388" s="128"/>
      <c r="B388" s="163" t="n">
        <v>45901</v>
      </c>
      <c r="C388" s="128" t="s">
        <v>843</v>
      </c>
      <c r="D388" s="128" t="s">
        <v>844</v>
      </c>
      <c r="E388" s="128"/>
      <c r="F388" s="154" t="n">
        <v>45918</v>
      </c>
      <c r="G388" s="154" t="n">
        <v>46098</v>
      </c>
      <c r="H388" s="128" t="s">
        <v>29</v>
      </c>
      <c r="I388" s="131" t="n">
        <v>47200</v>
      </c>
      <c r="J388" s="128"/>
      <c r="K388" s="132"/>
      <c r="L388" s="127" t="n">
        <f aca="false">G388-F388+1</f>
        <v>181</v>
      </c>
      <c r="M388" s="128"/>
      <c r="N388" s="132"/>
      <c r="O388" s="132"/>
      <c r="P388" s="132"/>
      <c r="Q388" s="128"/>
      <c r="R388" s="128"/>
      <c r="S388" s="128"/>
      <c r="T388" s="132"/>
      <c r="U388" s="128"/>
      <c r="V388" s="132"/>
      <c r="W388" s="173"/>
      <c r="X388" s="128"/>
      <c r="Y388" s="132"/>
      <c r="Z388" s="128" t="n">
        <f aca="false">$Z$2-F388+1</f>
        <v>13</v>
      </c>
      <c r="AA388" s="147" t="n">
        <f aca="false">I388/6</f>
        <v>7866.66666666667</v>
      </c>
      <c r="AB388" s="147" t="n">
        <f aca="false">Z388*I388/L388</f>
        <v>3390.05524861878</v>
      </c>
      <c r="AC388" s="143"/>
      <c r="AD388" s="144"/>
      <c r="AE388" s="144"/>
    </row>
    <row r="389" s="137" customFormat="true" ht="15.75" hidden="false" customHeight="true" outlineLevel="0" collapsed="false">
      <c r="A389" s="127"/>
      <c r="B389" s="162" t="s">
        <v>822</v>
      </c>
      <c r="C389" s="127" t="s">
        <v>744</v>
      </c>
      <c r="D389" s="127" t="s">
        <v>845</v>
      </c>
      <c r="E389" s="128"/>
      <c r="F389" s="148" t="n">
        <v>45918</v>
      </c>
      <c r="G389" s="148" t="n">
        <v>46282</v>
      </c>
      <c r="H389" s="127" t="s">
        <v>10</v>
      </c>
      <c r="I389" s="131" t="n">
        <v>396480</v>
      </c>
      <c r="J389" s="127"/>
      <c r="K389" s="132"/>
      <c r="L389" s="127" t="n">
        <f aca="false">G389-F389+1</f>
        <v>365</v>
      </c>
      <c r="M389" s="127"/>
      <c r="N389" s="132"/>
      <c r="O389" s="132"/>
      <c r="P389" s="132"/>
      <c r="Q389" s="127"/>
      <c r="R389" s="127"/>
      <c r="S389" s="127"/>
      <c r="T389" s="132"/>
      <c r="U389" s="127"/>
      <c r="V389" s="132"/>
      <c r="W389" s="173"/>
      <c r="X389" s="127"/>
      <c r="Y389" s="132"/>
      <c r="Z389" s="127" t="n">
        <f aca="false">$Z$2-F389+1</f>
        <v>13</v>
      </c>
      <c r="AA389" s="134" t="n">
        <f aca="false">I389/12</f>
        <v>33040</v>
      </c>
      <c r="AB389" s="134" t="n">
        <f aca="false">I389*Z389/L389</f>
        <v>14121.2054794521</v>
      </c>
      <c r="AC389" s="143"/>
      <c r="AD389" s="144"/>
      <c r="AE389" s="144"/>
    </row>
    <row r="390" customFormat="false" ht="15.75" hidden="false" customHeight="true" outlineLevel="0" collapsed="false">
      <c r="A390" s="128"/>
      <c r="B390" s="163" t="s">
        <v>822</v>
      </c>
      <c r="C390" s="128" t="s">
        <v>846</v>
      </c>
      <c r="D390" s="128" t="s">
        <v>847</v>
      </c>
      <c r="E390" s="128"/>
      <c r="F390" s="154" t="n">
        <v>45922</v>
      </c>
      <c r="G390" s="154" t="n">
        <v>46286</v>
      </c>
      <c r="H390" s="128" t="s">
        <v>10</v>
      </c>
      <c r="I390" s="131" t="n">
        <v>72000</v>
      </c>
      <c r="J390" s="128"/>
      <c r="K390" s="132"/>
      <c r="L390" s="127" t="n">
        <f aca="false">G390-F390+1</f>
        <v>365</v>
      </c>
      <c r="M390" s="128"/>
      <c r="N390" s="132"/>
      <c r="O390" s="132"/>
      <c r="P390" s="132"/>
      <c r="Q390" s="128"/>
      <c r="R390" s="128"/>
      <c r="S390" s="128"/>
      <c r="T390" s="132"/>
      <c r="U390" s="128"/>
      <c r="V390" s="132"/>
      <c r="W390" s="173"/>
      <c r="X390" s="128"/>
      <c r="Y390" s="132"/>
      <c r="Z390" s="128" t="n">
        <f aca="false">$Z$2-F390+1</f>
        <v>9</v>
      </c>
      <c r="AA390" s="147" t="n">
        <f aca="false">I390/12</f>
        <v>6000</v>
      </c>
      <c r="AB390" s="147" t="n">
        <f aca="false">I390*Z390/L390</f>
        <v>1775.34246575342</v>
      </c>
      <c r="AC390" s="143"/>
      <c r="AD390" s="144"/>
      <c r="AE390" s="144"/>
    </row>
    <row r="391" s="137" customFormat="true" ht="15.75" hidden="false" customHeight="true" outlineLevel="0" collapsed="false">
      <c r="A391" s="127"/>
      <c r="B391" s="162" t="s">
        <v>822</v>
      </c>
      <c r="C391" s="127" t="s">
        <v>296</v>
      </c>
      <c r="D391" s="127" t="s">
        <v>848</v>
      </c>
      <c r="E391" s="128"/>
      <c r="F391" s="148" t="n">
        <v>45931</v>
      </c>
      <c r="G391" s="148" t="n">
        <v>46295</v>
      </c>
      <c r="H391" s="127" t="s">
        <v>10</v>
      </c>
      <c r="I391" s="131" t="n">
        <f aca="false">2950*12</f>
        <v>35400</v>
      </c>
      <c r="J391" s="127"/>
      <c r="K391" s="132"/>
      <c r="L391" s="127" t="n">
        <f aca="false">G391-F391+1</f>
        <v>365</v>
      </c>
      <c r="M391" s="127"/>
      <c r="N391" s="132"/>
      <c r="O391" s="132"/>
      <c r="P391" s="132"/>
      <c r="Q391" s="127"/>
      <c r="R391" s="127"/>
      <c r="S391" s="127"/>
      <c r="T391" s="132"/>
      <c r="U391" s="127"/>
      <c r="V391" s="132"/>
      <c r="W391" s="173"/>
      <c r="X391" s="127"/>
      <c r="Y391" s="132"/>
      <c r="Z391" s="127"/>
      <c r="AA391" s="127"/>
      <c r="AB391" s="127"/>
      <c r="AC391" s="143"/>
      <c r="AD391" s="144"/>
      <c r="AE391" s="144"/>
    </row>
    <row r="392" customFormat="false" ht="15.75" hidden="false" customHeight="true" outlineLevel="0" collapsed="false">
      <c r="A392" s="128"/>
      <c r="B392" s="163" t="n">
        <v>45901</v>
      </c>
      <c r="C392" s="128" t="s">
        <v>849</v>
      </c>
      <c r="D392" s="128" t="s">
        <v>850</v>
      </c>
      <c r="E392" s="128"/>
      <c r="F392" s="154" t="n">
        <v>45918</v>
      </c>
      <c r="G392" s="154" t="n">
        <v>46098</v>
      </c>
      <c r="H392" s="128" t="s">
        <v>29</v>
      </c>
      <c r="I392" s="131" t="n">
        <v>41300</v>
      </c>
      <c r="J392" s="128"/>
      <c r="K392" s="132"/>
      <c r="L392" s="127" t="n">
        <f aca="false">G392-F392+1</f>
        <v>181</v>
      </c>
      <c r="M392" s="128"/>
      <c r="N392" s="132"/>
      <c r="O392" s="132"/>
      <c r="P392" s="132"/>
      <c r="Q392" s="128"/>
      <c r="R392" s="128"/>
      <c r="S392" s="128"/>
      <c r="T392" s="132"/>
      <c r="U392" s="128"/>
      <c r="V392" s="132"/>
      <c r="W392" s="173"/>
      <c r="X392" s="128"/>
      <c r="Y392" s="132"/>
      <c r="Z392" s="128" t="n">
        <f aca="false">$Z$2-F392+1</f>
        <v>13</v>
      </c>
      <c r="AA392" s="147" t="n">
        <f aca="false">I392/6</f>
        <v>6883.33333333333</v>
      </c>
      <c r="AB392" s="147" t="n">
        <f aca="false">Z392*I392/L392</f>
        <v>2966.29834254144</v>
      </c>
      <c r="AC392" s="143"/>
      <c r="AD392" s="144"/>
      <c r="AE392" s="144"/>
    </row>
    <row r="393" customFormat="false" ht="15.75" hidden="false" customHeight="true" outlineLevel="0" collapsed="false">
      <c r="A393" s="128"/>
      <c r="B393" s="163" t="n">
        <v>45901</v>
      </c>
      <c r="C393" s="128" t="s">
        <v>851</v>
      </c>
      <c r="D393" s="128" t="s">
        <v>852</v>
      </c>
      <c r="E393" s="128"/>
      <c r="F393" s="154" t="n">
        <v>45919</v>
      </c>
      <c r="G393" s="154" t="n">
        <v>46283</v>
      </c>
      <c r="H393" s="128" t="s">
        <v>9</v>
      </c>
      <c r="I393" s="131" t="n">
        <v>82600</v>
      </c>
      <c r="J393" s="128"/>
      <c r="K393" s="132"/>
      <c r="L393" s="127" t="n">
        <f aca="false">G393-F393+1</f>
        <v>365</v>
      </c>
      <c r="M393" s="128"/>
      <c r="N393" s="132"/>
      <c r="O393" s="132"/>
      <c r="P393" s="132"/>
      <c r="Q393" s="128"/>
      <c r="R393" s="128"/>
      <c r="S393" s="128"/>
      <c r="T393" s="132"/>
      <c r="U393" s="128"/>
      <c r="V393" s="132"/>
      <c r="W393" s="173"/>
      <c r="X393" s="128"/>
      <c r="Y393" s="132"/>
      <c r="Z393" s="128" t="n">
        <f aca="false">$Z$2-F393+1</f>
        <v>12</v>
      </c>
      <c r="AA393" s="147" t="n">
        <f aca="false">I393/12</f>
        <v>6883.33333333333</v>
      </c>
      <c r="AB393" s="147" t="n">
        <f aca="false">I393*Z393/L393</f>
        <v>2715.61643835616</v>
      </c>
      <c r="AC393" s="143"/>
      <c r="AD393" s="144"/>
      <c r="AE393" s="144"/>
    </row>
    <row r="394" customFormat="false" ht="15.75" hidden="false" customHeight="true" outlineLevel="0" collapsed="false">
      <c r="A394" s="128"/>
      <c r="B394" s="163" t="s">
        <v>822</v>
      </c>
      <c r="C394" s="128" t="s">
        <v>853</v>
      </c>
      <c r="D394" s="128" t="s">
        <v>854</v>
      </c>
      <c r="E394" s="128"/>
      <c r="F394" s="154" t="n">
        <v>45920</v>
      </c>
      <c r="G394" s="154" t="n">
        <v>46284</v>
      </c>
      <c r="H394" s="128" t="s">
        <v>10</v>
      </c>
      <c r="I394" s="131" t="n">
        <v>72000</v>
      </c>
      <c r="J394" s="128"/>
      <c r="K394" s="132"/>
      <c r="L394" s="127" t="n">
        <f aca="false">G394-F394+1</f>
        <v>365</v>
      </c>
      <c r="M394" s="128"/>
      <c r="N394" s="132"/>
      <c r="O394" s="132"/>
      <c r="P394" s="132"/>
      <c r="Q394" s="128"/>
      <c r="R394" s="128"/>
      <c r="S394" s="128"/>
      <c r="T394" s="132"/>
      <c r="U394" s="128"/>
      <c r="V394" s="132"/>
      <c r="W394" s="173"/>
      <c r="X394" s="128"/>
      <c r="Y394" s="132"/>
      <c r="Z394" s="128" t="n">
        <f aca="false">$Z$2-F394+1</f>
        <v>11</v>
      </c>
      <c r="AA394" s="147" t="n">
        <f aca="false">I394/12</f>
        <v>6000</v>
      </c>
      <c r="AB394" s="147" t="n">
        <f aca="false">I394*Z394/L394</f>
        <v>2169.86301369863</v>
      </c>
      <c r="AC394" s="143"/>
      <c r="AD394" s="144"/>
      <c r="AE394" s="144"/>
    </row>
    <row r="395" customFormat="false" ht="15.75" hidden="false" customHeight="true" outlineLevel="0" collapsed="false">
      <c r="A395" s="128"/>
      <c r="B395" s="163" t="n">
        <v>45901</v>
      </c>
      <c r="C395" s="128" t="s">
        <v>855</v>
      </c>
      <c r="D395" s="128" t="s">
        <v>856</v>
      </c>
      <c r="E395" s="128"/>
      <c r="F395" s="154" t="n">
        <v>45937</v>
      </c>
      <c r="G395" s="154" t="n">
        <v>46301</v>
      </c>
      <c r="H395" s="128" t="s">
        <v>9</v>
      </c>
      <c r="I395" s="131" t="n">
        <v>82600</v>
      </c>
      <c r="J395" s="128"/>
      <c r="K395" s="132"/>
      <c r="L395" s="127" t="n">
        <f aca="false">G395-F395+1</f>
        <v>365</v>
      </c>
      <c r="M395" s="128"/>
      <c r="N395" s="132"/>
      <c r="O395" s="132"/>
      <c r="P395" s="132"/>
      <c r="Q395" s="128"/>
      <c r="R395" s="128"/>
      <c r="S395" s="128"/>
      <c r="T395" s="132"/>
      <c r="U395" s="128"/>
      <c r="V395" s="132"/>
      <c r="W395" s="173"/>
      <c r="X395" s="128"/>
      <c r="Y395" s="132"/>
      <c r="Z395" s="128"/>
      <c r="AA395" s="128"/>
      <c r="AB395" s="128"/>
      <c r="AC395" s="143"/>
      <c r="AD395" s="144"/>
      <c r="AE395" s="144"/>
    </row>
    <row r="396" customFormat="false" ht="15.75" hidden="false" customHeight="true" outlineLevel="0" collapsed="false">
      <c r="A396" s="128"/>
      <c r="B396" s="163" t="n">
        <v>45901</v>
      </c>
      <c r="C396" s="128" t="s">
        <v>857</v>
      </c>
      <c r="D396" s="128" t="s">
        <v>858</v>
      </c>
      <c r="E396" s="128"/>
      <c r="F396" s="154" t="n">
        <v>45924</v>
      </c>
      <c r="G396" s="154" t="n">
        <v>45953</v>
      </c>
      <c r="H396" s="128" t="s">
        <v>19</v>
      </c>
      <c r="I396" s="131" t="n">
        <v>10000</v>
      </c>
      <c r="J396" s="128"/>
      <c r="K396" s="132"/>
      <c r="L396" s="127" t="n">
        <f aca="false">G396-F396+1</f>
        <v>30</v>
      </c>
      <c r="M396" s="128"/>
      <c r="N396" s="132"/>
      <c r="O396" s="132"/>
      <c r="P396" s="132"/>
      <c r="Q396" s="128"/>
      <c r="R396" s="128"/>
      <c r="S396" s="128"/>
      <c r="T396" s="132"/>
      <c r="U396" s="128"/>
      <c r="V396" s="132"/>
      <c r="W396" s="173"/>
      <c r="X396" s="128"/>
      <c r="Y396" s="132"/>
      <c r="Z396" s="128" t="n">
        <f aca="false">$Z$2-F396+1</f>
        <v>7</v>
      </c>
      <c r="AA396" s="147" t="n">
        <f aca="false">I396/1</f>
        <v>10000</v>
      </c>
      <c r="AB396" s="147" t="n">
        <f aca="false">I396*Z396/L396</f>
        <v>2333.33333333333</v>
      </c>
      <c r="AC396" s="143"/>
      <c r="AD396" s="136"/>
      <c r="AE396" s="144"/>
    </row>
    <row r="397" customFormat="false" ht="15.75" hidden="false" customHeight="true" outlineLevel="0" collapsed="false">
      <c r="A397" s="128"/>
      <c r="B397" s="163" t="n">
        <v>45901</v>
      </c>
      <c r="C397" s="128" t="s">
        <v>859</v>
      </c>
      <c r="D397" s="128" t="s">
        <v>860</v>
      </c>
      <c r="E397" s="128"/>
      <c r="F397" s="154" t="n">
        <v>45925</v>
      </c>
      <c r="G397" s="154" t="n">
        <v>45954</v>
      </c>
      <c r="H397" s="128" t="s">
        <v>19</v>
      </c>
      <c r="I397" s="131" t="n">
        <v>11800</v>
      </c>
      <c r="J397" s="128"/>
      <c r="K397" s="132"/>
      <c r="L397" s="127" t="n">
        <f aca="false">G397-F397+1</f>
        <v>30</v>
      </c>
      <c r="M397" s="128"/>
      <c r="N397" s="132"/>
      <c r="O397" s="132"/>
      <c r="P397" s="132"/>
      <c r="Q397" s="128"/>
      <c r="R397" s="128"/>
      <c r="S397" s="128"/>
      <c r="T397" s="132"/>
      <c r="U397" s="128"/>
      <c r="V397" s="132"/>
      <c r="W397" s="173"/>
      <c r="X397" s="128"/>
      <c r="Y397" s="132"/>
      <c r="Z397" s="128" t="n">
        <f aca="false">$Z$2-F397+1</f>
        <v>6</v>
      </c>
      <c r="AA397" s="147" t="n">
        <f aca="false">I397/1</f>
        <v>11800</v>
      </c>
      <c r="AB397" s="147" t="n">
        <f aca="false">I397*Z397/L397</f>
        <v>2360</v>
      </c>
      <c r="AC397" s="143"/>
      <c r="AD397" s="136"/>
      <c r="AE397" s="144"/>
    </row>
    <row r="398" s="137" customFormat="true" ht="15.75" hidden="false" customHeight="true" outlineLevel="0" collapsed="false">
      <c r="A398" s="127"/>
      <c r="B398" s="162" t="n">
        <v>45901</v>
      </c>
      <c r="C398" s="127" t="s">
        <v>575</v>
      </c>
      <c r="D398" s="127" t="s">
        <v>861</v>
      </c>
      <c r="E398" s="128"/>
      <c r="F398" s="148" t="n">
        <v>45927</v>
      </c>
      <c r="G398" s="148" t="n">
        <v>45956</v>
      </c>
      <c r="H398" s="127" t="s">
        <v>19</v>
      </c>
      <c r="I398" s="131" t="n">
        <v>21240</v>
      </c>
      <c r="J398" s="127"/>
      <c r="K398" s="132"/>
      <c r="L398" s="127" t="n">
        <f aca="false">G398-F398+1</f>
        <v>30</v>
      </c>
      <c r="M398" s="127"/>
      <c r="N398" s="132"/>
      <c r="O398" s="132"/>
      <c r="P398" s="132"/>
      <c r="Q398" s="127"/>
      <c r="R398" s="127"/>
      <c r="S398" s="127"/>
      <c r="T398" s="132"/>
      <c r="U398" s="127"/>
      <c r="V398" s="132"/>
      <c r="W398" s="173"/>
      <c r="X398" s="127"/>
      <c r="Y398" s="132"/>
      <c r="Z398" s="127" t="n">
        <f aca="false">$Z$2-F398+1</f>
        <v>4</v>
      </c>
      <c r="AA398" s="134" t="n">
        <f aca="false">I398/1</f>
        <v>21240</v>
      </c>
      <c r="AB398" s="134" t="n">
        <f aca="false">I398*Z398/L398</f>
        <v>2832</v>
      </c>
      <c r="AC398" s="143"/>
      <c r="AD398" s="136"/>
      <c r="AE398" s="144"/>
    </row>
    <row r="399" customFormat="false" ht="15.75" hidden="false" customHeight="true" outlineLevel="0" collapsed="false">
      <c r="A399" s="128"/>
      <c r="B399" s="163" t="n">
        <v>45901</v>
      </c>
      <c r="C399" s="128" t="s">
        <v>862</v>
      </c>
      <c r="D399" s="128" t="s">
        <v>863</v>
      </c>
      <c r="E399" s="128"/>
      <c r="F399" s="154" t="n">
        <v>45925</v>
      </c>
      <c r="G399" s="154" t="n">
        <v>46105</v>
      </c>
      <c r="H399" s="128" t="s">
        <v>29</v>
      </c>
      <c r="I399" s="131" t="n">
        <v>47200</v>
      </c>
      <c r="J399" s="128"/>
      <c r="K399" s="132"/>
      <c r="L399" s="127" t="n">
        <f aca="false">G399-F399+1</f>
        <v>181</v>
      </c>
      <c r="M399" s="128"/>
      <c r="N399" s="132"/>
      <c r="O399" s="132"/>
      <c r="P399" s="132"/>
      <c r="Q399" s="128"/>
      <c r="R399" s="128"/>
      <c r="S399" s="128"/>
      <c r="T399" s="132"/>
      <c r="U399" s="128"/>
      <c r="V399" s="132"/>
      <c r="W399" s="173"/>
      <c r="X399" s="128"/>
      <c r="Y399" s="132"/>
      <c r="Z399" s="128" t="n">
        <f aca="false">$Z$2-F399+1</f>
        <v>6</v>
      </c>
      <c r="AA399" s="147" t="n">
        <f aca="false">I399/6</f>
        <v>7866.66666666667</v>
      </c>
      <c r="AB399" s="147" t="n">
        <f aca="false">Z399*I399/L399</f>
        <v>1564.6408839779</v>
      </c>
      <c r="AC399" s="143"/>
      <c r="AD399" s="144"/>
      <c r="AE399" s="144"/>
    </row>
    <row r="400" s="137" customFormat="true" ht="15.75" hidden="false" customHeight="true" outlineLevel="0" collapsed="false">
      <c r="A400" s="127"/>
      <c r="B400" s="162" t="s">
        <v>864</v>
      </c>
      <c r="C400" s="127" t="s">
        <v>865</v>
      </c>
      <c r="D400" s="127" t="s">
        <v>866</v>
      </c>
      <c r="E400" s="128"/>
      <c r="F400" s="148" t="n">
        <v>45931</v>
      </c>
      <c r="G400" s="148" t="n">
        <v>46295</v>
      </c>
      <c r="H400" s="127" t="s">
        <v>10</v>
      </c>
      <c r="I400" s="131" t="n">
        <v>96000</v>
      </c>
      <c r="J400" s="127"/>
      <c r="K400" s="132"/>
      <c r="L400" s="127" t="n">
        <f aca="false">G400-F400+1</f>
        <v>365</v>
      </c>
      <c r="M400" s="127"/>
      <c r="N400" s="132"/>
      <c r="O400" s="132"/>
      <c r="P400" s="132"/>
      <c r="Q400" s="127"/>
      <c r="R400" s="127"/>
      <c r="S400" s="127"/>
      <c r="T400" s="132"/>
      <c r="U400" s="127"/>
      <c r="V400" s="132"/>
      <c r="W400" s="173"/>
      <c r="X400" s="127"/>
      <c r="Y400" s="132"/>
      <c r="Z400" s="127"/>
      <c r="AA400" s="127"/>
      <c r="AB400" s="127"/>
      <c r="AC400" s="143"/>
      <c r="AD400" s="144"/>
      <c r="AE400" s="144"/>
    </row>
    <row r="401" s="137" customFormat="true" ht="15.75" hidden="false" customHeight="true" outlineLevel="0" collapsed="false">
      <c r="A401" s="127"/>
      <c r="B401" s="162" t="n">
        <v>45901</v>
      </c>
      <c r="C401" s="127" t="s">
        <v>867</v>
      </c>
      <c r="D401" s="127" t="s">
        <v>868</v>
      </c>
      <c r="E401" s="128"/>
      <c r="F401" s="148" t="n">
        <v>45925</v>
      </c>
      <c r="G401" s="148" t="n">
        <v>45954</v>
      </c>
      <c r="H401" s="127" t="s">
        <v>19</v>
      </c>
      <c r="I401" s="131" t="n">
        <v>11800</v>
      </c>
      <c r="J401" s="127"/>
      <c r="K401" s="132"/>
      <c r="L401" s="127" t="n">
        <f aca="false">G401-F401+1</f>
        <v>30</v>
      </c>
      <c r="M401" s="127"/>
      <c r="N401" s="132"/>
      <c r="O401" s="132"/>
      <c r="P401" s="132"/>
      <c r="Q401" s="127"/>
      <c r="R401" s="127"/>
      <c r="S401" s="127"/>
      <c r="T401" s="132"/>
      <c r="U401" s="127"/>
      <c r="V401" s="132"/>
      <c r="W401" s="173"/>
      <c r="X401" s="127"/>
      <c r="Y401" s="132"/>
      <c r="Z401" s="127" t="n">
        <f aca="false">$Z$2-F401+1</f>
        <v>6</v>
      </c>
      <c r="AA401" s="134" t="n">
        <f aca="false">I401/1</f>
        <v>11800</v>
      </c>
      <c r="AB401" s="134" t="n">
        <f aca="false">I401*Z401/L401</f>
        <v>2360</v>
      </c>
      <c r="AC401" s="143"/>
      <c r="AD401" s="136"/>
      <c r="AE401" s="144"/>
    </row>
    <row r="402" s="137" customFormat="true" ht="15.75" hidden="false" customHeight="true" outlineLevel="0" collapsed="false">
      <c r="A402" s="127"/>
      <c r="B402" s="162" t="n">
        <v>45901</v>
      </c>
      <c r="C402" s="127" t="s">
        <v>869</v>
      </c>
      <c r="D402" s="127" t="s">
        <v>870</v>
      </c>
      <c r="E402" s="128"/>
      <c r="F402" s="148" t="n">
        <v>45923</v>
      </c>
      <c r="G402" s="148" t="n">
        <v>45952</v>
      </c>
      <c r="H402" s="127" t="s">
        <v>19</v>
      </c>
      <c r="I402" s="131" t="n">
        <v>11086.47</v>
      </c>
      <c r="J402" s="127"/>
      <c r="K402" s="132"/>
      <c r="L402" s="127" t="n">
        <f aca="false">G402-F402+1</f>
        <v>30</v>
      </c>
      <c r="M402" s="127"/>
      <c r="N402" s="132"/>
      <c r="O402" s="132"/>
      <c r="P402" s="132"/>
      <c r="Q402" s="127"/>
      <c r="R402" s="127"/>
      <c r="S402" s="127"/>
      <c r="T402" s="132"/>
      <c r="U402" s="127"/>
      <c r="V402" s="132"/>
      <c r="W402" s="173"/>
      <c r="X402" s="127"/>
      <c r="Y402" s="132"/>
      <c r="Z402" s="127" t="n">
        <f aca="false">$Z$2-F402+1</f>
        <v>8</v>
      </c>
      <c r="AA402" s="134" t="n">
        <f aca="false">I402/1</f>
        <v>11086.47</v>
      </c>
      <c r="AB402" s="134" t="n">
        <f aca="false">I402*Z402/L402</f>
        <v>2956.392</v>
      </c>
      <c r="AC402" s="143"/>
      <c r="AD402" s="136"/>
      <c r="AE402" s="144"/>
    </row>
    <row r="403" customFormat="false" ht="15.75" hidden="false" customHeight="true" outlineLevel="0" collapsed="false">
      <c r="A403" s="128"/>
      <c r="B403" s="163" t="n">
        <v>45901</v>
      </c>
      <c r="C403" s="128" t="s">
        <v>871</v>
      </c>
      <c r="D403" s="128" t="s">
        <v>872</v>
      </c>
      <c r="E403" s="128"/>
      <c r="F403" s="154" t="n">
        <v>45926</v>
      </c>
      <c r="G403" s="154" t="n">
        <v>46290</v>
      </c>
      <c r="H403" s="145" t="s">
        <v>7</v>
      </c>
      <c r="I403" s="131" t="n">
        <v>94400</v>
      </c>
      <c r="J403" s="128"/>
      <c r="K403" s="132"/>
      <c r="L403" s="127" t="n">
        <f aca="false">G403-F403+1</f>
        <v>365</v>
      </c>
      <c r="M403" s="128"/>
      <c r="N403" s="132"/>
      <c r="O403" s="132"/>
      <c r="P403" s="132"/>
      <c r="Q403" s="128"/>
      <c r="R403" s="128"/>
      <c r="S403" s="128"/>
      <c r="T403" s="132"/>
      <c r="U403" s="128"/>
      <c r="V403" s="132"/>
      <c r="W403" s="173"/>
      <c r="X403" s="128"/>
      <c r="Y403" s="132"/>
      <c r="Z403" s="128" t="n">
        <f aca="false">$Z$2-F403+1</f>
        <v>5</v>
      </c>
      <c r="AA403" s="147" t="n">
        <f aca="false">I403/12</f>
        <v>7866.66666666667</v>
      </c>
      <c r="AB403" s="147" t="n">
        <f aca="false">I403*Z403/L403</f>
        <v>1293.15068493151</v>
      </c>
      <c r="AC403" s="143"/>
      <c r="AD403" s="144"/>
      <c r="AE403" s="144"/>
    </row>
    <row r="404" customFormat="false" ht="15.75" hidden="false" customHeight="true" outlineLevel="0" collapsed="false">
      <c r="A404" s="128"/>
      <c r="B404" s="163" t="n">
        <v>45901</v>
      </c>
      <c r="C404" s="128" t="s">
        <v>873</v>
      </c>
      <c r="D404" s="128" t="s">
        <v>874</v>
      </c>
      <c r="E404" s="128"/>
      <c r="F404" s="154" t="n">
        <v>45926</v>
      </c>
      <c r="G404" s="154" t="n">
        <v>46290</v>
      </c>
      <c r="H404" s="128" t="s">
        <v>9</v>
      </c>
      <c r="I404" s="131" t="n">
        <v>70000</v>
      </c>
      <c r="J404" s="128"/>
      <c r="K404" s="132"/>
      <c r="L404" s="127" t="n">
        <f aca="false">G404-F404+1</f>
        <v>365</v>
      </c>
      <c r="M404" s="128"/>
      <c r="N404" s="132"/>
      <c r="O404" s="132"/>
      <c r="P404" s="132"/>
      <c r="Q404" s="128"/>
      <c r="R404" s="128"/>
      <c r="S404" s="128"/>
      <c r="T404" s="132"/>
      <c r="U404" s="128"/>
      <c r="V404" s="132"/>
      <c r="W404" s="173"/>
      <c r="X404" s="128"/>
      <c r="Y404" s="132"/>
      <c r="Z404" s="128" t="n">
        <f aca="false">$Z$2-F404+1</f>
        <v>5</v>
      </c>
      <c r="AA404" s="147" t="n">
        <f aca="false">I404/12</f>
        <v>5833.33333333333</v>
      </c>
      <c r="AB404" s="147" t="n">
        <f aca="false">I404*Z404/L404</f>
        <v>958.904109589041</v>
      </c>
      <c r="AC404" s="143"/>
      <c r="AD404" s="144"/>
      <c r="AE404" s="144"/>
    </row>
    <row r="405" customFormat="false" ht="15.75" hidden="false" customHeight="true" outlineLevel="0" collapsed="false">
      <c r="A405" s="128"/>
      <c r="B405" s="163" t="n">
        <v>45901</v>
      </c>
      <c r="C405" s="128" t="s">
        <v>875</v>
      </c>
      <c r="D405" s="128" t="s">
        <v>876</v>
      </c>
      <c r="E405" s="128"/>
      <c r="F405" s="154" t="n">
        <v>45926</v>
      </c>
      <c r="G405" s="154" t="n">
        <v>45955</v>
      </c>
      <c r="H405" s="128" t="s">
        <v>19</v>
      </c>
      <c r="I405" s="131" t="n">
        <v>19116</v>
      </c>
      <c r="J405" s="128"/>
      <c r="K405" s="132"/>
      <c r="L405" s="127" t="n">
        <f aca="false">G405-F405+1</f>
        <v>30</v>
      </c>
      <c r="M405" s="128"/>
      <c r="N405" s="132"/>
      <c r="O405" s="132"/>
      <c r="P405" s="132"/>
      <c r="Q405" s="128"/>
      <c r="R405" s="128"/>
      <c r="S405" s="128"/>
      <c r="T405" s="132"/>
      <c r="U405" s="128"/>
      <c r="V405" s="132"/>
      <c r="W405" s="173"/>
      <c r="X405" s="128"/>
      <c r="Y405" s="132"/>
      <c r="Z405" s="128" t="n">
        <f aca="false">$Z$2-F405+1</f>
        <v>5</v>
      </c>
      <c r="AA405" s="147" t="n">
        <f aca="false">I405/1</f>
        <v>19116</v>
      </c>
      <c r="AB405" s="147" t="n">
        <f aca="false">I405*Z405/L405</f>
        <v>3186</v>
      </c>
      <c r="AC405" s="143"/>
      <c r="AD405" s="136"/>
      <c r="AE405" s="144"/>
    </row>
    <row r="406" customFormat="false" ht="15.75" hidden="false" customHeight="true" outlineLevel="0" collapsed="false">
      <c r="A406" s="128"/>
      <c r="B406" s="163" t="n">
        <v>45901</v>
      </c>
      <c r="C406" s="128" t="s">
        <v>877</v>
      </c>
      <c r="D406" s="128" t="s">
        <v>878</v>
      </c>
      <c r="E406" s="128"/>
      <c r="F406" s="154" t="n">
        <v>45929</v>
      </c>
      <c r="G406" s="154" t="n">
        <v>46293</v>
      </c>
      <c r="H406" s="128" t="s">
        <v>9</v>
      </c>
      <c r="I406" s="131" t="n">
        <v>80000</v>
      </c>
      <c r="J406" s="128"/>
      <c r="K406" s="132"/>
      <c r="L406" s="127" t="n">
        <f aca="false">G406-F406+1</f>
        <v>365</v>
      </c>
      <c r="M406" s="128"/>
      <c r="N406" s="132"/>
      <c r="O406" s="132"/>
      <c r="P406" s="132"/>
      <c r="Q406" s="128"/>
      <c r="R406" s="128"/>
      <c r="S406" s="128"/>
      <c r="T406" s="132"/>
      <c r="U406" s="128"/>
      <c r="V406" s="132"/>
      <c r="W406" s="173"/>
      <c r="X406" s="128"/>
      <c r="Y406" s="132"/>
      <c r="Z406" s="128" t="n">
        <f aca="false">$Z$2-F406+1</f>
        <v>2</v>
      </c>
      <c r="AA406" s="147" t="n">
        <f aca="false">I406/12</f>
        <v>6666.66666666667</v>
      </c>
      <c r="AB406" s="147" t="n">
        <f aca="false">I406*Z406/L406</f>
        <v>438.356164383562</v>
      </c>
      <c r="AC406" s="143"/>
      <c r="AD406" s="144"/>
      <c r="AE406" s="144"/>
    </row>
    <row r="407" customFormat="false" ht="15.75" hidden="false" customHeight="true" outlineLevel="0" collapsed="false">
      <c r="A407" s="128"/>
      <c r="B407" s="163" t="n">
        <v>45901</v>
      </c>
      <c r="C407" s="159" t="s">
        <v>879</v>
      </c>
      <c r="D407" s="128" t="s">
        <v>880</v>
      </c>
      <c r="E407" s="128"/>
      <c r="F407" s="154" t="n">
        <v>45929</v>
      </c>
      <c r="G407" s="154" t="n">
        <v>46293</v>
      </c>
      <c r="H407" s="128" t="s">
        <v>9</v>
      </c>
      <c r="I407" s="131" t="n">
        <v>200000</v>
      </c>
      <c r="J407" s="128"/>
      <c r="K407" s="132"/>
      <c r="L407" s="127" t="n">
        <f aca="false">G407-F407+1</f>
        <v>365</v>
      </c>
      <c r="M407" s="128"/>
      <c r="N407" s="132"/>
      <c r="O407" s="132"/>
      <c r="P407" s="132"/>
      <c r="Q407" s="128"/>
      <c r="R407" s="128"/>
      <c r="S407" s="128"/>
      <c r="T407" s="132"/>
      <c r="U407" s="128"/>
      <c r="V407" s="132"/>
      <c r="W407" s="173"/>
      <c r="X407" s="128"/>
      <c r="Y407" s="132"/>
      <c r="Z407" s="128" t="n">
        <f aca="false">$Z$2-F407+1</f>
        <v>2</v>
      </c>
      <c r="AA407" s="147" t="n">
        <f aca="false">I407/12</f>
        <v>16666.6666666667</v>
      </c>
      <c r="AB407" s="147" t="n">
        <f aca="false">I407*Z407/L407</f>
        <v>1095.8904109589</v>
      </c>
      <c r="AC407" s="143"/>
      <c r="AD407" s="144"/>
      <c r="AE407" s="144"/>
    </row>
    <row r="408" s="137" customFormat="true" ht="15.75" hidden="false" customHeight="true" outlineLevel="0" collapsed="false">
      <c r="A408" s="127"/>
      <c r="B408" s="162" t="s">
        <v>881</v>
      </c>
      <c r="C408" s="127" t="s">
        <v>882</v>
      </c>
      <c r="D408" s="127" t="s">
        <v>883</v>
      </c>
      <c r="E408" s="128"/>
      <c r="F408" s="148" t="n">
        <v>45929</v>
      </c>
      <c r="G408" s="148" t="n">
        <v>46323</v>
      </c>
      <c r="H408" s="127" t="s">
        <v>16</v>
      </c>
      <c r="I408" s="131" t="n">
        <f aca="false">99120-99120</f>
        <v>0</v>
      </c>
      <c r="J408" s="127"/>
      <c r="K408" s="132"/>
      <c r="L408" s="127" t="n">
        <f aca="false">G408-F408+1</f>
        <v>395</v>
      </c>
      <c r="M408" s="127"/>
      <c r="N408" s="132"/>
      <c r="O408" s="132"/>
      <c r="P408" s="132"/>
      <c r="Q408" s="127"/>
      <c r="R408" s="127"/>
      <c r="S408" s="127"/>
      <c r="T408" s="132"/>
      <c r="U408" s="127"/>
      <c r="V408" s="132"/>
      <c r="W408" s="173"/>
      <c r="X408" s="127"/>
      <c r="Y408" s="132"/>
      <c r="Z408" s="127" t="n">
        <f aca="false">$Z$2-F408+1</f>
        <v>2</v>
      </c>
      <c r="AA408" s="134" t="n">
        <f aca="false">I408/13</f>
        <v>0</v>
      </c>
      <c r="AB408" s="134" t="n">
        <f aca="false">Z408*I408/L408</f>
        <v>0</v>
      </c>
      <c r="AC408" s="143"/>
      <c r="AD408" s="144"/>
      <c r="AE408" s="144"/>
    </row>
    <row r="409" customFormat="false" ht="15.75" hidden="false" customHeight="true" outlineLevel="0" collapsed="false">
      <c r="A409" s="128"/>
      <c r="B409" s="163" t="n">
        <v>45901</v>
      </c>
      <c r="C409" s="128" t="s">
        <v>884</v>
      </c>
      <c r="D409" s="128" t="s">
        <v>885</v>
      </c>
      <c r="E409" s="128"/>
      <c r="F409" s="154" t="n">
        <v>45931</v>
      </c>
      <c r="G409" s="154" t="n">
        <v>46295</v>
      </c>
      <c r="H409" s="128" t="s">
        <v>9</v>
      </c>
      <c r="I409" s="131" t="n">
        <v>50000</v>
      </c>
      <c r="J409" s="128"/>
      <c r="K409" s="132"/>
      <c r="L409" s="127" t="n">
        <f aca="false">G409-F409+1</f>
        <v>365</v>
      </c>
      <c r="M409" s="128"/>
      <c r="N409" s="132"/>
      <c r="O409" s="132"/>
      <c r="P409" s="132"/>
      <c r="Q409" s="128"/>
      <c r="R409" s="128"/>
      <c r="S409" s="128"/>
      <c r="T409" s="132"/>
      <c r="U409" s="128"/>
      <c r="V409" s="132"/>
      <c r="W409" s="173"/>
      <c r="X409" s="128"/>
      <c r="Y409" s="132"/>
      <c r="Z409" s="128"/>
      <c r="AA409" s="128"/>
      <c r="AB409" s="128"/>
      <c r="AC409" s="143"/>
      <c r="AD409" s="144"/>
      <c r="AE409" s="144"/>
    </row>
    <row r="410" s="137" customFormat="true" ht="15.75" hidden="false" customHeight="true" outlineLevel="0" collapsed="false">
      <c r="A410" s="127"/>
      <c r="B410" s="162" t="n">
        <v>45901</v>
      </c>
      <c r="C410" s="127" t="s">
        <v>624</v>
      </c>
      <c r="D410" s="127" t="s">
        <v>886</v>
      </c>
      <c r="E410" s="128"/>
      <c r="F410" s="148" t="n">
        <v>45929</v>
      </c>
      <c r="G410" s="148" t="n">
        <v>46293</v>
      </c>
      <c r="H410" s="164" t="s">
        <v>8</v>
      </c>
      <c r="I410" s="131" t="n">
        <v>297360</v>
      </c>
      <c r="J410" s="127"/>
      <c r="K410" s="132"/>
      <c r="L410" s="127" t="n">
        <f aca="false">G410-F410+1</f>
        <v>365</v>
      </c>
      <c r="M410" s="127"/>
      <c r="N410" s="132"/>
      <c r="O410" s="132"/>
      <c r="P410" s="132"/>
      <c r="Q410" s="127"/>
      <c r="R410" s="127"/>
      <c r="S410" s="127"/>
      <c r="T410" s="132"/>
      <c r="U410" s="127"/>
      <c r="V410" s="132"/>
      <c r="W410" s="173"/>
      <c r="X410" s="127"/>
      <c r="Y410" s="132"/>
      <c r="Z410" s="127" t="n">
        <f aca="false">$Z$2-F410+1</f>
        <v>2</v>
      </c>
      <c r="AA410" s="134" t="n">
        <f aca="false">I410/12</f>
        <v>24780</v>
      </c>
      <c r="AB410" s="134" t="n">
        <f aca="false">I410*Z410/L410</f>
        <v>1629.3698630137</v>
      </c>
      <c r="AC410" s="143"/>
      <c r="AD410" s="144"/>
      <c r="AE410" s="144"/>
    </row>
    <row r="411" customFormat="false" ht="15.75" hidden="false" customHeight="true" outlineLevel="0" collapsed="false">
      <c r="A411" s="128"/>
      <c r="B411" s="163" t="n">
        <v>45901</v>
      </c>
      <c r="C411" s="128" t="s">
        <v>887</v>
      </c>
      <c r="D411" s="128" t="s">
        <v>888</v>
      </c>
      <c r="E411" s="128"/>
      <c r="F411" s="154" t="n">
        <v>45931</v>
      </c>
      <c r="G411" s="154" t="n">
        <v>46295</v>
      </c>
      <c r="H411" s="128" t="s">
        <v>9</v>
      </c>
      <c r="I411" s="131" t="n">
        <v>130000.02</v>
      </c>
      <c r="J411" s="128"/>
      <c r="K411" s="132"/>
      <c r="L411" s="127" t="n">
        <f aca="false">G411-F411+1</f>
        <v>365</v>
      </c>
      <c r="M411" s="128"/>
      <c r="N411" s="132"/>
      <c r="O411" s="132"/>
      <c r="P411" s="132"/>
      <c r="Q411" s="128"/>
      <c r="R411" s="128"/>
      <c r="S411" s="128"/>
      <c r="T411" s="132"/>
      <c r="U411" s="128"/>
      <c r="V411" s="132"/>
      <c r="W411" s="173"/>
      <c r="X411" s="128"/>
      <c r="Y411" s="132"/>
      <c r="Z411" s="128"/>
      <c r="AA411" s="128"/>
      <c r="AB411" s="128"/>
      <c r="AC411" s="143"/>
      <c r="AD411" s="144"/>
      <c r="AE411" s="144"/>
    </row>
    <row r="412" s="137" customFormat="true" ht="15.75" hidden="false" customHeight="true" outlineLevel="0" collapsed="false">
      <c r="A412" s="127"/>
      <c r="B412" s="162" t="n">
        <v>45901</v>
      </c>
      <c r="C412" s="127" t="s">
        <v>286</v>
      </c>
      <c r="D412" s="127" t="s">
        <v>889</v>
      </c>
      <c r="E412" s="128"/>
      <c r="F412" s="148" t="n">
        <v>45859</v>
      </c>
      <c r="G412" s="148" t="n">
        <v>46223</v>
      </c>
      <c r="H412" s="127" t="s">
        <v>9</v>
      </c>
      <c r="I412" s="131" t="n">
        <v>4720</v>
      </c>
      <c r="J412" s="127"/>
      <c r="K412" s="132"/>
      <c r="L412" s="127" t="n">
        <f aca="false">G412-F412+1</f>
        <v>365</v>
      </c>
      <c r="M412" s="127"/>
      <c r="N412" s="132"/>
      <c r="O412" s="132"/>
      <c r="P412" s="132"/>
      <c r="Q412" s="127"/>
      <c r="R412" s="127"/>
      <c r="S412" s="127"/>
      <c r="T412" s="132" t="n">
        <f aca="false">I412/12</f>
        <v>393.333333333333</v>
      </c>
      <c r="U412" s="127" t="n">
        <f aca="false">$U$2-F412</f>
        <v>10</v>
      </c>
      <c r="V412" s="131" t="n">
        <f aca="false">I412*U412/L412</f>
        <v>129.315068493151</v>
      </c>
      <c r="W412" s="132" t="n">
        <f aca="false">IF(F412&lt;$W$2,31,$W$2-H412)</f>
        <v>31</v>
      </c>
      <c r="X412" s="134" t="n">
        <f aca="false">I412/12</f>
        <v>393.333333333333</v>
      </c>
      <c r="Y412" s="132" t="n">
        <f aca="false">W412*I412/L412</f>
        <v>400.876712328767</v>
      </c>
      <c r="Z412" s="135" t="n">
        <f aca="false">IF(F412&lt;$Z$2,30,$Z$2-I412)</f>
        <v>30</v>
      </c>
      <c r="AA412" s="134" t="n">
        <f aca="false">I412/12</f>
        <v>393.333333333333</v>
      </c>
      <c r="AB412" s="134" t="n">
        <f aca="false">I412*Z412/L412</f>
        <v>387.945205479452</v>
      </c>
      <c r="AC412" s="143"/>
      <c r="AD412" s="144"/>
      <c r="AE412" s="144"/>
    </row>
    <row r="413" s="137" customFormat="true" ht="15.75" hidden="false" customHeight="true" outlineLevel="0" collapsed="false">
      <c r="A413" s="127"/>
      <c r="B413" s="162"/>
      <c r="C413" s="127"/>
      <c r="D413" s="127"/>
      <c r="E413" s="128"/>
      <c r="F413" s="148"/>
      <c r="G413" s="148"/>
      <c r="H413" s="134"/>
      <c r="I413" s="131"/>
      <c r="J413" s="127"/>
      <c r="K413" s="132"/>
      <c r="L413" s="127"/>
      <c r="M413" s="127"/>
      <c r="N413" s="132"/>
      <c r="O413" s="132"/>
      <c r="P413" s="132"/>
      <c r="Q413" s="127"/>
      <c r="R413" s="127"/>
      <c r="S413" s="127"/>
      <c r="T413" s="132"/>
      <c r="U413" s="127"/>
      <c r="V413" s="131"/>
      <c r="W413" s="132"/>
      <c r="X413" s="134"/>
      <c r="Y413" s="132"/>
      <c r="Z413" s="127"/>
      <c r="AA413" s="127"/>
      <c r="AB413" s="127"/>
      <c r="AC413" s="136"/>
      <c r="AD413" s="136"/>
      <c r="AE413" s="136"/>
    </row>
    <row r="414" customFormat="false" ht="15.75" hidden="false" customHeight="true" outlineLevel="0" collapsed="false">
      <c r="A414" s="128"/>
      <c r="B414" s="163"/>
      <c r="C414" s="128"/>
      <c r="D414" s="128"/>
      <c r="E414" s="128"/>
      <c r="F414" s="154"/>
      <c r="G414" s="154"/>
      <c r="H414" s="128"/>
      <c r="I414" s="131"/>
      <c r="J414" s="128"/>
      <c r="K414" s="132"/>
      <c r="L414" s="127"/>
      <c r="M414" s="128"/>
      <c r="N414" s="132"/>
      <c r="O414" s="132"/>
      <c r="P414" s="132"/>
      <c r="Q414" s="128"/>
      <c r="R414" s="128"/>
      <c r="S414" s="128"/>
      <c r="T414" s="132"/>
      <c r="U414" s="128"/>
      <c r="V414" s="132"/>
      <c r="W414" s="173"/>
      <c r="X414" s="128"/>
      <c r="Y414" s="132"/>
      <c r="Z414" s="128"/>
      <c r="AA414" s="128"/>
      <c r="AB414" s="128"/>
      <c r="AC414" s="143"/>
      <c r="AD414" s="144"/>
      <c r="AE414" s="144"/>
    </row>
    <row r="415" s="137" customFormat="true" ht="15.75" hidden="false" customHeight="true" outlineLevel="0" collapsed="false">
      <c r="A415" s="127"/>
      <c r="B415" s="162"/>
      <c r="C415" s="127"/>
      <c r="D415" s="127"/>
      <c r="E415" s="128"/>
      <c r="F415" s="148"/>
      <c r="G415" s="148"/>
      <c r="H415" s="127"/>
      <c r="I415" s="131"/>
      <c r="J415" s="127"/>
      <c r="K415" s="132"/>
      <c r="L415" s="127"/>
      <c r="M415" s="127"/>
      <c r="N415" s="132"/>
      <c r="O415" s="132"/>
      <c r="P415" s="132"/>
      <c r="Q415" s="127"/>
      <c r="R415" s="127"/>
      <c r="S415" s="127"/>
      <c r="T415" s="132"/>
      <c r="U415" s="127"/>
      <c r="V415" s="132"/>
      <c r="W415" s="173"/>
      <c r="X415" s="127"/>
      <c r="Y415" s="132"/>
      <c r="Z415" s="127"/>
      <c r="AA415" s="127"/>
      <c r="AB415" s="127"/>
      <c r="AC415" s="143"/>
      <c r="AD415" s="144"/>
      <c r="AE415" s="144"/>
    </row>
    <row r="416" customFormat="false" ht="15.75" hidden="false" customHeight="true" outlineLevel="0" collapsed="false">
      <c r="A416" s="128"/>
      <c r="B416" s="163"/>
      <c r="C416" s="128"/>
      <c r="D416" s="128"/>
      <c r="E416" s="128"/>
      <c r="F416" s="154"/>
      <c r="G416" s="154"/>
      <c r="H416" s="128"/>
      <c r="I416" s="131"/>
      <c r="J416" s="128"/>
      <c r="K416" s="132"/>
      <c r="L416" s="127"/>
      <c r="M416" s="128"/>
      <c r="N416" s="132"/>
      <c r="O416" s="132"/>
      <c r="P416" s="132"/>
      <c r="Q416" s="128"/>
      <c r="R416" s="128"/>
      <c r="S416" s="128"/>
      <c r="T416" s="132"/>
      <c r="U416" s="128"/>
      <c r="V416" s="132"/>
      <c r="W416" s="173"/>
      <c r="X416" s="128"/>
      <c r="Y416" s="132"/>
      <c r="Z416" s="128"/>
      <c r="AA416" s="128"/>
      <c r="AB416" s="128"/>
      <c r="AC416" s="143"/>
      <c r="AD416" s="144"/>
      <c r="AE416" s="144"/>
    </row>
    <row r="417" s="137" customFormat="true" ht="15.75" hidden="false" customHeight="true" outlineLevel="0" collapsed="false">
      <c r="A417" s="127"/>
      <c r="B417" s="162"/>
      <c r="C417" s="127"/>
      <c r="D417" s="127"/>
      <c r="E417" s="128"/>
      <c r="F417" s="148"/>
      <c r="G417" s="148"/>
      <c r="H417" s="127"/>
      <c r="I417" s="131"/>
      <c r="J417" s="127"/>
      <c r="K417" s="132"/>
      <c r="L417" s="127"/>
      <c r="M417" s="127"/>
      <c r="N417" s="132"/>
      <c r="O417" s="132"/>
      <c r="P417" s="132"/>
      <c r="Q417" s="127"/>
      <c r="R417" s="127"/>
      <c r="S417" s="127"/>
      <c r="T417" s="132"/>
      <c r="U417" s="127"/>
      <c r="V417" s="132"/>
      <c r="W417" s="173"/>
      <c r="X417" s="127"/>
      <c r="Y417" s="132"/>
      <c r="Z417" s="127"/>
      <c r="AA417" s="127"/>
      <c r="AB417" s="127"/>
      <c r="AC417" s="143"/>
      <c r="AD417" s="144"/>
      <c r="AE417" s="144"/>
    </row>
    <row r="418" customFormat="false" ht="15.75" hidden="false" customHeight="true" outlineLevel="0" collapsed="false">
      <c r="A418" s="128"/>
      <c r="B418" s="163"/>
      <c r="C418" s="128"/>
      <c r="D418" s="128"/>
      <c r="E418" s="128"/>
      <c r="F418" s="154"/>
      <c r="G418" s="154"/>
      <c r="H418" s="128"/>
      <c r="I418" s="131"/>
      <c r="J418" s="128"/>
      <c r="K418" s="132"/>
      <c r="L418" s="127"/>
      <c r="M418" s="128"/>
      <c r="N418" s="132"/>
      <c r="O418" s="132"/>
      <c r="P418" s="132"/>
      <c r="Q418" s="128"/>
      <c r="R418" s="128"/>
      <c r="S418" s="128"/>
      <c r="T418" s="132"/>
      <c r="U418" s="128"/>
      <c r="V418" s="132"/>
      <c r="W418" s="173"/>
      <c r="X418" s="128"/>
      <c r="Y418" s="132"/>
      <c r="Z418" s="128"/>
      <c r="AA418" s="128"/>
      <c r="AB418" s="128"/>
      <c r="AC418" s="143"/>
      <c r="AD418" s="144"/>
      <c r="AE418" s="144"/>
    </row>
    <row r="419" customFormat="false" ht="15.75" hidden="false" customHeight="true" outlineLevel="0" collapsed="false">
      <c r="A419" s="128"/>
      <c r="B419" s="163"/>
      <c r="C419" s="128"/>
      <c r="D419" s="128"/>
      <c r="E419" s="128"/>
      <c r="F419" s="154"/>
      <c r="G419" s="154"/>
      <c r="H419" s="128"/>
      <c r="I419" s="131"/>
      <c r="J419" s="128"/>
      <c r="K419" s="132"/>
      <c r="L419" s="127"/>
      <c r="M419" s="128"/>
      <c r="N419" s="132"/>
      <c r="O419" s="132"/>
      <c r="P419" s="132"/>
      <c r="Q419" s="128"/>
      <c r="R419" s="128"/>
      <c r="S419" s="128"/>
      <c r="T419" s="132"/>
      <c r="U419" s="128"/>
      <c r="V419" s="132"/>
      <c r="W419" s="173"/>
      <c r="X419" s="128"/>
      <c r="Y419" s="132"/>
      <c r="Z419" s="128"/>
      <c r="AA419" s="128"/>
      <c r="AB419" s="128"/>
      <c r="AC419" s="143"/>
      <c r="AD419" s="144"/>
      <c r="AE419" s="144"/>
    </row>
    <row r="420" customFormat="false" ht="15.75" hidden="false" customHeight="true" outlineLevel="0" collapsed="false">
      <c r="A420" s="128"/>
      <c r="B420" s="163"/>
      <c r="C420" s="128"/>
      <c r="D420" s="128"/>
      <c r="E420" s="128"/>
      <c r="F420" s="154"/>
      <c r="G420" s="154"/>
      <c r="H420" s="128"/>
      <c r="I420" s="131"/>
      <c r="J420" s="128"/>
      <c r="K420" s="132"/>
      <c r="L420" s="127"/>
      <c r="M420" s="128"/>
      <c r="N420" s="132"/>
      <c r="O420" s="132"/>
      <c r="P420" s="132"/>
      <c r="Q420" s="128"/>
      <c r="R420" s="128"/>
      <c r="S420" s="128"/>
      <c r="T420" s="132"/>
      <c r="U420" s="128"/>
      <c r="V420" s="132"/>
      <c r="W420" s="173"/>
      <c r="X420" s="128"/>
      <c r="Y420" s="132"/>
      <c r="Z420" s="128"/>
      <c r="AA420" s="128"/>
      <c r="AB420" s="128"/>
      <c r="AC420" s="143"/>
      <c r="AD420" s="144"/>
      <c r="AE420" s="144"/>
    </row>
    <row r="421" s="137" customFormat="true" ht="15.75" hidden="false" customHeight="true" outlineLevel="0" collapsed="false">
      <c r="A421" s="127"/>
      <c r="B421" s="162"/>
      <c r="C421" s="127"/>
      <c r="D421" s="127"/>
      <c r="E421" s="128"/>
      <c r="F421" s="148"/>
      <c r="G421" s="148"/>
      <c r="H421" s="86"/>
      <c r="I421" s="131"/>
      <c r="J421" s="127"/>
      <c r="K421" s="132"/>
      <c r="L421" s="127"/>
      <c r="M421" s="127"/>
      <c r="N421" s="132"/>
      <c r="O421" s="132"/>
      <c r="P421" s="132"/>
      <c r="Q421" s="127"/>
      <c r="R421" s="127"/>
      <c r="S421" s="127"/>
      <c r="T421" s="132"/>
      <c r="U421" s="127"/>
      <c r="V421" s="132"/>
      <c r="W421" s="173"/>
      <c r="X421" s="127"/>
      <c r="Y421" s="132"/>
      <c r="Z421" s="127"/>
      <c r="AA421" s="127"/>
      <c r="AB421" s="127"/>
      <c r="AC421" s="143"/>
      <c r="AD421" s="144"/>
      <c r="AE421" s="144"/>
    </row>
    <row r="422" customFormat="false" ht="15.75" hidden="false" customHeight="true" outlineLevel="0" collapsed="false">
      <c r="A422" s="128"/>
      <c r="B422" s="163"/>
      <c r="C422" s="128"/>
      <c r="D422" s="128"/>
      <c r="E422" s="128"/>
      <c r="F422" s="154"/>
      <c r="G422" s="154"/>
      <c r="H422" s="128"/>
      <c r="I422" s="131"/>
      <c r="J422" s="128"/>
      <c r="K422" s="132"/>
      <c r="L422" s="127"/>
      <c r="M422" s="128"/>
      <c r="N422" s="132"/>
      <c r="O422" s="132"/>
      <c r="P422" s="132"/>
      <c r="Q422" s="128"/>
      <c r="R422" s="128"/>
      <c r="S422" s="128"/>
      <c r="T422" s="132"/>
      <c r="U422" s="128"/>
      <c r="V422" s="132"/>
      <c r="W422" s="173"/>
      <c r="X422" s="128"/>
      <c r="Y422" s="132"/>
      <c r="Z422" s="128"/>
      <c r="AA422" s="128"/>
      <c r="AB422" s="128"/>
      <c r="AC422" s="143"/>
      <c r="AD422" s="144"/>
      <c r="AE422" s="144"/>
    </row>
    <row r="423" customFormat="false" ht="15.75" hidden="false" customHeight="true" outlineLevel="0" collapsed="false">
      <c r="A423" s="128"/>
      <c r="B423" s="163"/>
      <c r="C423" s="128"/>
      <c r="D423" s="128"/>
      <c r="E423" s="128"/>
      <c r="F423" s="154"/>
      <c r="G423" s="154"/>
      <c r="H423" s="128"/>
      <c r="I423" s="131"/>
      <c r="J423" s="128"/>
      <c r="K423" s="132"/>
      <c r="L423" s="127"/>
      <c r="M423" s="128"/>
      <c r="N423" s="132"/>
      <c r="O423" s="132"/>
      <c r="P423" s="132"/>
      <c r="Q423" s="128"/>
      <c r="R423" s="128"/>
      <c r="S423" s="128"/>
      <c r="T423" s="132"/>
      <c r="U423" s="128"/>
      <c r="V423" s="132"/>
      <c r="W423" s="173"/>
      <c r="X423" s="128"/>
      <c r="Y423" s="132"/>
      <c r="Z423" s="128"/>
      <c r="AA423" s="128"/>
      <c r="AB423" s="128"/>
      <c r="AC423" s="143"/>
      <c r="AD423" s="144"/>
      <c r="AE423" s="144"/>
    </row>
    <row r="424" customFormat="false" ht="15.75" hidden="false" customHeight="true" outlineLevel="0" collapsed="false">
      <c r="A424" s="128"/>
      <c r="B424" s="163"/>
      <c r="C424" s="128"/>
      <c r="D424" s="128"/>
      <c r="E424" s="128"/>
      <c r="F424" s="154"/>
      <c r="G424" s="154"/>
      <c r="H424" s="128"/>
      <c r="I424" s="131"/>
      <c r="J424" s="128"/>
      <c r="K424" s="132"/>
      <c r="L424" s="127"/>
      <c r="M424" s="128"/>
      <c r="N424" s="132"/>
      <c r="O424" s="132"/>
      <c r="P424" s="132"/>
      <c r="Q424" s="128"/>
      <c r="R424" s="128"/>
      <c r="S424" s="128"/>
      <c r="T424" s="132"/>
      <c r="U424" s="128"/>
      <c r="V424" s="132"/>
      <c r="W424" s="173"/>
      <c r="X424" s="128"/>
      <c r="Y424" s="132"/>
      <c r="Z424" s="128"/>
      <c r="AA424" s="128"/>
      <c r="AB424" s="128"/>
      <c r="AC424" s="143"/>
      <c r="AD424" s="144"/>
      <c r="AE424" s="144"/>
    </row>
    <row r="425" s="137" customFormat="true" ht="15.75" hidden="false" customHeight="true" outlineLevel="0" collapsed="false">
      <c r="A425" s="127"/>
      <c r="B425" s="162"/>
      <c r="C425" s="127"/>
      <c r="D425" s="127"/>
      <c r="E425" s="128"/>
      <c r="F425" s="148"/>
      <c r="G425" s="148"/>
      <c r="H425" s="145"/>
      <c r="I425" s="131"/>
      <c r="J425" s="127"/>
      <c r="K425" s="132"/>
      <c r="L425" s="127"/>
      <c r="M425" s="127"/>
      <c r="N425" s="132"/>
      <c r="O425" s="132"/>
      <c r="P425" s="132"/>
      <c r="Q425" s="127"/>
      <c r="R425" s="127"/>
      <c r="S425" s="127"/>
      <c r="T425" s="132"/>
      <c r="U425" s="127"/>
      <c r="V425" s="132"/>
      <c r="W425" s="173"/>
      <c r="X425" s="127"/>
      <c r="Y425" s="132"/>
      <c r="Z425" s="127"/>
      <c r="AA425" s="127"/>
      <c r="AB425" s="127"/>
      <c r="AC425" s="143"/>
      <c r="AD425" s="144"/>
      <c r="AE425" s="144"/>
    </row>
    <row r="426" s="137" customFormat="true" ht="15.75" hidden="false" customHeight="true" outlineLevel="0" collapsed="false">
      <c r="A426" s="127"/>
      <c r="B426" s="162"/>
      <c r="C426" s="127"/>
      <c r="D426" s="127"/>
      <c r="E426" s="128"/>
      <c r="F426" s="148"/>
      <c r="G426" s="148"/>
      <c r="H426" s="145"/>
      <c r="I426" s="131"/>
      <c r="J426" s="127"/>
      <c r="K426" s="132"/>
      <c r="L426" s="127"/>
      <c r="M426" s="127"/>
      <c r="N426" s="132"/>
      <c r="O426" s="132"/>
      <c r="P426" s="132"/>
      <c r="Q426" s="127"/>
      <c r="R426" s="127"/>
      <c r="S426" s="127"/>
      <c r="T426" s="132"/>
      <c r="U426" s="127"/>
      <c r="V426" s="132"/>
      <c r="W426" s="173"/>
      <c r="X426" s="127"/>
      <c r="Y426" s="132"/>
      <c r="Z426" s="127"/>
      <c r="AA426" s="127"/>
      <c r="AB426" s="127"/>
      <c r="AC426" s="143"/>
      <c r="AD426" s="144"/>
      <c r="AE426" s="144"/>
    </row>
    <row r="427" s="137" customFormat="true" ht="15.75" hidden="false" customHeight="true" outlineLevel="0" collapsed="false">
      <c r="A427" s="127"/>
      <c r="B427" s="162"/>
      <c r="C427" s="127"/>
      <c r="D427" s="127"/>
      <c r="E427" s="128"/>
      <c r="F427" s="148"/>
      <c r="G427" s="148"/>
      <c r="H427" s="127"/>
      <c r="I427" s="131"/>
      <c r="J427" s="127"/>
      <c r="K427" s="132"/>
      <c r="L427" s="127"/>
      <c r="M427" s="127"/>
      <c r="N427" s="132"/>
      <c r="O427" s="132"/>
      <c r="P427" s="132"/>
      <c r="Q427" s="127"/>
      <c r="R427" s="127"/>
      <c r="S427" s="127"/>
      <c r="T427" s="132"/>
      <c r="U427" s="127"/>
      <c r="V427" s="132"/>
      <c r="W427" s="173"/>
      <c r="X427" s="127"/>
      <c r="Y427" s="132"/>
      <c r="Z427" s="127"/>
      <c r="AA427" s="127"/>
      <c r="AB427" s="127"/>
      <c r="AC427" s="143"/>
      <c r="AD427" s="144"/>
      <c r="AE427" s="144"/>
    </row>
    <row r="428" customFormat="false" ht="15.75" hidden="false" customHeight="true" outlineLevel="0" collapsed="false">
      <c r="A428" s="128"/>
      <c r="B428" s="163"/>
      <c r="C428" s="128"/>
      <c r="D428" s="128"/>
      <c r="E428" s="128"/>
      <c r="F428" s="154"/>
      <c r="G428" s="154"/>
      <c r="H428" s="128"/>
      <c r="I428" s="131"/>
      <c r="J428" s="128"/>
      <c r="K428" s="132"/>
      <c r="L428" s="127"/>
      <c r="M428" s="128"/>
      <c r="N428" s="132"/>
      <c r="O428" s="132"/>
      <c r="P428" s="132"/>
      <c r="Q428" s="128"/>
      <c r="R428" s="128"/>
      <c r="S428" s="128"/>
      <c r="T428" s="132"/>
      <c r="U428" s="128"/>
      <c r="V428" s="132"/>
      <c r="W428" s="173"/>
      <c r="X428" s="128"/>
      <c r="Y428" s="132"/>
      <c r="Z428" s="128"/>
      <c r="AA428" s="128"/>
      <c r="AB428" s="128"/>
      <c r="AC428" s="143"/>
      <c r="AD428" s="144"/>
      <c r="AE428" s="144"/>
    </row>
    <row r="429" customFormat="false" ht="15.75" hidden="false" customHeight="true" outlineLevel="0" collapsed="false">
      <c r="A429" s="128"/>
      <c r="B429" s="163"/>
      <c r="C429" s="128"/>
      <c r="D429" s="128"/>
      <c r="E429" s="128"/>
      <c r="F429" s="154"/>
      <c r="G429" s="154"/>
      <c r="H429" s="128"/>
      <c r="I429" s="131"/>
      <c r="J429" s="128"/>
      <c r="K429" s="132"/>
      <c r="L429" s="127"/>
      <c r="M429" s="128"/>
      <c r="N429" s="132"/>
      <c r="O429" s="132"/>
      <c r="P429" s="132"/>
      <c r="Q429" s="128"/>
      <c r="R429" s="128"/>
      <c r="S429" s="128"/>
      <c r="T429" s="132"/>
      <c r="U429" s="128"/>
      <c r="V429" s="132"/>
      <c r="W429" s="173"/>
      <c r="X429" s="128"/>
      <c r="Y429" s="132"/>
      <c r="Z429" s="128"/>
      <c r="AA429" s="128"/>
      <c r="AB429" s="128"/>
      <c r="AC429" s="143"/>
      <c r="AD429" s="144"/>
      <c r="AE429" s="144"/>
    </row>
    <row r="430" customFormat="false" ht="15.75" hidden="false" customHeight="true" outlineLevel="0" collapsed="false">
      <c r="A430" s="128"/>
      <c r="B430" s="163"/>
      <c r="C430" s="128"/>
      <c r="D430" s="128"/>
      <c r="E430" s="128"/>
      <c r="F430" s="154"/>
      <c r="G430" s="154"/>
      <c r="H430" s="128"/>
      <c r="I430" s="131"/>
      <c r="J430" s="128"/>
      <c r="K430" s="132"/>
      <c r="L430" s="127"/>
      <c r="M430" s="128"/>
      <c r="N430" s="132"/>
      <c r="O430" s="132"/>
      <c r="P430" s="132"/>
      <c r="Q430" s="128"/>
      <c r="R430" s="128"/>
      <c r="S430" s="128"/>
      <c r="T430" s="132"/>
      <c r="U430" s="128"/>
      <c r="V430" s="132"/>
      <c r="W430" s="173"/>
      <c r="X430" s="128"/>
      <c r="Y430" s="132"/>
      <c r="Z430" s="128"/>
      <c r="AA430" s="128"/>
      <c r="AB430" s="128"/>
      <c r="AC430" s="143"/>
      <c r="AD430" s="144"/>
      <c r="AE430" s="144"/>
    </row>
    <row r="431" customFormat="false" ht="15.75" hidden="false" customHeight="true" outlineLevel="0" collapsed="false">
      <c r="A431" s="128"/>
      <c r="B431" s="163"/>
      <c r="C431" s="128"/>
      <c r="D431" s="128"/>
      <c r="E431" s="128"/>
      <c r="F431" s="154"/>
      <c r="G431" s="154"/>
      <c r="H431" s="127"/>
      <c r="I431" s="131"/>
      <c r="J431" s="128"/>
      <c r="K431" s="132"/>
      <c r="L431" s="127"/>
      <c r="M431" s="128"/>
      <c r="N431" s="132"/>
      <c r="O431" s="132"/>
      <c r="P431" s="132"/>
      <c r="Q431" s="128"/>
      <c r="R431" s="128"/>
      <c r="S431" s="128"/>
      <c r="T431" s="132"/>
      <c r="U431" s="128"/>
      <c r="V431" s="132"/>
      <c r="W431" s="173"/>
      <c r="X431" s="128"/>
      <c r="Y431" s="132"/>
      <c r="Z431" s="128"/>
      <c r="AA431" s="128"/>
      <c r="AB431" s="128"/>
      <c r="AC431" s="143"/>
      <c r="AD431" s="144"/>
      <c r="AE431" s="144"/>
    </row>
    <row r="432" customFormat="false" ht="15.75" hidden="false" customHeight="true" outlineLevel="0" collapsed="false">
      <c r="A432" s="128"/>
      <c r="B432" s="163"/>
      <c r="C432" s="128"/>
      <c r="D432" s="128"/>
      <c r="E432" s="128"/>
      <c r="F432" s="154"/>
      <c r="G432" s="154"/>
      <c r="H432" s="127"/>
      <c r="I432" s="131"/>
      <c r="J432" s="128"/>
      <c r="K432" s="132"/>
      <c r="L432" s="127"/>
      <c r="M432" s="128"/>
      <c r="N432" s="132"/>
      <c r="O432" s="132"/>
      <c r="P432" s="132"/>
      <c r="Q432" s="128"/>
      <c r="R432" s="128"/>
      <c r="S432" s="128"/>
      <c r="T432" s="132"/>
      <c r="U432" s="128"/>
      <c r="V432" s="132"/>
      <c r="W432" s="173"/>
      <c r="X432" s="128"/>
      <c r="Y432" s="132"/>
      <c r="Z432" s="128"/>
      <c r="AA432" s="128"/>
      <c r="AB432" s="128"/>
      <c r="AC432" s="143"/>
      <c r="AD432" s="144"/>
      <c r="AE432" s="144"/>
    </row>
    <row r="433" customFormat="false" ht="15.75" hidden="false" customHeight="true" outlineLevel="0" collapsed="false">
      <c r="A433" s="128"/>
      <c r="B433" s="163"/>
      <c r="C433" s="128"/>
      <c r="D433" s="128"/>
      <c r="E433" s="128"/>
      <c r="F433" s="154"/>
      <c r="G433" s="154"/>
      <c r="H433" s="128"/>
      <c r="I433" s="131"/>
      <c r="J433" s="128"/>
      <c r="K433" s="132"/>
      <c r="L433" s="127"/>
      <c r="M433" s="128"/>
      <c r="N433" s="132"/>
      <c r="O433" s="132"/>
      <c r="P433" s="132"/>
      <c r="Q433" s="128"/>
      <c r="R433" s="128"/>
      <c r="S433" s="128"/>
      <c r="T433" s="132"/>
      <c r="U433" s="128"/>
      <c r="V433" s="132"/>
      <c r="W433" s="173"/>
      <c r="X433" s="128"/>
      <c r="Y433" s="132"/>
      <c r="Z433" s="128"/>
      <c r="AA433" s="128"/>
      <c r="AB433" s="128"/>
      <c r="AC433" s="143"/>
      <c r="AD433" s="144"/>
      <c r="AE433" s="144"/>
    </row>
    <row r="434" customFormat="false" ht="15.75" hidden="false" customHeight="true" outlineLevel="0" collapsed="false">
      <c r="A434" s="128"/>
      <c r="B434" s="163"/>
      <c r="C434" s="128"/>
      <c r="D434" s="128"/>
      <c r="E434" s="128"/>
      <c r="F434" s="154"/>
      <c r="G434" s="154"/>
      <c r="H434" s="127"/>
      <c r="I434" s="131"/>
      <c r="J434" s="128"/>
      <c r="K434" s="132"/>
      <c r="L434" s="127"/>
      <c r="M434" s="128"/>
      <c r="N434" s="132"/>
      <c r="O434" s="132"/>
      <c r="P434" s="132"/>
      <c r="Q434" s="128"/>
      <c r="R434" s="128"/>
      <c r="S434" s="128"/>
      <c r="T434" s="132"/>
      <c r="U434" s="128"/>
      <c r="V434" s="132"/>
      <c r="W434" s="173"/>
      <c r="X434" s="128"/>
      <c r="Y434" s="132"/>
      <c r="Z434" s="128"/>
      <c r="AA434" s="128"/>
      <c r="AB434" s="128"/>
      <c r="AC434" s="143"/>
      <c r="AD434" s="144"/>
      <c r="AE434" s="144"/>
    </row>
    <row r="435" customFormat="false" ht="15.75" hidden="false" customHeight="true" outlineLevel="0" collapsed="false">
      <c r="A435" s="128"/>
      <c r="B435" s="163"/>
      <c r="C435" s="128"/>
      <c r="D435" s="128"/>
      <c r="E435" s="128"/>
      <c r="F435" s="154"/>
      <c r="G435" s="154"/>
      <c r="H435" s="127"/>
      <c r="I435" s="131"/>
      <c r="J435" s="128"/>
      <c r="K435" s="132"/>
      <c r="L435" s="127"/>
      <c r="M435" s="128"/>
      <c r="N435" s="132"/>
      <c r="O435" s="132"/>
      <c r="P435" s="132"/>
      <c r="Q435" s="128"/>
      <c r="R435" s="128"/>
      <c r="S435" s="128"/>
      <c r="T435" s="132"/>
      <c r="U435" s="128"/>
      <c r="V435" s="132"/>
      <c r="W435" s="173"/>
      <c r="X435" s="128"/>
      <c r="Y435" s="132"/>
      <c r="Z435" s="128"/>
      <c r="AA435" s="128"/>
      <c r="AB435" s="128"/>
      <c r="AC435" s="143"/>
      <c r="AD435" s="144"/>
      <c r="AE435" s="144"/>
    </row>
    <row r="436" customFormat="false" ht="15.75" hidden="false" customHeight="true" outlineLevel="0" collapsed="false">
      <c r="A436" s="128"/>
      <c r="B436" s="163"/>
      <c r="C436" s="128"/>
      <c r="D436" s="128"/>
      <c r="E436" s="128"/>
      <c r="F436" s="154"/>
      <c r="G436" s="154"/>
      <c r="H436" s="128"/>
      <c r="I436" s="131"/>
      <c r="J436" s="128"/>
      <c r="K436" s="132"/>
      <c r="L436" s="127"/>
      <c r="M436" s="128"/>
      <c r="N436" s="132"/>
      <c r="O436" s="132"/>
      <c r="P436" s="132"/>
      <c r="Q436" s="128"/>
      <c r="R436" s="128"/>
      <c r="S436" s="128"/>
      <c r="T436" s="132"/>
      <c r="U436" s="128"/>
      <c r="V436" s="132"/>
      <c r="W436" s="173"/>
      <c r="X436" s="128"/>
      <c r="Y436" s="132"/>
      <c r="Z436" s="128"/>
      <c r="AA436" s="128"/>
      <c r="AB436" s="128"/>
      <c r="AC436" s="143"/>
      <c r="AD436" s="144"/>
      <c r="AE436" s="144"/>
    </row>
    <row r="437" customFormat="false" ht="15.75" hidden="false" customHeight="true" outlineLevel="0" collapsed="false">
      <c r="A437" s="128"/>
      <c r="B437" s="163"/>
      <c r="C437" s="128"/>
      <c r="D437" s="128"/>
      <c r="E437" s="128"/>
      <c r="F437" s="154"/>
      <c r="G437" s="154"/>
      <c r="H437" s="128"/>
      <c r="I437" s="131"/>
      <c r="J437" s="128"/>
      <c r="K437" s="132"/>
      <c r="L437" s="127"/>
      <c r="M437" s="128"/>
      <c r="N437" s="132"/>
      <c r="O437" s="132"/>
      <c r="P437" s="132"/>
      <c r="Q437" s="128"/>
      <c r="R437" s="128"/>
      <c r="S437" s="128"/>
      <c r="T437" s="132"/>
      <c r="U437" s="128"/>
      <c r="V437" s="132"/>
      <c r="W437" s="173"/>
      <c r="X437" s="128"/>
      <c r="Y437" s="132"/>
      <c r="Z437" s="128"/>
      <c r="AA437" s="128"/>
      <c r="AB437" s="128"/>
      <c r="AC437" s="136"/>
      <c r="AD437" s="136"/>
      <c r="AE437" s="136"/>
    </row>
    <row r="438" customFormat="false" ht="15.75" hidden="false" customHeight="true" outlineLevel="0" collapsed="false">
      <c r="A438" s="128"/>
      <c r="B438" s="163"/>
      <c r="C438" s="128"/>
      <c r="D438" s="128"/>
      <c r="E438" s="128"/>
      <c r="F438" s="154"/>
      <c r="G438" s="154"/>
      <c r="H438" s="128"/>
      <c r="I438" s="131"/>
      <c r="J438" s="128"/>
      <c r="K438" s="132"/>
      <c r="L438" s="127"/>
      <c r="M438" s="128"/>
      <c r="N438" s="132"/>
      <c r="O438" s="132"/>
      <c r="P438" s="132"/>
      <c r="Q438" s="128"/>
      <c r="R438" s="128"/>
      <c r="S438" s="128"/>
      <c r="T438" s="132"/>
      <c r="U438" s="128"/>
      <c r="V438" s="132"/>
      <c r="W438" s="173"/>
      <c r="X438" s="128"/>
      <c r="Y438" s="132"/>
      <c r="Z438" s="128"/>
      <c r="AA438" s="128"/>
      <c r="AB438" s="128"/>
      <c r="AC438" s="143"/>
      <c r="AD438" s="144"/>
      <c r="AE438" s="144"/>
    </row>
    <row r="439" customFormat="false" ht="15.75" hidden="false" customHeight="true" outlineLevel="0" collapsed="false">
      <c r="A439" s="128"/>
      <c r="B439" s="163"/>
      <c r="C439" s="128"/>
      <c r="D439" s="128"/>
      <c r="E439" s="128"/>
      <c r="F439" s="154"/>
      <c r="G439" s="154"/>
      <c r="H439" s="128"/>
      <c r="I439" s="131"/>
      <c r="J439" s="128"/>
      <c r="K439" s="132"/>
      <c r="L439" s="127"/>
      <c r="M439" s="128"/>
      <c r="N439" s="132"/>
      <c r="O439" s="132"/>
      <c r="P439" s="132"/>
      <c r="Q439" s="128"/>
      <c r="R439" s="128"/>
      <c r="S439" s="128"/>
      <c r="T439" s="132"/>
      <c r="U439" s="128"/>
      <c r="V439" s="132"/>
      <c r="W439" s="173"/>
      <c r="X439" s="128"/>
      <c r="Y439" s="132"/>
      <c r="Z439" s="128"/>
      <c r="AA439" s="128"/>
      <c r="AB439" s="128"/>
      <c r="AC439" s="143"/>
      <c r="AD439" s="144"/>
      <c r="AE439" s="144"/>
    </row>
    <row r="440" customFormat="false" ht="15.75" hidden="false" customHeight="true" outlineLevel="0" collapsed="false">
      <c r="A440" s="128"/>
      <c r="B440" s="163"/>
      <c r="C440" s="128"/>
      <c r="D440" s="128"/>
      <c r="E440" s="128"/>
      <c r="F440" s="154"/>
      <c r="G440" s="154"/>
      <c r="H440" s="128"/>
      <c r="I440" s="131"/>
      <c r="J440" s="128"/>
      <c r="K440" s="132"/>
      <c r="L440" s="127"/>
      <c r="M440" s="128"/>
      <c r="N440" s="132"/>
      <c r="O440" s="132"/>
      <c r="P440" s="132"/>
      <c r="Q440" s="128"/>
      <c r="R440" s="128"/>
      <c r="S440" s="128"/>
      <c r="T440" s="132"/>
      <c r="U440" s="128"/>
      <c r="V440" s="132"/>
      <c r="W440" s="173"/>
      <c r="X440" s="128"/>
      <c r="Y440" s="132"/>
      <c r="Z440" s="128"/>
      <c r="AA440" s="128"/>
      <c r="AB440" s="128"/>
      <c r="AC440" s="143"/>
      <c r="AD440" s="144"/>
      <c r="AE440" s="144"/>
    </row>
    <row r="441" customFormat="false" ht="15.75" hidden="false" customHeight="true" outlineLevel="0" collapsed="false">
      <c r="A441" s="128"/>
      <c r="B441" s="163"/>
      <c r="C441" s="128"/>
      <c r="D441" s="128"/>
      <c r="E441" s="128"/>
      <c r="F441" s="154"/>
      <c r="G441" s="154"/>
      <c r="H441" s="128"/>
      <c r="I441" s="131"/>
      <c r="J441" s="128"/>
      <c r="K441" s="132"/>
      <c r="L441" s="127"/>
      <c r="M441" s="128"/>
      <c r="N441" s="132"/>
      <c r="O441" s="132"/>
      <c r="P441" s="132"/>
      <c r="Q441" s="128"/>
      <c r="R441" s="128"/>
      <c r="S441" s="128"/>
      <c r="T441" s="132"/>
      <c r="U441" s="128"/>
      <c r="V441" s="132"/>
      <c r="W441" s="173"/>
      <c r="X441" s="128"/>
      <c r="Y441" s="132"/>
      <c r="Z441" s="128"/>
      <c r="AA441" s="128"/>
      <c r="AB441" s="128"/>
      <c r="AC441" s="143"/>
      <c r="AD441" s="144"/>
      <c r="AE441" s="144"/>
    </row>
    <row r="442" customFormat="false" ht="15.75" hidden="false" customHeight="true" outlineLevel="0" collapsed="false">
      <c r="A442" s="128"/>
      <c r="B442" s="163"/>
      <c r="C442" s="128"/>
      <c r="D442" s="128"/>
      <c r="E442" s="128"/>
      <c r="F442" s="154"/>
      <c r="G442" s="154"/>
      <c r="H442" s="128"/>
      <c r="I442" s="131"/>
      <c r="J442" s="128"/>
      <c r="K442" s="132"/>
      <c r="L442" s="127"/>
      <c r="M442" s="128"/>
      <c r="N442" s="132"/>
      <c r="O442" s="132"/>
      <c r="P442" s="132"/>
      <c r="Q442" s="128"/>
      <c r="R442" s="128"/>
      <c r="S442" s="128"/>
      <c r="T442" s="132"/>
      <c r="U442" s="128"/>
      <c r="V442" s="132"/>
      <c r="W442" s="173"/>
      <c r="X442" s="128"/>
      <c r="Y442" s="132"/>
      <c r="Z442" s="128"/>
      <c r="AA442" s="128"/>
      <c r="AB442" s="128"/>
      <c r="AC442" s="143"/>
      <c r="AD442" s="144"/>
      <c r="AE442" s="144"/>
    </row>
    <row r="443" customFormat="false" ht="15.75" hidden="false" customHeight="true" outlineLevel="0" collapsed="false">
      <c r="A443" s="128"/>
      <c r="B443" s="163"/>
      <c r="C443" s="128"/>
      <c r="D443" s="128"/>
      <c r="E443" s="128"/>
      <c r="F443" s="154"/>
      <c r="G443" s="154"/>
      <c r="H443" s="127"/>
      <c r="I443" s="131"/>
      <c r="J443" s="128"/>
      <c r="K443" s="132"/>
      <c r="L443" s="127"/>
      <c r="M443" s="128"/>
      <c r="N443" s="132"/>
      <c r="O443" s="132"/>
      <c r="P443" s="132"/>
      <c r="Q443" s="128"/>
      <c r="R443" s="128"/>
      <c r="S443" s="128"/>
      <c r="T443" s="132"/>
      <c r="U443" s="128"/>
      <c r="V443" s="132"/>
      <c r="W443" s="173"/>
      <c r="X443" s="128"/>
      <c r="Y443" s="132"/>
      <c r="Z443" s="128"/>
      <c r="AA443" s="128"/>
      <c r="AB443" s="128"/>
      <c r="AC443" s="143"/>
      <c r="AD443" s="144"/>
      <c r="AE443" s="144"/>
    </row>
    <row r="444" customFormat="false" ht="15.75" hidden="false" customHeight="true" outlineLevel="0" collapsed="false">
      <c r="A444" s="128"/>
      <c r="B444" s="163"/>
      <c r="C444" s="128"/>
      <c r="D444" s="128"/>
      <c r="E444" s="128"/>
      <c r="F444" s="154"/>
      <c r="G444" s="154"/>
      <c r="H444" s="128"/>
      <c r="I444" s="131"/>
      <c r="J444" s="128"/>
      <c r="K444" s="132"/>
      <c r="L444" s="127"/>
      <c r="M444" s="128"/>
      <c r="N444" s="132"/>
      <c r="O444" s="132"/>
      <c r="P444" s="132"/>
      <c r="Q444" s="128"/>
      <c r="R444" s="128"/>
      <c r="S444" s="128"/>
      <c r="T444" s="132"/>
      <c r="U444" s="128"/>
      <c r="V444" s="132"/>
      <c r="W444" s="173"/>
      <c r="X444" s="128"/>
      <c r="Y444" s="132"/>
      <c r="Z444" s="128"/>
      <c r="AA444" s="128"/>
      <c r="AB444" s="128"/>
      <c r="AC444" s="143"/>
      <c r="AD444" s="144"/>
      <c r="AE444" s="144"/>
    </row>
    <row r="445" s="137" customFormat="true" ht="15.75" hidden="false" customHeight="true" outlineLevel="0" collapsed="false">
      <c r="A445" s="127"/>
      <c r="B445" s="162"/>
      <c r="C445" s="127"/>
      <c r="D445" s="127"/>
      <c r="E445" s="128"/>
      <c r="F445" s="148"/>
      <c r="G445" s="148"/>
      <c r="H445" s="127"/>
      <c r="I445" s="131"/>
      <c r="J445" s="127"/>
      <c r="K445" s="132"/>
      <c r="L445" s="127"/>
      <c r="M445" s="127"/>
      <c r="N445" s="132"/>
      <c r="O445" s="132"/>
      <c r="P445" s="132"/>
      <c r="Q445" s="127"/>
      <c r="R445" s="127"/>
      <c r="S445" s="127"/>
      <c r="T445" s="132"/>
      <c r="U445" s="127"/>
      <c r="V445" s="132"/>
      <c r="W445" s="173"/>
      <c r="X445" s="127"/>
      <c r="Y445" s="132"/>
      <c r="Z445" s="127"/>
      <c r="AA445" s="127"/>
      <c r="AB445" s="127"/>
      <c r="AC445" s="143"/>
      <c r="AD445" s="144"/>
      <c r="AE445" s="144"/>
    </row>
    <row r="446" customFormat="false" ht="15.75" hidden="false" customHeight="true" outlineLevel="0" collapsed="false">
      <c r="A446" s="128"/>
      <c r="B446" s="163"/>
      <c r="C446" s="128"/>
      <c r="D446" s="128"/>
      <c r="E446" s="128"/>
      <c r="F446" s="154"/>
      <c r="G446" s="154"/>
      <c r="H446" s="128"/>
      <c r="I446" s="131"/>
      <c r="J446" s="128"/>
      <c r="K446" s="132"/>
      <c r="L446" s="127"/>
      <c r="M446" s="128"/>
      <c r="N446" s="132"/>
      <c r="O446" s="132"/>
      <c r="P446" s="132"/>
      <c r="Q446" s="128"/>
      <c r="R446" s="128"/>
      <c r="S446" s="128"/>
      <c r="T446" s="132"/>
      <c r="U446" s="128"/>
      <c r="V446" s="132"/>
      <c r="W446" s="173"/>
      <c r="X446" s="128"/>
      <c r="Y446" s="132"/>
      <c r="Z446" s="128"/>
      <c r="AA446" s="128"/>
      <c r="AB446" s="128"/>
      <c r="AC446" s="136"/>
      <c r="AD446" s="136"/>
      <c r="AE446" s="136"/>
    </row>
    <row r="447" customFormat="false" ht="15.75" hidden="false" customHeight="true" outlineLevel="0" collapsed="false">
      <c r="A447" s="128"/>
      <c r="B447" s="163"/>
      <c r="C447" s="128"/>
      <c r="D447" s="128"/>
      <c r="E447" s="128"/>
      <c r="F447" s="154"/>
      <c r="G447" s="154"/>
      <c r="H447" s="128"/>
      <c r="I447" s="131"/>
      <c r="J447" s="128"/>
      <c r="K447" s="132"/>
      <c r="L447" s="127"/>
      <c r="M447" s="128"/>
      <c r="N447" s="132"/>
      <c r="O447" s="132"/>
      <c r="P447" s="132"/>
      <c r="Q447" s="128"/>
      <c r="R447" s="128"/>
      <c r="S447" s="128"/>
      <c r="T447" s="132"/>
      <c r="U447" s="128"/>
      <c r="V447" s="132"/>
      <c r="W447" s="173"/>
      <c r="X447" s="128"/>
      <c r="Y447" s="132"/>
      <c r="Z447" s="128"/>
      <c r="AA447" s="128"/>
      <c r="AB447" s="128"/>
      <c r="AC447" s="143"/>
      <c r="AD447" s="144"/>
      <c r="AE447" s="144"/>
    </row>
    <row r="448" customFormat="false" ht="15.75" hidden="false" customHeight="true" outlineLevel="0" collapsed="false">
      <c r="A448" s="128"/>
      <c r="B448" s="163"/>
      <c r="C448" s="128"/>
      <c r="D448" s="128"/>
      <c r="E448" s="128"/>
      <c r="F448" s="154"/>
      <c r="G448" s="154"/>
      <c r="H448" s="128"/>
      <c r="I448" s="131"/>
      <c r="J448" s="128"/>
      <c r="K448" s="132"/>
      <c r="L448" s="127"/>
      <c r="M448" s="128"/>
      <c r="N448" s="132"/>
      <c r="O448" s="132"/>
      <c r="P448" s="132"/>
      <c r="Q448" s="128"/>
      <c r="R448" s="128"/>
      <c r="S448" s="128"/>
      <c r="T448" s="132"/>
      <c r="U448" s="128"/>
      <c r="V448" s="132"/>
      <c r="W448" s="173"/>
      <c r="X448" s="128"/>
      <c r="Y448" s="132"/>
      <c r="Z448" s="128"/>
      <c r="AA448" s="128"/>
      <c r="AB448" s="128"/>
      <c r="AC448" s="143"/>
      <c r="AD448" s="144"/>
      <c r="AE448" s="144"/>
    </row>
    <row r="449" customFormat="false" ht="15.75" hidden="false" customHeight="true" outlineLevel="0" collapsed="false">
      <c r="A449" s="128"/>
      <c r="B449" s="163"/>
      <c r="C449" s="128"/>
      <c r="D449" s="128"/>
      <c r="E449" s="128"/>
      <c r="F449" s="154"/>
      <c r="G449" s="154"/>
      <c r="H449" s="128"/>
      <c r="I449" s="131"/>
      <c r="J449" s="128"/>
      <c r="K449" s="132"/>
      <c r="L449" s="127"/>
      <c r="M449" s="128"/>
      <c r="N449" s="132"/>
      <c r="O449" s="132"/>
      <c r="P449" s="132"/>
      <c r="Q449" s="128"/>
      <c r="R449" s="128"/>
      <c r="S449" s="128"/>
      <c r="T449" s="132"/>
      <c r="U449" s="128"/>
      <c r="V449" s="132"/>
      <c r="W449" s="173"/>
      <c r="X449" s="128"/>
      <c r="Y449" s="132"/>
      <c r="Z449" s="128"/>
      <c r="AA449" s="128"/>
      <c r="AB449" s="128"/>
      <c r="AC449" s="143"/>
      <c r="AD449" s="144"/>
      <c r="AE449" s="144"/>
    </row>
    <row r="450" customFormat="false" ht="15.75" hidden="false" customHeight="true" outlineLevel="0" collapsed="false">
      <c r="A450" s="128"/>
      <c r="B450" s="163"/>
      <c r="C450" s="128"/>
      <c r="D450" s="128"/>
      <c r="E450" s="128"/>
      <c r="F450" s="154"/>
      <c r="G450" s="154"/>
      <c r="H450" s="128"/>
      <c r="I450" s="131"/>
      <c r="J450" s="128"/>
      <c r="K450" s="132"/>
      <c r="L450" s="127"/>
      <c r="M450" s="128"/>
      <c r="N450" s="132"/>
      <c r="O450" s="132"/>
      <c r="P450" s="132"/>
      <c r="Q450" s="128"/>
      <c r="R450" s="128"/>
      <c r="S450" s="128"/>
      <c r="T450" s="132"/>
      <c r="U450" s="128"/>
      <c r="V450" s="132"/>
      <c r="W450" s="173"/>
      <c r="X450" s="128"/>
      <c r="Y450" s="132"/>
      <c r="Z450" s="128"/>
      <c r="AA450" s="128"/>
      <c r="AB450" s="128"/>
      <c r="AC450" s="143"/>
      <c r="AD450" s="144"/>
      <c r="AE450" s="144"/>
    </row>
    <row r="451" customFormat="false" ht="15.75" hidden="false" customHeight="true" outlineLevel="0" collapsed="false">
      <c r="A451" s="128"/>
      <c r="B451" s="163"/>
      <c r="C451" s="128"/>
      <c r="D451" s="128"/>
      <c r="E451" s="128"/>
      <c r="F451" s="154"/>
      <c r="G451" s="154"/>
      <c r="H451" s="128"/>
      <c r="I451" s="131"/>
      <c r="J451" s="128"/>
      <c r="K451" s="132"/>
      <c r="L451" s="127"/>
      <c r="M451" s="128"/>
      <c r="N451" s="132"/>
      <c r="O451" s="132"/>
      <c r="P451" s="132"/>
      <c r="Q451" s="128"/>
      <c r="R451" s="128"/>
      <c r="S451" s="128"/>
      <c r="T451" s="132"/>
      <c r="U451" s="128"/>
      <c r="V451" s="132"/>
      <c r="W451" s="173"/>
      <c r="X451" s="128"/>
      <c r="Y451" s="132"/>
      <c r="Z451" s="128"/>
      <c r="AA451" s="128"/>
      <c r="AB451" s="128"/>
      <c r="AC451" s="143"/>
      <c r="AD451" s="144"/>
      <c r="AE451" s="144"/>
    </row>
    <row r="452" s="137" customFormat="true" ht="15.75" hidden="false" customHeight="true" outlineLevel="0" collapsed="false">
      <c r="A452" s="127"/>
      <c r="B452" s="162"/>
      <c r="C452" s="127"/>
      <c r="D452" s="127"/>
      <c r="E452" s="128"/>
      <c r="F452" s="148"/>
      <c r="G452" s="148"/>
      <c r="H452" s="127"/>
      <c r="I452" s="131"/>
      <c r="J452" s="127"/>
      <c r="K452" s="132"/>
      <c r="L452" s="127"/>
      <c r="M452" s="127"/>
      <c r="N452" s="132"/>
      <c r="O452" s="132"/>
      <c r="P452" s="132"/>
      <c r="Q452" s="127"/>
      <c r="R452" s="127"/>
      <c r="S452" s="127"/>
      <c r="T452" s="132"/>
      <c r="U452" s="127"/>
      <c r="V452" s="132"/>
      <c r="W452" s="173"/>
      <c r="X452" s="127"/>
      <c r="Y452" s="132"/>
      <c r="Z452" s="127"/>
      <c r="AA452" s="127"/>
      <c r="AB452" s="127"/>
      <c r="AC452" s="136"/>
      <c r="AD452" s="136"/>
      <c r="AE452" s="136"/>
    </row>
    <row r="453" s="137" customFormat="true" ht="15.75" hidden="false" customHeight="true" outlineLevel="0" collapsed="false">
      <c r="A453" s="127"/>
      <c r="B453" s="162"/>
      <c r="C453" s="127"/>
      <c r="D453" s="127"/>
      <c r="E453" s="128"/>
      <c r="F453" s="148"/>
      <c r="G453" s="148"/>
      <c r="H453" s="127"/>
      <c r="I453" s="131"/>
      <c r="J453" s="127"/>
      <c r="K453" s="132"/>
      <c r="L453" s="127"/>
      <c r="M453" s="127"/>
      <c r="N453" s="132"/>
      <c r="O453" s="132"/>
      <c r="P453" s="132"/>
      <c r="Q453" s="127"/>
      <c r="R453" s="127"/>
      <c r="S453" s="127"/>
      <c r="T453" s="132"/>
      <c r="U453" s="127"/>
      <c r="V453" s="132"/>
      <c r="W453" s="173"/>
      <c r="X453" s="127"/>
      <c r="Y453" s="132"/>
      <c r="Z453" s="127"/>
      <c r="AA453" s="127"/>
      <c r="AB453" s="127"/>
      <c r="AC453" s="143"/>
      <c r="AD453" s="144"/>
      <c r="AE453" s="144"/>
    </row>
    <row r="454" customFormat="false" ht="15.75" hidden="false" customHeight="true" outlineLevel="0" collapsed="false">
      <c r="A454" s="128"/>
      <c r="B454" s="163"/>
      <c r="C454" s="128"/>
      <c r="D454" s="128"/>
      <c r="E454" s="128"/>
      <c r="F454" s="154"/>
      <c r="G454" s="154"/>
      <c r="H454" s="128"/>
      <c r="I454" s="131"/>
      <c r="J454" s="128"/>
      <c r="K454" s="132"/>
      <c r="L454" s="127"/>
      <c r="M454" s="128"/>
      <c r="N454" s="132"/>
      <c r="O454" s="132"/>
      <c r="P454" s="132"/>
      <c r="Q454" s="128"/>
      <c r="R454" s="128"/>
      <c r="S454" s="128"/>
      <c r="T454" s="132"/>
      <c r="U454" s="128"/>
      <c r="V454" s="132"/>
      <c r="W454" s="173"/>
      <c r="X454" s="128"/>
      <c r="Y454" s="132"/>
      <c r="Z454" s="128"/>
      <c r="AA454" s="128"/>
      <c r="AB454" s="128"/>
      <c r="AC454" s="143"/>
      <c r="AD454" s="144"/>
      <c r="AE454" s="144"/>
    </row>
    <row r="455" customFormat="false" ht="15.75" hidden="false" customHeight="true" outlineLevel="0" collapsed="false">
      <c r="A455" s="128"/>
      <c r="B455" s="163"/>
      <c r="C455" s="128"/>
      <c r="D455" s="128"/>
      <c r="E455" s="128"/>
      <c r="F455" s="154"/>
      <c r="G455" s="154"/>
      <c r="H455" s="127"/>
      <c r="I455" s="131"/>
      <c r="J455" s="128"/>
      <c r="K455" s="132"/>
      <c r="L455" s="127"/>
      <c r="M455" s="128"/>
      <c r="N455" s="132"/>
      <c r="O455" s="132"/>
      <c r="P455" s="132"/>
      <c r="Q455" s="128"/>
      <c r="R455" s="128"/>
      <c r="S455" s="128"/>
      <c r="T455" s="132"/>
      <c r="U455" s="128"/>
      <c r="V455" s="132"/>
      <c r="W455" s="173"/>
      <c r="X455" s="128"/>
      <c r="Y455" s="132"/>
      <c r="Z455" s="128"/>
      <c r="AA455" s="128"/>
      <c r="AB455" s="128"/>
      <c r="AC455" s="143"/>
      <c r="AD455" s="144"/>
      <c r="AE455" s="144"/>
    </row>
    <row r="456" s="137" customFormat="true" ht="15.75" hidden="false" customHeight="true" outlineLevel="0" collapsed="false">
      <c r="A456" s="127"/>
      <c r="B456" s="162"/>
      <c r="C456" s="127"/>
      <c r="D456" s="127"/>
      <c r="E456" s="128"/>
      <c r="F456" s="148"/>
      <c r="G456" s="148"/>
      <c r="H456" s="127"/>
      <c r="I456" s="131"/>
      <c r="J456" s="127"/>
      <c r="K456" s="132"/>
      <c r="L456" s="127"/>
      <c r="M456" s="127"/>
      <c r="N456" s="132"/>
      <c r="O456" s="132"/>
      <c r="P456" s="132"/>
      <c r="Q456" s="127"/>
      <c r="R456" s="127"/>
      <c r="S456" s="127"/>
      <c r="T456" s="132"/>
      <c r="U456" s="127"/>
      <c r="V456" s="132"/>
      <c r="W456" s="173"/>
      <c r="X456" s="127"/>
      <c r="Y456" s="132"/>
      <c r="Z456" s="127"/>
      <c r="AA456" s="127"/>
      <c r="AB456" s="127"/>
      <c r="AC456" s="136"/>
      <c r="AD456" s="136"/>
      <c r="AE456" s="136"/>
    </row>
    <row r="457" s="137" customFormat="true" ht="15.75" hidden="false" customHeight="true" outlineLevel="0" collapsed="false">
      <c r="A457" s="127"/>
      <c r="B457" s="162"/>
      <c r="C457" s="127"/>
      <c r="D457" s="127"/>
      <c r="E457" s="128"/>
      <c r="F457" s="148"/>
      <c r="G457" s="148"/>
      <c r="H457" s="127"/>
      <c r="I457" s="131"/>
      <c r="J457" s="127"/>
      <c r="K457" s="132"/>
      <c r="L457" s="127"/>
      <c r="M457" s="127"/>
      <c r="N457" s="132"/>
      <c r="O457" s="132"/>
      <c r="P457" s="132"/>
      <c r="Q457" s="127"/>
      <c r="R457" s="127"/>
      <c r="S457" s="127"/>
      <c r="T457" s="132"/>
      <c r="U457" s="127"/>
      <c r="V457" s="132"/>
      <c r="W457" s="173"/>
      <c r="X457" s="127"/>
      <c r="Y457" s="132"/>
      <c r="Z457" s="127"/>
      <c r="AA457" s="127"/>
      <c r="AB457" s="127"/>
      <c r="AC457" s="143"/>
      <c r="AD457" s="144"/>
      <c r="AE457" s="144"/>
    </row>
    <row r="458" customFormat="false" ht="15.75" hidden="false" customHeight="true" outlineLevel="0" collapsed="false">
      <c r="A458" s="128"/>
      <c r="B458" s="163"/>
      <c r="C458" s="128"/>
      <c r="D458" s="128"/>
      <c r="E458" s="128"/>
      <c r="F458" s="154"/>
      <c r="G458" s="154"/>
      <c r="H458" s="128"/>
      <c r="I458" s="131"/>
      <c r="J458" s="128"/>
      <c r="K458" s="132"/>
      <c r="L458" s="127"/>
      <c r="M458" s="128"/>
      <c r="N458" s="132"/>
      <c r="O458" s="132"/>
      <c r="P458" s="132"/>
      <c r="Q458" s="128"/>
      <c r="R458" s="128"/>
      <c r="S458" s="128"/>
      <c r="T458" s="132"/>
      <c r="U458" s="128"/>
      <c r="V458" s="132"/>
      <c r="W458" s="173"/>
      <c r="X458" s="128"/>
      <c r="Y458" s="132"/>
      <c r="Z458" s="128"/>
      <c r="AA458" s="128"/>
      <c r="AB458" s="128"/>
      <c r="AC458" s="143"/>
      <c r="AD458" s="144"/>
      <c r="AE458" s="144"/>
    </row>
    <row r="459" customFormat="false" ht="15.75" hidden="false" customHeight="true" outlineLevel="0" collapsed="false">
      <c r="A459" s="128"/>
      <c r="B459" s="163"/>
      <c r="C459" s="128"/>
      <c r="D459" s="128"/>
      <c r="E459" s="128"/>
      <c r="F459" s="154"/>
      <c r="G459" s="154"/>
      <c r="H459" s="128"/>
      <c r="I459" s="131"/>
      <c r="J459" s="128"/>
      <c r="K459" s="132"/>
      <c r="L459" s="127"/>
      <c r="M459" s="128"/>
      <c r="N459" s="132"/>
      <c r="O459" s="132"/>
      <c r="P459" s="132"/>
      <c r="Q459" s="128"/>
      <c r="R459" s="128"/>
      <c r="S459" s="128"/>
      <c r="T459" s="132"/>
      <c r="U459" s="128"/>
      <c r="V459" s="132"/>
      <c r="W459" s="173"/>
      <c r="X459" s="128"/>
      <c r="Y459" s="132"/>
      <c r="Z459" s="128"/>
      <c r="AA459" s="128"/>
      <c r="AB459" s="128"/>
      <c r="AC459" s="143"/>
      <c r="AD459" s="144"/>
      <c r="AE459" s="144"/>
    </row>
    <row r="460" customFormat="false" ht="15.75" hidden="false" customHeight="true" outlineLevel="0" collapsed="false">
      <c r="A460" s="128"/>
      <c r="B460" s="163"/>
      <c r="C460" s="128"/>
      <c r="D460" s="128"/>
      <c r="E460" s="128"/>
      <c r="F460" s="154"/>
      <c r="G460" s="154"/>
      <c r="H460" s="128"/>
      <c r="I460" s="131"/>
      <c r="J460" s="128"/>
      <c r="K460" s="132"/>
      <c r="L460" s="127"/>
      <c r="M460" s="128"/>
      <c r="N460" s="132"/>
      <c r="O460" s="132"/>
      <c r="P460" s="132"/>
      <c r="Q460" s="128"/>
      <c r="R460" s="128"/>
      <c r="S460" s="128"/>
      <c r="T460" s="132"/>
      <c r="U460" s="128"/>
      <c r="V460" s="132"/>
      <c r="W460" s="173"/>
      <c r="X460" s="128"/>
      <c r="Y460" s="132"/>
      <c r="Z460" s="128"/>
      <c r="AA460" s="128"/>
      <c r="AB460" s="128"/>
      <c r="AC460" s="136"/>
      <c r="AD460" s="136"/>
      <c r="AE460" s="136"/>
    </row>
    <row r="461" customFormat="false" ht="15.75" hidden="false" customHeight="true" outlineLevel="0" collapsed="false">
      <c r="A461" s="128"/>
      <c r="B461" s="163"/>
      <c r="C461" s="128"/>
      <c r="D461" s="128"/>
      <c r="E461" s="128"/>
      <c r="F461" s="154"/>
      <c r="G461" s="154"/>
      <c r="H461" s="128"/>
      <c r="I461" s="131"/>
      <c r="J461" s="128"/>
      <c r="K461" s="132"/>
      <c r="L461" s="127"/>
      <c r="M461" s="128"/>
      <c r="N461" s="132"/>
      <c r="O461" s="132"/>
      <c r="P461" s="132"/>
      <c r="Q461" s="128"/>
      <c r="R461" s="128"/>
      <c r="S461" s="128"/>
      <c r="T461" s="132"/>
      <c r="U461" s="128"/>
      <c r="V461" s="132"/>
      <c r="W461" s="173"/>
      <c r="X461" s="128"/>
      <c r="Y461" s="132"/>
      <c r="Z461" s="128"/>
      <c r="AA461" s="128"/>
      <c r="AB461" s="128"/>
      <c r="AC461" s="143"/>
      <c r="AD461" s="144"/>
      <c r="AE461" s="144"/>
    </row>
    <row r="462" s="137" customFormat="true" ht="15.75" hidden="false" customHeight="true" outlineLevel="0" collapsed="false">
      <c r="A462" s="127"/>
      <c r="B462" s="162"/>
      <c r="C462" s="127"/>
      <c r="D462" s="127"/>
      <c r="E462" s="128"/>
      <c r="F462" s="148"/>
      <c r="G462" s="148"/>
      <c r="H462" s="145"/>
      <c r="I462" s="131"/>
      <c r="J462" s="127"/>
      <c r="K462" s="132"/>
      <c r="L462" s="127"/>
      <c r="M462" s="127"/>
      <c r="N462" s="132"/>
      <c r="O462" s="132"/>
      <c r="P462" s="132"/>
      <c r="Q462" s="127"/>
      <c r="R462" s="127"/>
      <c r="S462" s="127"/>
      <c r="T462" s="132"/>
      <c r="U462" s="127"/>
      <c r="V462" s="132"/>
      <c r="W462" s="173"/>
      <c r="X462" s="127"/>
      <c r="Y462" s="132"/>
      <c r="Z462" s="127"/>
      <c r="AA462" s="127"/>
      <c r="AB462" s="127"/>
      <c r="AC462" s="143"/>
      <c r="AD462" s="144"/>
      <c r="AE462" s="144"/>
    </row>
    <row r="463" s="137" customFormat="true" ht="15.75" hidden="false" customHeight="true" outlineLevel="0" collapsed="false">
      <c r="A463" s="127"/>
      <c r="B463" s="162"/>
      <c r="C463" s="127"/>
      <c r="D463" s="127"/>
      <c r="E463" s="128"/>
      <c r="F463" s="148"/>
      <c r="G463" s="148"/>
      <c r="H463" s="127"/>
      <c r="I463" s="131"/>
      <c r="J463" s="127"/>
      <c r="K463" s="132"/>
      <c r="L463" s="127"/>
      <c r="M463" s="127"/>
      <c r="N463" s="132"/>
      <c r="O463" s="132"/>
      <c r="P463" s="132"/>
      <c r="Q463" s="127"/>
      <c r="R463" s="127"/>
      <c r="S463" s="127"/>
      <c r="T463" s="132"/>
      <c r="U463" s="127"/>
      <c r="V463" s="132"/>
      <c r="W463" s="173"/>
      <c r="X463" s="127"/>
      <c r="Y463" s="132"/>
      <c r="Z463" s="127"/>
      <c r="AA463" s="134"/>
      <c r="AB463" s="134"/>
      <c r="AC463" s="143"/>
      <c r="AD463" s="144"/>
      <c r="AE463" s="144"/>
    </row>
    <row r="464" customFormat="false" ht="15.75" hidden="false" customHeight="true" outlineLevel="0" collapsed="false">
      <c r="A464" s="128"/>
      <c r="B464" s="163"/>
      <c r="C464" s="128"/>
      <c r="D464" s="128"/>
      <c r="E464" s="128"/>
      <c r="F464" s="154"/>
      <c r="G464" s="154"/>
      <c r="H464" s="128"/>
      <c r="I464" s="131"/>
      <c r="J464" s="128"/>
      <c r="K464" s="132"/>
      <c r="L464" s="127"/>
      <c r="M464" s="128"/>
      <c r="N464" s="132"/>
      <c r="O464" s="132"/>
      <c r="P464" s="132"/>
      <c r="Q464" s="128"/>
      <c r="R464" s="128"/>
      <c r="S464" s="128"/>
      <c r="T464" s="132"/>
      <c r="U464" s="128"/>
      <c r="V464" s="132"/>
      <c r="W464" s="173"/>
      <c r="X464" s="128"/>
      <c r="Y464" s="132"/>
      <c r="Z464" s="128"/>
      <c r="AA464" s="128"/>
      <c r="AB464" s="128"/>
      <c r="AC464" s="136"/>
      <c r="AD464" s="136"/>
      <c r="AE464" s="136"/>
    </row>
    <row r="465" customFormat="false" ht="15.75" hidden="false" customHeight="true" outlineLevel="0" collapsed="false">
      <c r="A465" s="128"/>
      <c r="B465" s="163"/>
      <c r="C465" s="128"/>
      <c r="D465" s="128"/>
      <c r="E465" s="128"/>
      <c r="F465" s="154"/>
      <c r="G465" s="154"/>
      <c r="H465" s="128"/>
      <c r="I465" s="131"/>
      <c r="J465" s="128"/>
      <c r="K465" s="132"/>
      <c r="L465" s="127"/>
      <c r="M465" s="128"/>
      <c r="N465" s="132"/>
      <c r="O465" s="132"/>
      <c r="P465" s="132"/>
      <c r="Q465" s="128"/>
      <c r="R465" s="128"/>
      <c r="S465" s="128"/>
      <c r="T465" s="132"/>
      <c r="U465" s="128"/>
      <c r="V465" s="132"/>
      <c r="W465" s="173"/>
      <c r="X465" s="128"/>
      <c r="Y465" s="132"/>
      <c r="Z465" s="128"/>
      <c r="AA465" s="128"/>
      <c r="AB465" s="128"/>
      <c r="AC465" s="143"/>
      <c r="AD465" s="144"/>
      <c r="AE465" s="144"/>
    </row>
    <row r="466" customFormat="false" ht="15.75" hidden="false" customHeight="true" outlineLevel="0" collapsed="false">
      <c r="A466" s="128"/>
      <c r="B466" s="163"/>
      <c r="C466" s="128"/>
      <c r="D466" s="128"/>
      <c r="E466" s="128"/>
      <c r="F466" s="154"/>
      <c r="G466" s="154"/>
      <c r="H466" s="128"/>
      <c r="I466" s="131"/>
      <c r="J466" s="128"/>
      <c r="K466" s="132"/>
      <c r="L466" s="127"/>
      <c r="M466" s="128"/>
      <c r="N466" s="132"/>
      <c r="O466" s="132"/>
      <c r="P466" s="132"/>
      <c r="Q466" s="128"/>
      <c r="R466" s="128"/>
      <c r="S466" s="128"/>
      <c r="T466" s="132"/>
      <c r="U466" s="128"/>
      <c r="V466" s="132"/>
      <c r="W466" s="173"/>
      <c r="X466" s="128"/>
      <c r="Y466" s="132"/>
      <c r="Z466" s="128"/>
      <c r="AA466" s="128"/>
      <c r="AB466" s="128"/>
      <c r="AC466" s="143"/>
      <c r="AD466" s="144"/>
      <c r="AE466" s="144"/>
    </row>
    <row r="467" customFormat="false" ht="15.75" hidden="false" customHeight="true" outlineLevel="0" collapsed="false">
      <c r="A467" s="128"/>
      <c r="B467" s="163"/>
      <c r="C467" s="128"/>
      <c r="D467" s="128"/>
      <c r="E467" s="128"/>
      <c r="F467" s="154"/>
      <c r="G467" s="154"/>
      <c r="H467" s="128"/>
      <c r="I467" s="131"/>
      <c r="J467" s="128"/>
      <c r="K467" s="132"/>
      <c r="L467" s="127"/>
      <c r="M467" s="128"/>
      <c r="N467" s="132"/>
      <c r="O467" s="132"/>
      <c r="P467" s="132"/>
      <c r="Q467" s="128"/>
      <c r="R467" s="128"/>
      <c r="S467" s="128"/>
      <c r="T467" s="132"/>
      <c r="U467" s="128"/>
      <c r="V467" s="132"/>
      <c r="W467" s="173"/>
      <c r="X467" s="128"/>
      <c r="Y467" s="132"/>
      <c r="Z467" s="128"/>
      <c r="AA467" s="128"/>
      <c r="AB467" s="128"/>
      <c r="AC467" s="143"/>
      <c r="AD467" s="144"/>
      <c r="AE467" s="144"/>
    </row>
    <row r="468" customFormat="false" ht="15.75" hidden="false" customHeight="true" outlineLevel="0" collapsed="false">
      <c r="A468" s="128"/>
      <c r="B468" s="163"/>
      <c r="C468" s="128"/>
      <c r="D468" s="128"/>
      <c r="E468" s="128"/>
      <c r="F468" s="154"/>
      <c r="G468" s="154"/>
      <c r="H468" s="128"/>
      <c r="I468" s="131"/>
      <c r="J468" s="128"/>
      <c r="K468" s="132"/>
      <c r="L468" s="127"/>
      <c r="M468" s="128"/>
      <c r="N468" s="132"/>
      <c r="O468" s="132"/>
      <c r="P468" s="132"/>
      <c r="Q468" s="128"/>
      <c r="R468" s="128"/>
      <c r="S468" s="128"/>
      <c r="T468" s="132"/>
      <c r="U468" s="128"/>
      <c r="V468" s="132"/>
      <c r="W468" s="173"/>
      <c r="X468" s="128"/>
      <c r="Y468" s="132"/>
      <c r="Z468" s="128"/>
      <c r="AA468" s="128"/>
      <c r="AB468" s="128"/>
      <c r="AC468" s="143"/>
      <c r="AD468" s="144"/>
      <c r="AE468" s="144"/>
    </row>
    <row r="469" customFormat="false" ht="15.75" hidden="false" customHeight="true" outlineLevel="0" collapsed="false">
      <c r="A469" s="128"/>
      <c r="B469" s="163"/>
      <c r="C469" s="128"/>
      <c r="D469" s="128"/>
      <c r="E469" s="128"/>
      <c r="F469" s="154"/>
      <c r="G469" s="154"/>
      <c r="H469" s="128"/>
      <c r="I469" s="131"/>
      <c r="J469" s="128"/>
      <c r="K469" s="132"/>
      <c r="L469" s="127"/>
      <c r="M469" s="128"/>
      <c r="N469" s="132"/>
      <c r="O469" s="132"/>
      <c r="P469" s="132"/>
      <c r="Q469" s="128"/>
      <c r="R469" s="128"/>
      <c r="S469" s="128"/>
      <c r="T469" s="132"/>
      <c r="U469" s="128"/>
      <c r="V469" s="132"/>
      <c r="W469" s="173"/>
      <c r="X469" s="128"/>
      <c r="Y469" s="132"/>
      <c r="Z469" s="128"/>
      <c r="AA469" s="128"/>
      <c r="AB469" s="128"/>
      <c r="AC469" s="143"/>
      <c r="AD469" s="144"/>
      <c r="AE469" s="144"/>
    </row>
    <row r="470" customFormat="false" ht="15.75" hidden="false" customHeight="true" outlineLevel="0" collapsed="false">
      <c r="A470" s="128"/>
      <c r="B470" s="163"/>
      <c r="C470" s="128"/>
      <c r="D470" s="159"/>
      <c r="E470" s="128"/>
      <c r="F470" s="154"/>
      <c r="G470" s="154"/>
      <c r="H470" s="128"/>
      <c r="I470" s="131"/>
      <c r="J470" s="128"/>
      <c r="K470" s="132"/>
      <c r="L470" s="127"/>
      <c r="M470" s="128"/>
      <c r="N470" s="132"/>
      <c r="O470" s="132"/>
      <c r="P470" s="132"/>
      <c r="Q470" s="128"/>
      <c r="R470" s="128"/>
      <c r="S470" s="128"/>
      <c r="T470" s="132"/>
      <c r="U470" s="128"/>
      <c r="V470" s="132"/>
      <c r="W470" s="173"/>
      <c r="X470" s="128"/>
      <c r="Y470" s="132"/>
      <c r="Z470" s="128"/>
      <c r="AA470" s="128"/>
      <c r="AB470" s="128"/>
      <c r="AC470" s="143"/>
      <c r="AD470" s="144"/>
      <c r="AE470" s="144"/>
    </row>
    <row r="471" customFormat="false" ht="15.75" hidden="false" customHeight="true" outlineLevel="0" collapsed="false">
      <c r="B471" s="174"/>
      <c r="D471" s="175"/>
      <c r="F471" s="176"/>
      <c r="G471" s="176"/>
      <c r="L471" s="127"/>
      <c r="N471" s="93"/>
      <c r="O471" s="93"/>
      <c r="P471" s="93"/>
    </row>
    <row r="472" customFormat="false" ht="15.75" hidden="false" customHeight="true" outlineLevel="0" collapsed="false">
      <c r="N472" s="93"/>
      <c r="O472" s="93"/>
      <c r="P472" s="93"/>
    </row>
    <row r="473" customFormat="false" ht="15.75" hidden="false" customHeight="true" outlineLevel="0" collapsed="false">
      <c r="H473" s="177"/>
      <c r="N473" s="93"/>
      <c r="O473" s="93"/>
      <c r="P473" s="93"/>
    </row>
    <row r="474" customFormat="false" ht="15.75" hidden="false" customHeight="true" outlineLevel="0" collapsed="false">
      <c r="N474" s="93"/>
      <c r="O474" s="93"/>
      <c r="P474" s="93"/>
    </row>
    <row r="475" customFormat="false" ht="15.75" hidden="false" customHeight="true" outlineLevel="0" collapsed="false">
      <c r="N475" s="93"/>
      <c r="O475" s="93"/>
      <c r="P475" s="93"/>
    </row>
    <row r="476" customFormat="false" ht="15.75" hidden="false" customHeight="true" outlineLevel="0" collapsed="false">
      <c r="N476" s="93"/>
      <c r="O476" s="93"/>
      <c r="P476" s="93"/>
    </row>
    <row r="477" customFormat="false" ht="15.75" hidden="false" customHeight="true" outlineLevel="0" collapsed="false">
      <c r="N477" s="93"/>
      <c r="O477" s="93"/>
      <c r="P477" s="93"/>
    </row>
    <row r="478" customFormat="false" ht="15.75" hidden="false" customHeight="true" outlineLevel="0" collapsed="false">
      <c r="N478" s="93"/>
      <c r="O478" s="93"/>
      <c r="P478" s="93"/>
    </row>
    <row r="479" customFormat="false" ht="15.75" hidden="false" customHeight="true" outlineLevel="0" collapsed="false">
      <c r="N479" s="93"/>
      <c r="O479" s="93"/>
      <c r="P479" s="93"/>
    </row>
    <row r="480" customFormat="false" ht="15.75" hidden="false" customHeight="true" outlineLevel="0" collapsed="false">
      <c r="N480" s="93"/>
      <c r="O480" s="93"/>
      <c r="P480" s="93"/>
    </row>
    <row r="481" customFormat="false" ht="15.75" hidden="false" customHeight="true" outlineLevel="0" collapsed="false">
      <c r="N481" s="93"/>
      <c r="O481" s="93"/>
      <c r="P481" s="93"/>
    </row>
    <row r="482" customFormat="false" ht="15.75" hidden="false" customHeight="true" outlineLevel="0" collapsed="false">
      <c r="N482" s="93"/>
      <c r="O482" s="93"/>
      <c r="P482" s="93"/>
    </row>
    <row r="483" customFormat="false" ht="15.75" hidden="false" customHeight="true" outlineLevel="0" collapsed="false">
      <c r="N483" s="93"/>
      <c r="O483" s="93"/>
      <c r="P483" s="93"/>
    </row>
    <row r="484" customFormat="false" ht="15.75" hidden="false" customHeight="true" outlineLevel="0" collapsed="false">
      <c r="N484" s="93"/>
      <c r="O484" s="93"/>
      <c r="P484" s="93"/>
    </row>
    <row r="485" customFormat="false" ht="15.75" hidden="false" customHeight="true" outlineLevel="0" collapsed="false">
      <c r="N485" s="93"/>
      <c r="O485" s="93"/>
      <c r="P485" s="93"/>
    </row>
    <row r="486" customFormat="false" ht="15.75" hidden="false" customHeight="true" outlineLevel="0" collapsed="false">
      <c r="N486" s="93"/>
      <c r="O486" s="93"/>
      <c r="P486" s="93"/>
    </row>
    <row r="487" customFormat="false" ht="15.75" hidden="false" customHeight="true" outlineLevel="0" collapsed="false">
      <c r="N487" s="93"/>
      <c r="O487" s="93"/>
      <c r="P487" s="93"/>
    </row>
    <row r="488" customFormat="false" ht="15.75" hidden="false" customHeight="true" outlineLevel="0" collapsed="false">
      <c r="N488" s="93"/>
      <c r="O488" s="93"/>
      <c r="P488" s="93"/>
    </row>
    <row r="489" customFormat="false" ht="15.75" hidden="false" customHeight="true" outlineLevel="0" collapsed="false">
      <c r="N489" s="93"/>
      <c r="O489" s="93"/>
      <c r="P489" s="93"/>
    </row>
    <row r="490" customFormat="false" ht="15.75" hidden="false" customHeight="true" outlineLevel="0" collapsed="false">
      <c r="N490" s="93"/>
      <c r="O490" s="93"/>
      <c r="P490" s="93"/>
    </row>
    <row r="491" customFormat="false" ht="15.75" hidden="false" customHeight="true" outlineLevel="0" collapsed="false">
      <c r="N491" s="93"/>
      <c r="O491" s="93"/>
      <c r="P491" s="93"/>
    </row>
    <row r="492" customFormat="false" ht="15.75" hidden="false" customHeight="true" outlineLevel="0" collapsed="false">
      <c r="N492" s="93"/>
      <c r="O492" s="93"/>
      <c r="P492" s="93"/>
    </row>
    <row r="493" customFormat="false" ht="15.75" hidden="false" customHeight="true" outlineLevel="0" collapsed="false">
      <c r="N493" s="93"/>
      <c r="O493" s="93"/>
      <c r="P493" s="93"/>
    </row>
    <row r="494" customFormat="false" ht="15.75" hidden="false" customHeight="true" outlineLevel="0" collapsed="false">
      <c r="N494" s="93"/>
      <c r="O494" s="93"/>
      <c r="P494" s="93"/>
    </row>
    <row r="495" customFormat="false" ht="15.75" hidden="false" customHeight="true" outlineLevel="0" collapsed="false">
      <c r="N495" s="93"/>
      <c r="O495" s="93"/>
      <c r="P495" s="93"/>
    </row>
    <row r="496" customFormat="false" ht="15.75" hidden="false" customHeight="true" outlineLevel="0" collapsed="false">
      <c r="N496" s="93"/>
      <c r="O496" s="93"/>
      <c r="P496" s="93"/>
    </row>
    <row r="497" customFormat="false" ht="15.75" hidden="false" customHeight="true" outlineLevel="0" collapsed="false">
      <c r="N497" s="93"/>
      <c r="O497" s="93"/>
      <c r="P497" s="93"/>
    </row>
    <row r="498" customFormat="false" ht="15.75" hidden="false" customHeight="true" outlineLevel="0" collapsed="false">
      <c r="N498" s="93"/>
      <c r="O498" s="93"/>
      <c r="P498" s="93"/>
    </row>
    <row r="499" customFormat="false" ht="15.75" hidden="false" customHeight="true" outlineLevel="0" collapsed="false">
      <c r="N499" s="93"/>
      <c r="O499" s="93"/>
      <c r="P499" s="93"/>
    </row>
    <row r="500" customFormat="false" ht="15.75" hidden="false" customHeight="true" outlineLevel="0" collapsed="false">
      <c r="N500" s="93"/>
      <c r="O500" s="93"/>
      <c r="P500" s="93"/>
    </row>
    <row r="501" customFormat="false" ht="15.75" hidden="false" customHeight="true" outlineLevel="0" collapsed="false">
      <c r="N501" s="93"/>
      <c r="O501" s="93"/>
      <c r="P501" s="93"/>
    </row>
    <row r="502" customFormat="false" ht="15.75" hidden="false" customHeight="true" outlineLevel="0" collapsed="false">
      <c r="N502" s="93"/>
      <c r="O502" s="93"/>
      <c r="P502" s="93"/>
    </row>
    <row r="503" customFormat="false" ht="15.75" hidden="false" customHeight="true" outlineLevel="0" collapsed="false">
      <c r="N503" s="93"/>
      <c r="O503" s="93"/>
      <c r="P503" s="93"/>
    </row>
    <row r="504" customFormat="false" ht="15.75" hidden="false" customHeight="true" outlineLevel="0" collapsed="false">
      <c r="N504" s="93"/>
      <c r="O504" s="93"/>
      <c r="P504" s="93"/>
    </row>
    <row r="505" customFormat="false" ht="15.75" hidden="false" customHeight="true" outlineLevel="0" collapsed="false">
      <c r="N505" s="93"/>
      <c r="O505" s="93"/>
      <c r="P505" s="93"/>
    </row>
    <row r="506" customFormat="false" ht="15.75" hidden="false" customHeight="true" outlineLevel="0" collapsed="false">
      <c r="N506" s="93"/>
      <c r="O506" s="93"/>
      <c r="P506" s="93"/>
    </row>
    <row r="507" customFormat="false" ht="15.75" hidden="false" customHeight="true" outlineLevel="0" collapsed="false">
      <c r="N507" s="93"/>
      <c r="O507" s="93"/>
      <c r="P507" s="93"/>
    </row>
    <row r="508" customFormat="false" ht="15.75" hidden="false" customHeight="true" outlineLevel="0" collapsed="false">
      <c r="N508" s="93"/>
      <c r="O508" s="93"/>
      <c r="P508" s="93"/>
    </row>
    <row r="509" customFormat="false" ht="15.75" hidden="false" customHeight="true" outlineLevel="0" collapsed="false">
      <c r="N509" s="93"/>
      <c r="O509" s="93"/>
      <c r="P509" s="93"/>
    </row>
    <row r="510" customFormat="false" ht="15.75" hidden="false" customHeight="true" outlineLevel="0" collapsed="false">
      <c r="N510" s="93"/>
      <c r="O510" s="93"/>
      <c r="P510" s="93"/>
    </row>
    <row r="511" customFormat="false" ht="15.75" hidden="false" customHeight="true" outlineLevel="0" collapsed="false">
      <c r="N511" s="93"/>
      <c r="O511" s="93"/>
      <c r="P511" s="93"/>
    </row>
    <row r="512" customFormat="false" ht="15.75" hidden="false" customHeight="true" outlineLevel="0" collapsed="false">
      <c r="N512" s="93"/>
      <c r="O512" s="93"/>
      <c r="P512" s="93"/>
    </row>
    <row r="513" customFormat="false" ht="15.75" hidden="false" customHeight="true" outlineLevel="0" collapsed="false">
      <c r="N513" s="93"/>
      <c r="O513" s="93"/>
      <c r="P513" s="93"/>
    </row>
    <row r="514" customFormat="false" ht="15.75" hidden="false" customHeight="true" outlineLevel="0" collapsed="false">
      <c r="N514" s="93"/>
      <c r="O514" s="93"/>
      <c r="P514" s="93"/>
    </row>
    <row r="515" customFormat="false" ht="15.75" hidden="false" customHeight="true" outlineLevel="0" collapsed="false">
      <c r="N515" s="93"/>
      <c r="O515" s="93"/>
      <c r="P515" s="93"/>
    </row>
    <row r="516" customFormat="false" ht="15.75" hidden="false" customHeight="true" outlineLevel="0" collapsed="false">
      <c r="N516" s="93"/>
      <c r="O516" s="93"/>
      <c r="P516" s="93"/>
    </row>
    <row r="517" customFormat="false" ht="15.75" hidden="false" customHeight="true" outlineLevel="0" collapsed="false">
      <c r="N517" s="93"/>
      <c r="O517" s="93"/>
      <c r="P517" s="93"/>
    </row>
    <row r="518" customFormat="false" ht="15.75" hidden="false" customHeight="true" outlineLevel="0" collapsed="false">
      <c r="N518" s="93"/>
      <c r="O518" s="93"/>
      <c r="P518" s="93"/>
    </row>
    <row r="519" customFormat="false" ht="15.75" hidden="false" customHeight="true" outlineLevel="0" collapsed="false">
      <c r="N519" s="93"/>
      <c r="O519" s="93"/>
      <c r="P519" s="93"/>
    </row>
    <row r="520" customFormat="false" ht="15.75" hidden="false" customHeight="true" outlineLevel="0" collapsed="false">
      <c r="N520" s="93"/>
      <c r="O520" s="93"/>
      <c r="P520" s="93"/>
    </row>
    <row r="521" customFormat="false" ht="15.75" hidden="false" customHeight="true" outlineLevel="0" collapsed="false">
      <c r="N521" s="93"/>
      <c r="O521" s="93"/>
      <c r="P521" s="93"/>
    </row>
    <row r="522" customFormat="false" ht="15.75" hidden="false" customHeight="true" outlineLevel="0" collapsed="false">
      <c r="N522" s="93"/>
      <c r="O522" s="93"/>
      <c r="P522" s="93"/>
    </row>
    <row r="523" customFormat="false" ht="15.75" hidden="false" customHeight="true" outlineLevel="0" collapsed="false">
      <c r="N523" s="93"/>
      <c r="O523" s="93"/>
      <c r="P523" s="93"/>
    </row>
    <row r="524" customFormat="false" ht="15.75" hidden="false" customHeight="true" outlineLevel="0" collapsed="false">
      <c r="N524" s="93"/>
      <c r="O524" s="93"/>
      <c r="P524" s="93"/>
    </row>
    <row r="525" customFormat="false" ht="15.75" hidden="false" customHeight="true" outlineLevel="0" collapsed="false">
      <c r="N525" s="93"/>
      <c r="O525" s="93"/>
      <c r="P525" s="93"/>
    </row>
    <row r="526" customFormat="false" ht="15.75" hidden="false" customHeight="true" outlineLevel="0" collapsed="false">
      <c r="N526" s="93"/>
      <c r="O526" s="93"/>
      <c r="P526" s="93"/>
    </row>
    <row r="527" customFormat="false" ht="15.75" hidden="false" customHeight="true" outlineLevel="0" collapsed="false">
      <c r="N527" s="93"/>
      <c r="O527" s="93"/>
      <c r="P527" s="93"/>
    </row>
    <row r="528" customFormat="false" ht="15.75" hidden="false" customHeight="true" outlineLevel="0" collapsed="false">
      <c r="N528" s="93"/>
      <c r="O528" s="93"/>
      <c r="P528" s="93"/>
    </row>
    <row r="529" customFormat="false" ht="15.75" hidden="false" customHeight="true" outlineLevel="0" collapsed="false">
      <c r="N529" s="93"/>
      <c r="O529" s="93"/>
      <c r="P529" s="93"/>
    </row>
    <row r="530" customFormat="false" ht="15.75" hidden="false" customHeight="true" outlineLevel="0" collapsed="false">
      <c r="N530" s="93"/>
      <c r="O530" s="93"/>
      <c r="P530" s="93"/>
    </row>
    <row r="531" customFormat="false" ht="15.75" hidden="false" customHeight="true" outlineLevel="0" collapsed="false">
      <c r="N531" s="93"/>
      <c r="O531" s="93"/>
      <c r="P531" s="93"/>
    </row>
    <row r="532" customFormat="false" ht="15.75" hidden="false" customHeight="true" outlineLevel="0" collapsed="false">
      <c r="N532" s="93"/>
      <c r="O532" s="93"/>
      <c r="P532" s="93"/>
    </row>
    <row r="533" customFormat="false" ht="15.75" hidden="false" customHeight="true" outlineLevel="0" collapsed="false">
      <c r="N533" s="93"/>
      <c r="O533" s="93"/>
      <c r="P533" s="93"/>
    </row>
    <row r="534" customFormat="false" ht="15.75" hidden="false" customHeight="true" outlineLevel="0" collapsed="false">
      <c r="N534" s="93"/>
      <c r="O534" s="93"/>
      <c r="P534" s="93"/>
    </row>
    <row r="535" customFormat="false" ht="15.75" hidden="false" customHeight="true" outlineLevel="0" collapsed="false">
      <c r="N535" s="93"/>
      <c r="O535" s="93"/>
      <c r="P535" s="93"/>
    </row>
    <row r="536" customFormat="false" ht="15.75" hidden="false" customHeight="true" outlineLevel="0" collapsed="false">
      <c r="N536" s="93"/>
      <c r="O536" s="93"/>
      <c r="P536" s="93"/>
    </row>
    <row r="537" customFormat="false" ht="15.75" hidden="false" customHeight="true" outlineLevel="0" collapsed="false">
      <c r="N537" s="93"/>
      <c r="O537" s="93"/>
      <c r="P537" s="93"/>
    </row>
    <row r="538" customFormat="false" ht="15.75" hidden="false" customHeight="true" outlineLevel="0" collapsed="false">
      <c r="N538" s="93"/>
      <c r="O538" s="93"/>
      <c r="P538" s="93"/>
    </row>
    <row r="539" customFormat="false" ht="15.75" hidden="false" customHeight="true" outlineLevel="0" collapsed="false">
      <c r="N539" s="93"/>
      <c r="O539" s="93"/>
      <c r="P539" s="93"/>
    </row>
    <row r="540" customFormat="false" ht="15.75" hidden="false" customHeight="true" outlineLevel="0" collapsed="false">
      <c r="N540" s="93"/>
      <c r="O540" s="93"/>
      <c r="P540" s="93"/>
    </row>
    <row r="541" customFormat="false" ht="15.75" hidden="false" customHeight="true" outlineLevel="0" collapsed="false">
      <c r="N541" s="93"/>
      <c r="O541" s="93"/>
      <c r="P541" s="93"/>
    </row>
    <row r="542" customFormat="false" ht="15.75" hidden="false" customHeight="true" outlineLevel="0" collapsed="false">
      <c r="N542" s="93"/>
      <c r="O542" s="93"/>
      <c r="P542" s="93"/>
    </row>
    <row r="543" customFormat="false" ht="15.75" hidden="false" customHeight="true" outlineLevel="0" collapsed="false">
      <c r="N543" s="93"/>
      <c r="O543" s="93"/>
      <c r="P543" s="93"/>
    </row>
    <row r="544" customFormat="false" ht="15.75" hidden="false" customHeight="true" outlineLevel="0" collapsed="false">
      <c r="N544" s="93"/>
      <c r="O544" s="93"/>
      <c r="P544" s="93"/>
    </row>
    <row r="545" customFormat="false" ht="15.75" hidden="false" customHeight="true" outlineLevel="0" collapsed="false">
      <c r="N545" s="93"/>
      <c r="O545" s="93"/>
      <c r="P545" s="93"/>
    </row>
    <row r="546" customFormat="false" ht="15.75" hidden="false" customHeight="true" outlineLevel="0" collapsed="false">
      <c r="N546" s="93"/>
      <c r="O546" s="93"/>
      <c r="P546" s="93"/>
    </row>
    <row r="547" customFormat="false" ht="15.75" hidden="false" customHeight="true" outlineLevel="0" collapsed="false">
      <c r="N547" s="93"/>
      <c r="O547" s="93"/>
      <c r="P547" s="93"/>
    </row>
    <row r="548" customFormat="false" ht="15.75" hidden="false" customHeight="true" outlineLevel="0" collapsed="false">
      <c r="N548" s="93"/>
      <c r="O548" s="93"/>
      <c r="P548" s="93"/>
    </row>
    <row r="549" customFormat="false" ht="15.75" hidden="false" customHeight="true" outlineLevel="0" collapsed="false">
      <c r="N549" s="93"/>
      <c r="O549" s="93"/>
      <c r="P549" s="93"/>
    </row>
    <row r="550" customFormat="false" ht="15.75" hidden="false" customHeight="true" outlineLevel="0" collapsed="false">
      <c r="N550" s="93"/>
      <c r="O550" s="93"/>
      <c r="P550" s="93"/>
    </row>
    <row r="551" customFormat="false" ht="15.75" hidden="false" customHeight="true" outlineLevel="0" collapsed="false">
      <c r="N551" s="93"/>
      <c r="O551" s="93"/>
      <c r="P551" s="93"/>
    </row>
    <row r="552" customFormat="false" ht="15.75" hidden="false" customHeight="true" outlineLevel="0" collapsed="false">
      <c r="N552" s="93"/>
      <c r="O552" s="93"/>
      <c r="P552" s="93"/>
    </row>
    <row r="553" customFormat="false" ht="15.75" hidden="false" customHeight="true" outlineLevel="0" collapsed="false">
      <c r="N553" s="93"/>
      <c r="O553" s="93"/>
      <c r="P553" s="93"/>
    </row>
    <row r="554" customFormat="false" ht="15.75" hidden="false" customHeight="true" outlineLevel="0" collapsed="false">
      <c r="N554" s="93"/>
      <c r="O554" s="93"/>
      <c r="P554" s="93"/>
    </row>
    <row r="555" customFormat="false" ht="15.75" hidden="false" customHeight="true" outlineLevel="0" collapsed="false">
      <c r="N555" s="93"/>
      <c r="O555" s="93"/>
      <c r="P555" s="93"/>
    </row>
    <row r="556" customFormat="false" ht="15.75" hidden="false" customHeight="true" outlineLevel="0" collapsed="false">
      <c r="N556" s="93"/>
      <c r="O556" s="93"/>
      <c r="P556" s="93"/>
    </row>
    <row r="557" customFormat="false" ht="15.75" hidden="false" customHeight="true" outlineLevel="0" collapsed="false">
      <c r="N557" s="93"/>
      <c r="O557" s="93"/>
      <c r="P557" s="93"/>
    </row>
    <row r="558" customFormat="false" ht="15.75" hidden="false" customHeight="true" outlineLevel="0" collapsed="false">
      <c r="N558" s="93"/>
      <c r="O558" s="93"/>
      <c r="P558" s="93"/>
    </row>
    <row r="559" customFormat="false" ht="15.75" hidden="false" customHeight="true" outlineLevel="0" collapsed="false">
      <c r="N559" s="93"/>
      <c r="O559" s="93"/>
      <c r="P559" s="93"/>
    </row>
    <row r="560" customFormat="false" ht="15.75" hidden="false" customHeight="true" outlineLevel="0" collapsed="false">
      <c r="N560" s="93"/>
      <c r="O560" s="93"/>
      <c r="P560" s="93"/>
    </row>
    <row r="561" customFormat="false" ht="15.75" hidden="false" customHeight="true" outlineLevel="0" collapsed="false">
      <c r="N561" s="93"/>
      <c r="O561" s="93"/>
      <c r="P561" s="93"/>
    </row>
    <row r="562" customFormat="false" ht="15.75" hidden="false" customHeight="true" outlineLevel="0" collapsed="false">
      <c r="N562" s="93"/>
      <c r="O562" s="93"/>
      <c r="P562" s="93"/>
    </row>
    <row r="563" customFormat="false" ht="15.75" hidden="false" customHeight="true" outlineLevel="0" collapsed="false">
      <c r="N563" s="93"/>
      <c r="O563" s="93"/>
      <c r="P563" s="93"/>
    </row>
    <row r="564" customFormat="false" ht="15.75" hidden="false" customHeight="true" outlineLevel="0" collapsed="false">
      <c r="N564" s="93"/>
      <c r="O564" s="93"/>
      <c r="P564" s="93"/>
    </row>
    <row r="565" customFormat="false" ht="15.75" hidden="false" customHeight="true" outlineLevel="0" collapsed="false">
      <c r="N565" s="93"/>
      <c r="O565" s="93"/>
      <c r="P565" s="93"/>
    </row>
    <row r="566" customFormat="false" ht="15.75" hidden="false" customHeight="true" outlineLevel="0" collapsed="false">
      <c r="N566" s="93"/>
      <c r="O566" s="93"/>
      <c r="P566" s="93"/>
    </row>
    <row r="567" customFormat="false" ht="15.75" hidden="false" customHeight="true" outlineLevel="0" collapsed="false">
      <c r="N567" s="93"/>
      <c r="O567" s="93"/>
      <c r="P567" s="93"/>
    </row>
    <row r="568" customFormat="false" ht="15.75" hidden="false" customHeight="true" outlineLevel="0" collapsed="false">
      <c r="N568" s="93"/>
      <c r="O568" s="93"/>
      <c r="P568" s="93"/>
    </row>
    <row r="569" customFormat="false" ht="15.75" hidden="false" customHeight="true" outlineLevel="0" collapsed="false">
      <c r="N569" s="93"/>
      <c r="O569" s="93"/>
      <c r="P569" s="93"/>
    </row>
    <row r="570" customFormat="false" ht="15.75" hidden="false" customHeight="true" outlineLevel="0" collapsed="false">
      <c r="N570" s="93"/>
      <c r="O570" s="93"/>
      <c r="P570" s="93"/>
    </row>
    <row r="571" customFormat="false" ht="15.75" hidden="false" customHeight="true" outlineLevel="0" collapsed="false">
      <c r="N571" s="93"/>
      <c r="O571" s="93"/>
      <c r="P571" s="93"/>
    </row>
    <row r="572" customFormat="false" ht="15.75" hidden="false" customHeight="true" outlineLevel="0" collapsed="false">
      <c r="N572" s="93"/>
      <c r="O572" s="93"/>
      <c r="P572" s="93"/>
    </row>
    <row r="573" customFormat="false" ht="15.75" hidden="false" customHeight="true" outlineLevel="0" collapsed="false">
      <c r="N573" s="93"/>
      <c r="O573" s="93"/>
      <c r="P573" s="93"/>
    </row>
    <row r="574" customFormat="false" ht="15.75" hidden="false" customHeight="true" outlineLevel="0" collapsed="false">
      <c r="N574" s="93"/>
      <c r="O574" s="93"/>
      <c r="P574" s="93"/>
    </row>
    <row r="575" customFormat="false" ht="15.75" hidden="false" customHeight="true" outlineLevel="0" collapsed="false">
      <c r="N575" s="93"/>
      <c r="O575" s="93"/>
      <c r="P575" s="93"/>
    </row>
    <row r="576" customFormat="false" ht="15.75" hidden="false" customHeight="true" outlineLevel="0" collapsed="false">
      <c r="N576" s="93"/>
      <c r="O576" s="93"/>
      <c r="P576" s="93"/>
    </row>
    <row r="577" customFormat="false" ht="15.75" hidden="false" customHeight="true" outlineLevel="0" collapsed="false">
      <c r="N577" s="93"/>
      <c r="O577" s="93"/>
      <c r="P577" s="93"/>
    </row>
    <row r="578" customFormat="false" ht="15.75" hidden="false" customHeight="true" outlineLevel="0" collapsed="false">
      <c r="N578" s="93"/>
      <c r="O578" s="93"/>
      <c r="P578" s="93"/>
    </row>
    <row r="579" customFormat="false" ht="15.75" hidden="false" customHeight="true" outlineLevel="0" collapsed="false">
      <c r="N579" s="93"/>
      <c r="O579" s="93"/>
      <c r="P579" s="93"/>
    </row>
    <row r="580" customFormat="false" ht="15.75" hidden="false" customHeight="true" outlineLevel="0" collapsed="false">
      <c r="N580" s="93"/>
      <c r="O580" s="93"/>
      <c r="P580" s="93"/>
    </row>
    <row r="581" customFormat="false" ht="15.75" hidden="false" customHeight="true" outlineLevel="0" collapsed="false">
      <c r="N581" s="93"/>
      <c r="O581" s="93"/>
      <c r="P581" s="93"/>
    </row>
    <row r="582" customFormat="false" ht="15.75" hidden="false" customHeight="true" outlineLevel="0" collapsed="false">
      <c r="N582" s="93"/>
      <c r="O582" s="93"/>
      <c r="P582" s="93"/>
    </row>
    <row r="583" customFormat="false" ht="15.75" hidden="false" customHeight="true" outlineLevel="0" collapsed="false">
      <c r="N583" s="93"/>
      <c r="O583" s="93"/>
      <c r="P583" s="93"/>
    </row>
    <row r="584" customFormat="false" ht="15.75" hidden="false" customHeight="true" outlineLevel="0" collapsed="false">
      <c r="N584" s="93"/>
      <c r="O584" s="93"/>
      <c r="P584" s="93"/>
    </row>
    <row r="585" customFormat="false" ht="15.75" hidden="false" customHeight="true" outlineLevel="0" collapsed="false">
      <c r="N585" s="93"/>
      <c r="O585" s="93"/>
      <c r="P585" s="93"/>
    </row>
    <row r="586" customFormat="false" ht="15.75" hidden="false" customHeight="true" outlineLevel="0" collapsed="false">
      <c r="N586" s="93"/>
      <c r="O586" s="93"/>
      <c r="P586" s="93"/>
    </row>
    <row r="587" customFormat="false" ht="15.75" hidden="false" customHeight="true" outlineLevel="0" collapsed="false">
      <c r="N587" s="93"/>
      <c r="O587" s="93"/>
      <c r="P587" s="93"/>
    </row>
    <row r="588" customFormat="false" ht="15.75" hidden="false" customHeight="true" outlineLevel="0" collapsed="false">
      <c r="N588" s="93"/>
      <c r="O588" s="93"/>
      <c r="P588" s="93"/>
    </row>
    <row r="589" customFormat="false" ht="15.75" hidden="false" customHeight="true" outlineLevel="0" collapsed="false">
      <c r="N589" s="93"/>
      <c r="O589" s="93"/>
      <c r="P589" s="93"/>
    </row>
    <row r="590" customFormat="false" ht="15.75" hidden="false" customHeight="true" outlineLevel="0" collapsed="false">
      <c r="N590" s="93"/>
      <c r="O590" s="93"/>
      <c r="P590" s="93"/>
    </row>
    <row r="591" customFormat="false" ht="15.75" hidden="false" customHeight="true" outlineLevel="0" collapsed="false">
      <c r="N591" s="93"/>
      <c r="O591" s="93"/>
      <c r="P591" s="93"/>
    </row>
    <row r="592" customFormat="false" ht="15.75" hidden="false" customHeight="true" outlineLevel="0" collapsed="false">
      <c r="N592" s="93"/>
      <c r="O592" s="93"/>
      <c r="P592" s="93"/>
    </row>
    <row r="593" customFormat="false" ht="15.75" hidden="false" customHeight="true" outlineLevel="0" collapsed="false">
      <c r="N593" s="93"/>
      <c r="O593" s="93"/>
      <c r="P593" s="93"/>
    </row>
    <row r="594" customFormat="false" ht="15.75" hidden="false" customHeight="true" outlineLevel="0" collapsed="false">
      <c r="N594" s="93"/>
      <c r="O594" s="93"/>
      <c r="P594" s="93"/>
    </row>
    <row r="595" customFormat="false" ht="15.75" hidden="false" customHeight="true" outlineLevel="0" collapsed="false">
      <c r="N595" s="93"/>
      <c r="O595" s="93"/>
      <c r="P595" s="93"/>
    </row>
    <row r="596" customFormat="false" ht="15.75" hidden="false" customHeight="true" outlineLevel="0" collapsed="false">
      <c r="N596" s="93"/>
      <c r="O596" s="93"/>
      <c r="P596" s="93"/>
    </row>
    <row r="597" customFormat="false" ht="15.75" hidden="false" customHeight="true" outlineLevel="0" collapsed="false">
      <c r="N597" s="93"/>
      <c r="O597" s="93"/>
      <c r="P597" s="93"/>
    </row>
    <row r="598" customFormat="false" ht="15.75" hidden="false" customHeight="true" outlineLevel="0" collapsed="false">
      <c r="N598" s="93"/>
      <c r="O598" s="93"/>
      <c r="P598" s="93"/>
    </row>
    <row r="599" customFormat="false" ht="15.75" hidden="false" customHeight="true" outlineLevel="0" collapsed="false">
      <c r="N599" s="93"/>
      <c r="O599" s="93"/>
      <c r="P599" s="93"/>
    </row>
    <row r="600" customFormat="false" ht="15.75" hidden="false" customHeight="true" outlineLevel="0" collapsed="false">
      <c r="N600" s="93"/>
      <c r="O600" s="93"/>
      <c r="P600" s="93"/>
    </row>
    <row r="601" customFormat="false" ht="15.75" hidden="false" customHeight="true" outlineLevel="0" collapsed="false">
      <c r="N601" s="93"/>
      <c r="O601" s="93"/>
      <c r="P601" s="93"/>
    </row>
    <row r="602" customFormat="false" ht="15.75" hidden="false" customHeight="true" outlineLevel="0" collapsed="false">
      <c r="N602" s="93"/>
      <c r="O602" s="93"/>
      <c r="P602" s="93"/>
    </row>
    <row r="603" customFormat="false" ht="15.75" hidden="false" customHeight="true" outlineLevel="0" collapsed="false">
      <c r="N603" s="93"/>
      <c r="O603" s="93"/>
      <c r="P603" s="93"/>
    </row>
    <row r="604" customFormat="false" ht="15.75" hidden="false" customHeight="true" outlineLevel="0" collapsed="false">
      <c r="N604" s="93"/>
      <c r="O604" s="93"/>
      <c r="P604" s="93"/>
    </row>
    <row r="605" customFormat="false" ht="15.75" hidden="false" customHeight="true" outlineLevel="0" collapsed="false">
      <c r="N605" s="93"/>
      <c r="O605" s="93"/>
      <c r="P605" s="93"/>
    </row>
    <row r="606" customFormat="false" ht="15.75" hidden="false" customHeight="true" outlineLevel="0" collapsed="false">
      <c r="N606" s="93"/>
      <c r="O606" s="93"/>
      <c r="P606" s="93"/>
    </row>
    <row r="607" customFormat="false" ht="15.75" hidden="false" customHeight="true" outlineLevel="0" collapsed="false">
      <c r="N607" s="93"/>
      <c r="O607" s="93"/>
      <c r="P607" s="93"/>
    </row>
    <row r="608" customFormat="false" ht="15.75" hidden="false" customHeight="true" outlineLevel="0" collapsed="false">
      <c r="N608" s="93"/>
      <c r="O608" s="93"/>
      <c r="P608" s="93"/>
    </row>
    <row r="609" customFormat="false" ht="15.75" hidden="false" customHeight="true" outlineLevel="0" collapsed="false">
      <c r="N609" s="93"/>
      <c r="O609" s="93"/>
      <c r="P609" s="93"/>
    </row>
    <row r="610" customFormat="false" ht="15.75" hidden="false" customHeight="true" outlineLevel="0" collapsed="false">
      <c r="N610" s="93"/>
      <c r="O610" s="93"/>
      <c r="P610" s="93"/>
    </row>
    <row r="611" customFormat="false" ht="15.75" hidden="false" customHeight="true" outlineLevel="0" collapsed="false">
      <c r="N611" s="93"/>
      <c r="O611" s="93"/>
      <c r="P611" s="93"/>
    </row>
    <row r="612" customFormat="false" ht="15.75" hidden="false" customHeight="true" outlineLevel="0" collapsed="false">
      <c r="N612" s="93"/>
      <c r="O612" s="93"/>
      <c r="P612" s="93"/>
    </row>
    <row r="613" customFormat="false" ht="15.75" hidden="false" customHeight="true" outlineLevel="0" collapsed="false">
      <c r="N613" s="93"/>
      <c r="O613" s="93"/>
      <c r="P613" s="93"/>
    </row>
    <row r="614" customFormat="false" ht="15.75" hidden="false" customHeight="true" outlineLevel="0" collapsed="false">
      <c r="N614" s="93"/>
      <c r="O614" s="93"/>
      <c r="P614" s="93"/>
    </row>
    <row r="615" customFormat="false" ht="15.75" hidden="false" customHeight="true" outlineLevel="0" collapsed="false">
      <c r="N615" s="93"/>
      <c r="O615" s="93"/>
      <c r="P615" s="93"/>
    </row>
    <row r="616" customFormat="false" ht="15.75" hidden="false" customHeight="true" outlineLevel="0" collapsed="false">
      <c r="N616" s="93"/>
      <c r="O616" s="93"/>
      <c r="P616" s="93"/>
    </row>
    <row r="617" customFormat="false" ht="15.75" hidden="false" customHeight="true" outlineLevel="0" collapsed="false">
      <c r="N617" s="93"/>
      <c r="O617" s="93"/>
      <c r="P617" s="93"/>
    </row>
    <row r="618" customFormat="false" ht="15.75" hidden="false" customHeight="true" outlineLevel="0" collapsed="false">
      <c r="N618" s="93"/>
      <c r="O618" s="93"/>
      <c r="P618" s="93"/>
    </row>
    <row r="619" customFormat="false" ht="15.75" hidden="false" customHeight="true" outlineLevel="0" collapsed="false">
      <c r="N619" s="93"/>
      <c r="O619" s="93"/>
      <c r="P619" s="93"/>
    </row>
    <row r="620" customFormat="false" ht="15.75" hidden="false" customHeight="true" outlineLevel="0" collapsed="false">
      <c r="N620" s="93"/>
      <c r="O620" s="93"/>
      <c r="P620" s="93"/>
    </row>
    <row r="621" customFormat="false" ht="15.75" hidden="false" customHeight="true" outlineLevel="0" collapsed="false">
      <c r="N621" s="93"/>
      <c r="O621" s="93"/>
      <c r="P621" s="93"/>
    </row>
    <row r="622" customFormat="false" ht="15.75" hidden="false" customHeight="true" outlineLevel="0" collapsed="false">
      <c r="N622" s="93"/>
      <c r="O622" s="93"/>
      <c r="P622" s="93"/>
    </row>
    <row r="623" customFormat="false" ht="15.75" hidden="false" customHeight="true" outlineLevel="0" collapsed="false">
      <c r="N623" s="93"/>
      <c r="O623" s="93"/>
      <c r="P623" s="93"/>
    </row>
    <row r="624" customFormat="false" ht="15.75" hidden="false" customHeight="true" outlineLevel="0" collapsed="false">
      <c r="N624" s="93"/>
      <c r="O624" s="93"/>
      <c r="P624" s="93"/>
    </row>
    <row r="625" customFormat="false" ht="15.75" hidden="false" customHeight="true" outlineLevel="0" collapsed="false">
      <c r="N625" s="93"/>
      <c r="O625" s="93"/>
      <c r="P625" s="93"/>
    </row>
    <row r="626" customFormat="false" ht="15.75" hidden="false" customHeight="true" outlineLevel="0" collapsed="false">
      <c r="N626" s="93"/>
      <c r="O626" s="93"/>
      <c r="P626" s="93"/>
    </row>
    <row r="627" customFormat="false" ht="15.75" hidden="false" customHeight="true" outlineLevel="0" collapsed="false">
      <c r="N627" s="93"/>
      <c r="O627" s="93"/>
      <c r="P627" s="93"/>
    </row>
    <row r="628" customFormat="false" ht="15.75" hidden="false" customHeight="true" outlineLevel="0" collapsed="false">
      <c r="N628" s="93"/>
      <c r="O628" s="93"/>
      <c r="P628" s="93"/>
    </row>
    <row r="629" customFormat="false" ht="15.75" hidden="false" customHeight="true" outlineLevel="0" collapsed="false">
      <c r="N629" s="93"/>
      <c r="O629" s="93"/>
      <c r="P629" s="93"/>
    </row>
    <row r="630" customFormat="false" ht="15.75" hidden="false" customHeight="true" outlineLevel="0" collapsed="false">
      <c r="N630" s="93"/>
      <c r="O630" s="93"/>
      <c r="P630" s="93"/>
    </row>
    <row r="631" customFormat="false" ht="15.75" hidden="false" customHeight="true" outlineLevel="0" collapsed="false">
      <c r="N631" s="93"/>
      <c r="O631" s="93"/>
      <c r="P631" s="93"/>
    </row>
    <row r="632" customFormat="false" ht="15.75" hidden="false" customHeight="true" outlineLevel="0" collapsed="false">
      <c r="N632" s="93"/>
      <c r="O632" s="93"/>
      <c r="P632" s="93"/>
    </row>
    <row r="633" customFormat="false" ht="15.75" hidden="false" customHeight="true" outlineLevel="0" collapsed="false">
      <c r="N633" s="93"/>
      <c r="O633" s="93"/>
      <c r="P633" s="93"/>
    </row>
    <row r="634" customFormat="false" ht="15.75" hidden="false" customHeight="true" outlineLevel="0" collapsed="false">
      <c r="N634" s="93"/>
      <c r="O634" s="93"/>
      <c r="P634" s="93"/>
    </row>
    <row r="635" customFormat="false" ht="15.75" hidden="false" customHeight="true" outlineLevel="0" collapsed="false">
      <c r="N635" s="93"/>
      <c r="O635" s="93"/>
      <c r="P635" s="93"/>
    </row>
    <row r="636" customFormat="false" ht="15.75" hidden="false" customHeight="true" outlineLevel="0" collapsed="false">
      <c r="N636" s="93"/>
      <c r="O636" s="93"/>
      <c r="P636" s="93"/>
    </row>
    <row r="637" customFormat="false" ht="15.75" hidden="false" customHeight="true" outlineLevel="0" collapsed="false">
      <c r="N637" s="93"/>
      <c r="O637" s="93"/>
      <c r="P637" s="93"/>
    </row>
    <row r="638" customFormat="false" ht="15.75" hidden="false" customHeight="true" outlineLevel="0" collapsed="false">
      <c r="N638" s="93"/>
      <c r="O638" s="93"/>
      <c r="P638" s="93"/>
    </row>
    <row r="639" customFormat="false" ht="15.75" hidden="false" customHeight="true" outlineLevel="0" collapsed="false">
      <c r="N639" s="93"/>
      <c r="O639" s="93"/>
      <c r="P639" s="93"/>
    </row>
    <row r="640" customFormat="false" ht="15.75" hidden="false" customHeight="true" outlineLevel="0" collapsed="false">
      <c r="N640" s="93"/>
      <c r="O640" s="93"/>
      <c r="P640" s="93"/>
    </row>
    <row r="641" customFormat="false" ht="15.75" hidden="false" customHeight="true" outlineLevel="0" collapsed="false">
      <c r="N641" s="93"/>
      <c r="O641" s="93"/>
      <c r="P641" s="93"/>
    </row>
    <row r="642" customFormat="false" ht="15.75" hidden="false" customHeight="true" outlineLevel="0" collapsed="false">
      <c r="N642" s="93"/>
      <c r="O642" s="93"/>
      <c r="P642" s="93"/>
    </row>
    <row r="643" customFormat="false" ht="15.75" hidden="false" customHeight="true" outlineLevel="0" collapsed="false">
      <c r="N643" s="93"/>
      <c r="O643" s="93"/>
      <c r="P643" s="93"/>
    </row>
    <row r="644" customFormat="false" ht="15.75" hidden="false" customHeight="true" outlineLevel="0" collapsed="false">
      <c r="N644" s="93"/>
      <c r="O644" s="93"/>
      <c r="P644" s="93"/>
    </row>
    <row r="645" customFormat="false" ht="15.75" hidden="false" customHeight="true" outlineLevel="0" collapsed="false">
      <c r="N645" s="93"/>
      <c r="O645" s="93"/>
      <c r="P645" s="93"/>
    </row>
    <row r="646" customFormat="false" ht="15.75" hidden="false" customHeight="true" outlineLevel="0" collapsed="false">
      <c r="N646" s="93"/>
      <c r="O646" s="93"/>
      <c r="P646" s="93"/>
    </row>
    <row r="647" customFormat="false" ht="15.75" hidden="false" customHeight="true" outlineLevel="0" collapsed="false">
      <c r="N647" s="93"/>
      <c r="O647" s="93"/>
      <c r="P647" s="93"/>
    </row>
    <row r="648" customFormat="false" ht="15.75" hidden="false" customHeight="true" outlineLevel="0" collapsed="false">
      <c r="N648" s="93"/>
      <c r="O648" s="93"/>
      <c r="P648" s="93"/>
    </row>
    <row r="649" customFormat="false" ht="15.75" hidden="false" customHeight="true" outlineLevel="0" collapsed="false">
      <c r="N649" s="93"/>
      <c r="O649" s="93"/>
      <c r="P649" s="93"/>
    </row>
    <row r="650" customFormat="false" ht="15.75" hidden="false" customHeight="true" outlineLevel="0" collapsed="false">
      <c r="N650" s="93"/>
      <c r="O650" s="93"/>
      <c r="P650" s="93"/>
    </row>
    <row r="651" customFormat="false" ht="15.75" hidden="false" customHeight="true" outlineLevel="0" collapsed="false">
      <c r="N651" s="93"/>
      <c r="O651" s="93"/>
      <c r="P651" s="93"/>
    </row>
    <row r="652" customFormat="false" ht="15.75" hidden="false" customHeight="true" outlineLevel="0" collapsed="false">
      <c r="N652" s="93"/>
      <c r="O652" s="93"/>
      <c r="P652" s="93"/>
    </row>
    <row r="653" customFormat="false" ht="15.75" hidden="false" customHeight="true" outlineLevel="0" collapsed="false">
      <c r="N653" s="93"/>
      <c r="O653" s="93"/>
      <c r="P653" s="93"/>
    </row>
    <row r="654" customFormat="false" ht="15.75" hidden="false" customHeight="true" outlineLevel="0" collapsed="false">
      <c r="N654" s="93"/>
      <c r="O654" s="93"/>
      <c r="P654" s="93"/>
    </row>
    <row r="655" customFormat="false" ht="15.75" hidden="false" customHeight="true" outlineLevel="0" collapsed="false">
      <c r="N655" s="93"/>
      <c r="O655" s="93"/>
      <c r="P655" s="93"/>
    </row>
    <row r="656" customFormat="false" ht="15.75" hidden="false" customHeight="true" outlineLevel="0" collapsed="false">
      <c r="N656" s="93"/>
      <c r="O656" s="93"/>
      <c r="P656" s="93"/>
    </row>
    <row r="657" customFormat="false" ht="15.75" hidden="false" customHeight="true" outlineLevel="0" collapsed="false">
      <c r="N657" s="93"/>
      <c r="O657" s="93"/>
      <c r="P657" s="93"/>
    </row>
    <row r="658" customFormat="false" ht="15.75" hidden="false" customHeight="true" outlineLevel="0" collapsed="false">
      <c r="N658" s="93"/>
      <c r="O658" s="93"/>
      <c r="P658" s="93"/>
    </row>
    <row r="659" customFormat="false" ht="15.75" hidden="false" customHeight="true" outlineLevel="0" collapsed="false">
      <c r="N659" s="93"/>
      <c r="O659" s="93"/>
      <c r="P659" s="93"/>
    </row>
    <row r="660" customFormat="false" ht="15.75" hidden="false" customHeight="true" outlineLevel="0" collapsed="false">
      <c r="N660" s="93"/>
      <c r="O660" s="93"/>
      <c r="P660" s="93"/>
    </row>
    <row r="661" customFormat="false" ht="15.75" hidden="false" customHeight="true" outlineLevel="0" collapsed="false">
      <c r="N661" s="93"/>
      <c r="O661" s="93"/>
      <c r="P661" s="93"/>
    </row>
    <row r="662" customFormat="false" ht="15.75" hidden="false" customHeight="true" outlineLevel="0" collapsed="false">
      <c r="N662" s="93"/>
      <c r="O662" s="93"/>
      <c r="P662" s="93"/>
    </row>
    <row r="663" customFormat="false" ht="15.75" hidden="false" customHeight="true" outlineLevel="0" collapsed="false">
      <c r="N663" s="93"/>
      <c r="O663" s="93"/>
      <c r="P663" s="93"/>
    </row>
    <row r="664" customFormat="false" ht="15.75" hidden="false" customHeight="true" outlineLevel="0" collapsed="false">
      <c r="N664" s="93"/>
      <c r="O664" s="93"/>
      <c r="P664" s="93"/>
    </row>
    <row r="665" customFormat="false" ht="15.75" hidden="false" customHeight="true" outlineLevel="0" collapsed="false">
      <c r="N665" s="93"/>
      <c r="O665" s="93"/>
      <c r="P665" s="93"/>
    </row>
    <row r="666" customFormat="false" ht="15.75" hidden="false" customHeight="true" outlineLevel="0" collapsed="false">
      <c r="N666" s="93"/>
      <c r="O666" s="93"/>
      <c r="P666" s="93"/>
    </row>
    <row r="667" customFormat="false" ht="15.75" hidden="false" customHeight="true" outlineLevel="0" collapsed="false">
      <c r="N667" s="93"/>
      <c r="O667" s="93"/>
      <c r="P667" s="93"/>
    </row>
    <row r="668" customFormat="false" ht="15.75" hidden="false" customHeight="true" outlineLevel="0" collapsed="false">
      <c r="N668" s="93"/>
      <c r="O668" s="93"/>
      <c r="P668" s="93"/>
    </row>
    <row r="669" customFormat="false" ht="15.75" hidden="false" customHeight="true" outlineLevel="0" collapsed="false">
      <c r="N669" s="93"/>
      <c r="O669" s="93"/>
      <c r="P669" s="93"/>
    </row>
    <row r="670" customFormat="false" ht="15.75" hidden="false" customHeight="true" outlineLevel="0" collapsed="false">
      <c r="N670" s="93"/>
      <c r="O670" s="93"/>
      <c r="P670" s="93"/>
    </row>
    <row r="671" customFormat="false" ht="15.75" hidden="false" customHeight="true" outlineLevel="0" collapsed="false">
      <c r="N671" s="93"/>
      <c r="O671" s="93"/>
      <c r="P671" s="93"/>
    </row>
    <row r="672" customFormat="false" ht="15.75" hidden="false" customHeight="true" outlineLevel="0" collapsed="false">
      <c r="N672" s="93"/>
      <c r="O672" s="93"/>
      <c r="P672" s="93"/>
    </row>
    <row r="673" customFormat="false" ht="15.75" hidden="false" customHeight="true" outlineLevel="0" collapsed="false">
      <c r="N673" s="93"/>
      <c r="O673" s="93"/>
      <c r="P673" s="93"/>
    </row>
    <row r="674" customFormat="false" ht="15.75" hidden="false" customHeight="true" outlineLevel="0" collapsed="false">
      <c r="N674" s="93"/>
      <c r="O674" s="93"/>
      <c r="P674" s="93"/>
    </row>
    <row r="675" customFormat="false" ht="15.75" hidden="false" customHeight="true" outlineLevel="0" collapsed="false">
      <c r="N675" s="93"/>
      <c r="O675" s="93"/>
      <c r="P675" s="93"/>
    </row>
    <row r="676" customFormat="false" ht="15.75" hidden="false" customHeight="true" outlineLevel="0" collapsed="false">
      <c r="N676" s="93"/>
      <c r="O676" s="93"/>
      <c r="P676" s="93"/>
    </row>
    <row r="677" customFormat="false" ht="15.75" hidden="false" customHeight="true" outlineLevel="0" collapsed="false">
      <c r="N677" s="93"/>
      <c r="O677" s="93"/>
      <c r="P677" s="93"/>
    </row>
    <row r="678" customFormat="false" ht="15.75" hidden="false" customHeight="true" outlineLevel="0" collapsed="false">
      <c r="N678" s="93"/>
      <c r="O678" s="93"/>
      <c r="P678" s="93"/>
    </row>
    <row r="679" customFormat="false" ht="15.75" hidden="false" customHeight="true" outlineLevel="0" collapsed="false">
      <c r="N679" s="93"/>
      <c r="O679" s="93"/>
      <c r="P679" s="93"/>
    </row>
    <row r="680" customFormat="false" ht="15.75" hidden="false" customHeight="true" outlineLevel="0" collapsed="false">
      <c r="N680" s="93"/>
      <c r="O680" s="93"/>
      <c r="P680" s="93"/>
    </row>
    <row r="681" customFormat="false" ht="15.75" hidden="false" customHeight="true" outlineLevel="0" collapsed="false">
      <c r="N681" s="93"/>
      <c r="O681" s="93"/>
      <c r="P681" s="93"/>
    </row>
    <row r="682" customFormat="false" ht="15.75" hidden="false" customHeight="true" outlineLevel="0" collapsed="false">
      <c r="N682" s="93"/>
      <c r="O682" s="93"/>
      <c r="P682" s="93"/>
    </row>
    <row r="683" customFormat="false" ht="15.75" hidden="false" customHeight="true" outlineLevel="0" collapsed="false">
      <c r="N683" s="93"/>
      <c r="O683" s="93"/>
      <c r="P683" s="93"/>
    </row>
    <row r="684" customFormat="false" ht="15.75" hidden="false" customHeight="true" outlineLevel="0" collapsed="false">
      <c r="N684" s="93"/>
      <c r="O684" s="93"/>
      <c r="P684" s="93"/>
    </row>
    <row r="685" customFormat="false" ht="15.75" hidden="false" customHeight="true" outlineLevel="0" collapsed="false">
      <c r="N685" s="93"/>
      <c r="O685" s="93"/>
      <c r="P685" s="93"/>
    </row>
    <row r="686" customFormat="false" ht="15.75" hidden="false" customHeight="true" outlineLevel="0" collapsed="false">
      <c r="N686" s="93"/>
      <c r="O686" s="93"/>
      <c r="P686" s="93"/>
    </row>
    <row r="687" customFormat="false" ht="15.75" hidden="false" customHeight="true" outlineLevel="0" collapsed="false">
      <c r="N687" s="93"/>
      <c r="O687" s="93"/>
      <c r="P687" s="93"/>
    </row>
    <row r="688" customFormat="false" ht="15.75" hidden="false" customHeight="true" outlineLevel="0" collapsed="false">
      <c r="N688" s="93"/>
      <c r="O688" s="93"/>
      <c r="P688" s="93"/>
    </row>
    <row r="689" customFormat="false" ht="15.75" hidden="false" customHeight="true" outlineLevel="0" collapsed="false">
      <c r="N689" s="93"/>
      <c r="O689" s="93"/>
      <c r="P689" s="93"/>
    </row>
    <row r="690" customFormat="false" ht="15.75" hidden="false" customHeight="true" outlineLevel="0" collapsed="false">
      <c r="N690" s="93"/>
      <c r="O690" s="93"/>
      <c r="P690" s="93"/>
    </row>
    <row r="691" customFormat="false" ht="15.75" hidden="false" customHeight="true" outlineLevel="0" collapsed="false">
      <c r="N691" s="93"/>
      <c r="O691" s="93"/>
      <c r="P691" s="93"/>
    </row>
    <row r="692" customFormat="false" ht="15.75" hidden="false" customHeight="true" outlineLevel="0" collapsed="false">
      <c r="N692" s="93"/>
      <c r="O692" s="93"/>
      <c r="P692" s="93"/>
    </row>
    <row r="693" customFormat="false" ht="15.75" hidden="false" customHeight="true" outlineLevel="0" collapsed="false">
      <c r="N693" s="93"/>
      <c r="O693" s="93"/>
      <c r="P693" s="93"/>
    </row>
    <row r="694" customFormat="false" ht="15.75" hidden="false" customHeight="true" outlineLevel="0" collapsed="false">
      <c r="N694" s="93"/>
      <c r="O694" s="93"/>
      <c r="P694" s="93"/>
    </row>
    <row r="695" customFormat="false" ht="15.75" hidden="false" customHeight="true" outlineLevel="0" collapsed="false">
      <c r="N695" s="93"/>
      <c r="O695" s="93"/>
      <c r="P695" s="93"/>
    </row>
    <row r="696" customFormat="false" ht="15.75" hidden="false" customHeight="true" outlineLevel="0" collapsed="false">
      <c r="N696" s="93"/>
      <c r="O696" s="93"/>
      <c r="P696" s="93"/>
    </row>
    <row r="697" customFormat="false" ht="15.75" hidden="false" customHeight="true" outlineLevel="0" collapsed="false">
      <c r="N697" s="93"/>
      <c r="O697" s="93"/>
      <c r="P697" s="93"/>
    </row>
    <row r="698" customFormat="false" ht="15.75" hidden="false" customHeight="true" outlineLevel="0" collapsed="false">
      <c r="N698" s="93"/>
      <c r="O698" s="93"/>
      <c r="P698" s="93"/>
    </row>
    <row r="699" customFormat="false" ht="15.75" hidden="false" customHeight="true" outlineLevel="0" collapsed="false">
      <c r="N699" s="93"/>
      <c r="O699" s="93"/>
      <c r="P699" s="93"/>
    </row>
    <row r="700" customFormat="false" ht="15.75" hidden="false" customHeight="true" outlineLevel="0" collapsed="false">
      <c r="N700" s="93"/>
      <c r="O700" s="93"/>
      <c r="P700" s="93"/>
    </row>
    <row r="701" customFormat="false" ht="15.75" hidden="false" customHeight="true" outlineLevel="0" collapsed="false">
      <c r="N701" s="93"/>
      <c r="O701" s="93"/>
      <c r="P701" s="93"/>
    </row>
    <row r="702" customFormat="false" ht="15.75" hidden="false" customHeight="true" outlineLevel="0" collapsed="false">
      <c r="N702" s="93"/>
      <c r="O702" s="93"/>
      <c r="P702" s="93"/>
    </row>
    <row r="703" customFormat="false" ht="15.75" hidden="false" customHeight="true" outlineLevel="0" collapsed="false">
      <c r="N703" s="93"/>
      <c r="O703" s="93"/>
      <c r="P703" s="93"/>
    </row>
    <row r="704" customFormat="false" ht="15.75" hidden="false" customHeight="true" outlineLevel="0" collapsed="false">
      <c r="N704" s="93"/>
      <c r="O704" s="93"/>
      <c r="P704" s="93"/>
    </row>
    <row r="705" customFormat="false" ht="15.75" hidden="false" customHeight="true" outlineLevel="0" collapsed="false">
      <c r="N705" s="93"/>
      <c r="O705" s="93"/>
      <c r="P705" s="93"/>
    </row>
    <row r="706" customFormat="false" ht="15.75" hidden="false" customHeight="true" outlineLevel="0" collapsed="false">
      <c r="N706" s="93"/>
      <c r="O706" s="93"/>
      <c r="P706" s="93"/>
    </row>
    <row r="707" customFormat="false" ht="15.75" hidden="false" customHeight="true" outlineLevel="0" collapsed="false">
      <c r="N707" s="93"/>
      <c r="O707" s="93"/>
      <c r="P707" s="93"/>
    </row>
    <row r="708" customFormat="false" ht="15.75" hidden="false" customHeight="true" outlineLevel="0" collapsed="false">
      <c r="N708" s="93"/>
      <c r="O708" s="93"/>
      <c r="P708" s="93"/>
    </row>
    <row r="709" customFormat="false" ht="15.75" hidden="false" customHeight="true" outlineLevel="0" collapsed="false">
      <c r="N709" s="93"/>
      <c r="O709" s="93"/>
      <c r="P709" s="93"/>
    </row>
    <row r="710" customFormat="false" ht="15.75" hidden="false" customHeight="true" outlineLevel="0" collapsed="false">
      <c r="N710" s="93"/>
      <c r="O710" s="93"/>
      <c r="P710" s="93"/>
    </row>
    <row r="711" customFormat="false" ht="15.75" hidden="false" customHeight="true" outlineLevel="0" collapsed="false">
      <c r="N711" s="93"/>
      <c r="O711" s="93"/>
      <c r="P711" s="93"/>
    </row>
    <row r="712" customFormat="false" ht="15.75" hidden="false" customHeight="true" outlineLevel="0" collapsed="false">
      <c r="N712" s="93"/>
      <c r="O712" s="93"/>
      <c r="P712" s="93"/>
    </row>
    <row r="713" customFormat="false" ht="15.75" hidden="false" customHeight="true" outlineLevel="0" collapsed="false">
      <c r="N713" s="93"/>
      <c r="O713" s="93"/>
      <c r="P713" s="93"/>
    </row>
    <row r="714" customFormat="false" ht="15.75" hidden="false" customHeight="true" outlineLevel="0" collapsed="false">
      <c r="N714" s="93"/>
      <c r="O714" s="93"/>
      <c r="P714" s="93"/>
    </row>
    <row r="715" customFormat="false" ht="15.75" hidden="false" customHeight="true" outlineLevel="0" collapsed="false">
      <c r="N715" s="93"/>
      <c r="O715" s="93"/>
      <c r="P715" s="93"/>
    </row>
    <row r="716" customFormat="false" ht="15.75" hidden="false" customHeight="true" outlineLevel="0" collapsed="false">
      <c r="N716" s="93"/>
      <c r="O716" s="93"/>
      <c r="P716" s="93"/>
    </row>
    <row r="717" customFormat="false" ht="15.75" hidden="false" customHeight="true" outlineLevel="0" collapsed="false">
      <c r="N717" s="93"/>
      <c r="O717" s="93"/>
      <c r="P717" s="93"/>
    </row>
    <row r="718" customFormat="false" ht="15.75" hidden="false" customHeight="true" outlineLevel="0" collapsed="false">
      <c r="N718" s="93"/>
      <c r="O718" s="93"/>
      <c r="P718" s="93"/>
    </row>
    <row r="719" customFormat="false" ht="15.75" hidden="false" customHeight="true" outlineLevel="0" collapsed="false">
      <c r="N719" s="93"/>
      <c r="O719" s="93"/>
      <c r="P719" s="93"/>
    </row>
    <row r="720" customFormat="false" ht="15.75" hidden="false" customHeight="true" outlineLevel="0" collapsed="false">
      <c r="N720" s="93"/>
      <c r="O720" s="93"/>
      <c r="P720" s="93"/>
    </row>
    <row r="721" customFormat="false" ht="15.75" hidden="false" customHeight="true" outlineLevel="0" collapsed="false">
      <c r="N721" s="93"/>
      <c r="O721" s="93"/>
      <c r="P721" s="93"/>
    </row>
    <row r="722" customFormat="false" ht="15.75" hidden="false" customHeight="true" outlineLevel="0" collapsed="false">
      <c r="N722" s="93"/>
      <c r="O722" s="93"/>
      <c r="P722" s="93"/>
    </row>
    <row r="723" customFormat="false" ht="15.75" hidden="false" customHeight="true" outlineLevel="0" collapsed="false">
      <c r="N723" s="93"/>
      <c r="O723" s="93"/>
      <c r="P723" s="93"/>
    </row>
    <row r="724" customFormat="false" ht="15.75" hidden="false" customHeight="true" outlineLevel="0" collapsed="false">
      <c r="N724" s="93"/>
      <c r="O724" s="93"/>
      <c r="P724" s="93"/>
    </row>
    <row r="725" customFormat="false" ht="15.75" hidden="false" customHeight="true" outlineLevel="0" collapsed="false">
      <c r="N725" s="93"/>
      <c r="O725" s="93"/>
      <c r="P725" s="93"/>
    </row>
    <row r="726" customFormat="false" ht="15.75" hidden="false" customHeight="true" outlineLevel="0" collapsed="false">
      <c r="N726" s="93"/>
      <c r="O726" s="93"/>
      <c r="P726" s="93"/>
    </row>
    <row r="727" customFormat="false" ht="15.75" hidden="false" customHeight="true" outlineLevel="0" collapsed="false">
      <c r="N727" s="93"/>
      <c r="O727" s="93"/>
      <c r="P727" s="93"/>
    </row>
    <row r="728" customFormat="false" ht="15.75" hidden="false" customHeight="true" outlineLevel="0" collapsed="false">
      <c r="N728" s="93"/>
      <c r="O728" s="93"/>
      <c r="P728" s="93"/>
    </row>
    <row r="729" customFormat="false" ht="15.75" hidden="false" customHeight="true" outlineLevel="0" collapsed="false">
      <c r="N729" s="93"/>
      <c r="O729" s="93"/>
      <c r="P729" s="93"/>
    </row>
    <row r="730" customFormat="false" ht="15.75" hidden="false" customHeight="true" outlineLevel="0" collapsed="false">
      <c r="N730" s="93"/>
      <c r="O730" s="93"/>
      <c r="P730" s="93"/>
    </row>
    <row r="731" customFormat="false" ht="15.75" hidden="false" customHeight="true" outlineLevel="0" collapsed="false">
      <c r="N731" s="93"/>
      <c r="O731" s="93"/>
      <c r="P731" s="93"/>
    </row>
    <row r="732" customFormat="false" ht="15.75" hidden="false" customHeight="true" outlineLevel="0" collapsed="false">
      <c r="N732" s="93"/>
      <c r="O732" s="93"/>
      <c r="P732" s="93"/>
    </row>
    <row r="733" customFormat="false" ht="15.75" hidden="false" customHeight="true" outlineLevel="0" collapsed="false">
      <c r="N733" s="93"/>
      <c r="O733" s="93"/>
      <c r="P733" s="93"/>
    </row>
    <row r="734" customFormat="false" ht="15.75" hidden="false" customHeight="true" outlineLevel="0" collapsed="false">
      <c r="N734" s="93"/>
      <c r="O734" s="93"/>
      <c r="P734" s="93"/>
    </row>
    <row r="735" customFormat="false" ht="15.75" hidden="false" customHeight="true" outlineLevel="0" collapsed="false">
      <c r="N735" s="93"/>
      <c r="O735" s="93"/>
      <c r="P735" s="93"/>
    </row>
    <row r="736" customFormat="false" ht="15.75" hidden="false" customHeight="true" outlineLevel="0" collapsed="false">
      <c r="N736" s="93"/>
      <c r="O736" s="93"/>
      <c r="P736" s="93"/>
    </row>
    <row r="737" customFormat="false" ht="15.75" hidden="false" customHeight="true" outlineLevel="0" collapsed="false">
      <c r="N737" s="93"/>
      <c r="O737" s="93"/>
      <c r="P737" s="93"/>
    </row>
    <row r="738" customFormat="false" ht="15.75" hidden="false" customHeight="true" outlineLevel="0" collapsed="false">
      <c r="N738" s="93"/>
      <c r="O738" s="93"/>
      <c r="P738" s="93"/>
    </row>
    <row r="739" customFormat="false" ht="15.75" hidden="false" customHeight="true" outlineLevel="0" collapsed="false">
      <c r="N739" s="93"/>
      <c r="O739" s="93"/>
      <c r="P739" s="93"/>
    </row>
    <row r="740" customFormat="false" ht="15.75" hidden="false" customHeight="true" outlineLevel="0" collapsed="false">
      <c r="N740" s="93"/>
      <c r="O740" s="93"/>
      <c r="P740" s="93"/>
    </row>
    <row r="741" customFormat="false" ht="15.75" hidden="false" customHeight="true" outlineLevel="0" collapsed="false">
      <c r="N741" s="93"/>
      <c r="O741" s="93"/>
      <c r="P741" s="93"/>
    </row>
    <row r="742" customFormat="false" ht="15.75" hidden="false" customHeight="true" outlineLevel="0" collapsed="false">
      <c r="N742" s="93"/>
      <c r="O742" s="93"/>
      <c r="P742" s="93"/>
    </row>
    <row r="743" customFormat="false" ht="15.75" hidden="false" customHeight="true" outlineLevel="0" collapsed="false">
      <c r="N743" s="93"/>
      <c r="O743" s="93"/>
      <c r="P743" s="93"/>
    </row>
    <row r="744" customFormat="false" ht="15.75" hidden="false" customHeight="true" outlineLevel="0" collapsed="false">
      <c r="N744" s="93"/>
      <c r="O744" s="93"/>
      <c r="P744" s="93"/>
    </row>
    <row r="745" customFormat="false" ht="15.75" hidden="false" customHeight="true" outlineLevel="0" collapsed="false">
      <c r="N745" s="93"/>
      <c r="O745" s="93"/>
      <c r="P745" s="93"/>
    </row>
    <row r="746" customFormat="false" ht="15.75" hidden="false" customHeight="true" outlineLevel="0" collapsed="false">
      <c r="N746" s="93"/>
      <c r="O746" s="93"/>
      <c r="P746" s="93"/>
    </row>
    <row r="747" customFormat="false" ht="15.75" hidden="false" customHeight="true" outlineLevel="0" collapsed="false">
      <c r="N747" s="93"/>
      <c r="O747" s="93"/>
      <c r="P747" s="93"/>
    </row>
    <row r="748" customFormat="false" ht="15.75" hidden="false" customHeight="true" outlineLevel="0" collapsed="false">
      <c r="N748" s="93"/>
      <c r="O748" s="93"/>
      <c r="P748" s="93"/>
    </row>
    <row r="749" customFormat="false" ht="15.75" hidden="false" customHeight="true" outlineLevel="0" collapsed="false">
      <c r="N749" s="93"/>
      <c r="O749" s="93"/>
      <c r="P749" s="93"/>
    </row>
    <row r="750" customFormat="false" ht="15.75" hidden="false" customHeight="true" outlineLevel="0" collapsed="false">
      <c r="N750" s="93"/>
      <c r="O750" s="93"/>
      <c r="P750" s="93"/>
    </row>
    <row r="751" customFormat="false" ht="15.75" hidden="false" customHeight="true" outlineLevel="0" collapsed="false">
      <c r="N751" s="93"/>
      <c r="O751" s="93"/>
      <c r="P751" s="93"/>
    </row>
    <row r="752" customFormat="false" ht="15.75" hidden="false" customHeight="true" outlineLevel="0" collapsed="false">
      <c r="N752" s="93"/>
      <c r="O752" s="93"/>
      <c r="P752" s="93"/>
    </row>
    <row r="753" customFormat="false" ht="15.75" hidden="false" customHeight="true" outlineLevel="0" collapsed="false">
      <c r="N753" s="93"/>
      <c r="O753" s="93"/>
      <c r="P753" s="93"/>
    </row>
    <row r="754" customFormat="false" ht="15.75" hidden="false" customHeight="true" outlineLevel="0" collapsed="false">
      <c r="N754" s="93"/>
      <c r="O754" s="93"/>
      <c r="P754" s="93"/>
    </row>
    <row r="755" customFormat="false" ht="15.75" hidden="false" customHeight="true" outlineLevel="0" collapsed="false">
      <c r="N755" s="93"/>
      <c r="O755" s="93"/>
      <c r="P755" s="93"/>
    </row>
    <row r="756" customFormat="false" ht="15.75" hidden="false" customHeight="true" outlineLevel="0" collapsed="false">
      <c r="N756" s="93"/>
      <c r="O756" s="93"/>
      <c r="P756" s="93"/>
    </row>
    <row r="757" customFormat="false" ht="15.75" hidden="false" customHeight="true" outlineLevel="0" collapsed="false">
      <c r="N757" s="93"/>
      <c r="O757" s="93"/>
      <c r="P757" s="93"/>
    </row>
    <row r="758" customFormat="false" ht="15.75" hidden="false" customHeight="true" outlineLevel="0" collapsed="false">
      <c r="N758" s="93"/>
      <c r="O758" s="93"/>
      <c r="P758" s="93"/>
    </row>
    <row r="759" customFormat="false" ht="15.75" hidden="false" customHeight="true" outlineLevel="0" collapsed="false">
      <c r="N759" s="93"/>
      <c r="O759" s="93"/>
      <c r="P759" s="93"/>
    </row>
    <row r="760" customFormat="false" ht="15.75" hidden="false" customHeight="true" outlineLevel="0" collapsed="false">
      <c r="N760" s="93"/>
      <c r="O760" s="93"/>
      <c r="P760" s="93"/>
    </row>
    <row r="761" customFormat="false" ht="15.75" hidden="false" customHeight="true" outlineLevel="0" collapsed="false">
      <c r="N761" s="93"/>
      <c r="O761" s="93"/>
      <c r="P761" s="93"/>
    </row>
    <row r="762" customFormat="false" ht="15.75" hidden="false" customHeight="true" outlineLevel="0" collapsed="false">
      <c r="N762" s="93"/>
      <c r="O762" s="93"/>
      <c r="P762" s="93"/>
    </row>
    <row r="763" customFormat="false" ht="15.75" hidden="false" customHeight="true" outlineLevel="0" collapsed="false">
      <c r="N763" s="93"/>
      <c r="O763" s="93"/>
      <c r="P763" s="93"/>
    </row>
    <row r="764" customFormat="false" ht="15.75" hidden="false" customHeight="true" outlineLevel="0" collapsed="false">
      <c r="N764" s="93"/>
      <c r="O764" s="93"/>
      <c r="P764" s="93"/>
    </row>
    <row r="765" customFormat="false" ht="15.75" hidden="false" customHeight="true" outlineLevel="0" collapsed="false">
      <c r="N765" s="93"/>
      <c r="O765" s="93"/>
      <c r="P765" s="93"/>
    </row>
    <row r="766" customFormat="false" ht="15.75" hidden="false" customHeight="true" outlineLevel="0" collapsed="false">
      <c r="N766" s="93"/>
      <c r="O766" s="93"/>
      <c r="P766" s="93"/>
    </row>
    <row r="767" customFormat="false" ht="15.75" hidden="false" customHeight="true" outlineLevel="0" collapsed="false">
      <c r="N767" s="93"/>
      <c r="O767" s="93"/>
      <c r="P767" s="93"/>
    </row>
    <row r="768" customFormat="false" ht="15.75" hidden="false" customHeight="true" outlineLevel="0" collapsed="false">
      <c r="N768" s="93"/>
      <c r="O768" s="93"/>
      <c r="P768" s="93"/>
    </row>
    <row r="769" customFormat="false" ht="15.75" hidden="false" customHeight="true" outlineLevel="0" collapsed="false">
      <c r="N769" s="93"/>
      <c r="O769" s="93"/>
      <c r="P769" s="93"/>
    </row>
    <row r="770" customFormat="false" ht="15.75" hidden="false" customHeight="true" outlineLevel="0" collapsed="false">
      <c r="N770" s="93"/>
      <c r="O770" s="93"/>
      <c r="P770" s="93"/>
    </row>
    <row r="771" customFormat="false" ht="15.75" hidden="false" customHeight="true" outlineLevel="0" collapsed="false">
      <c r="N771" s="93"/>
      <c r="O771" s="93"/>
      <c r="P771" s="93"/>
    </row>
    <row r="772" customFormat="false" ht="15.75" hidden="false" customHeight="true" outlineLevel="0" collapsed="false">
      <c r="N772" s="93"/>
      <c r="O772" s="93"/>
      <c r="P772" s="93"/>
    </row>
    <row r="773" customFormat="false" ht="15.75" hidden="false" customHeight="true" outlineLevel="0" collapsed="false">
      <c r="N773" s="93"/>
      <c r="O773" s="93"/>
      <c r="P773" s="93"/>
    </row>
    <row r="774" customFormat="false" ht="15.75" hidden="false" customHeight="true" outlineLevel="0" collapsed="false">
      <c r="N774" s="93"/>
      <c r="O774" s="93"/>
      <c r="P774" s="93"/>
    </row>
    <row r="775" customFormat="false" ht="15.75" hidden="false" customHeight="true" outlineLevel="0" collapsed="false">
      <c r="N775" s="93"/>
      <c r="O775" s="93"/>
      <c r="P775" s="93"/>
    </row>
    <row r="776" customFormat="false" ht="15.75" hidden="false" customHeight="true" outlineLevel="0" collapsed="false">
      <c r="N776" s="93"/>
      <c r="O776" s="93"/>
      <c r="P776" s="93"/>
    </row>
    <row r="777" customFormat="false" ht="15.75" hidden="false" customHeight="true" outlineLevel="0" collapsed="false">
      <c r="N777" s="93"/>
      <c r="O777" s="93"/>
      <c r="P777" s="93"/>
    </row>
    <row r="778" customFormat="false" ht="15.75" hidden="false" customHeight="true" outlineLevel="0" collapsed="false">
      <c r="N778" s="93"/>
      <c r="O778" s="93"/>
      <c r="P778" s="93"/>
    </row>
    <row r="779" customFormat="false" ht="15.75" hidden="false" customHeight="true" outlineLevel="0" collapsed="false">
      <c r="N779" s="93"/>
      <c r="O779" s="93"/>
      <c r="P779" s="93"/>
    </row>
    <row r="780" customFormat="false" ht="15.75" hidden="false" customHeight="true" outlineLevel="0" collapsed="false">
      <c r="N780" s="93"/>
      <c r="O780" s="93"/>
      <c r="P780" s="93"/>
    </row>
    <row r="781" customFormat="false" ht="15.75" hidden="false" customHeight="true" outlineLevel="0" collapsed="false">
      <c r="N781" s="93"/>
      <c r="O781" s="93"/>
      <c r="P781" s="93"/>
    </row>
    <row r="782" customFormat="false" ht="15.75" hidden="false" customHeight="true" outlineLevel="0" collapsed="false">
      <c r="N782" s="93"/>
      <c r="O782" s="93"/>
      <c r="P782" s="93"/>
    </row>
    <row r="783" customFormat="false" ht="15.75" hidden="false" customHeight="true" outlineLevel="0" collapsed="false">
      <c r="N783" s="93"/>
      <c r="O783" s="93"/>
      <c r="P783" s="93"/>
    </row>
    <row r="784" customFormat="false" ht="15.75" hidden="false" customHeight="true" outlineLevel="0" collapsed="false">
      <c r="N784" s="93"/>
      <c r="O784" s="93"/>
      <c r="P784" s="93"/>
    </row>
    <row r="785" customFormat="false" ht="15.75" hidden="false" customHeight="true" outlineLevel="0" collapsed="false">
      <c r="N785" s="93"/>
      <c r="O785" s="93"/>
      <c r="P785" s="93"/>
    </row>
    <row r="786" customFormat="false" ht="15.75" hidden="false" customHeight="true" outlineLevel="0" collapsed="false">
      <c r="N786" s="93"/>
      <c r="O786" s="93"/>
      <c r="P786" s="93"/>
    </row>
    <row r="787" customFormat="false" ht="15.75" hidden="false" customHeight="true" outlineLevel="0" collapsed="false">
      <c r="N787" s="93"/>
      <c r="O787" s="93"/>
      <c r="P787" s="93"/>
    </row>
    <row r="788" customFormat="false" ht="15.75" hidden="false" customHeight="true" outlineLevel="0" collapsed="false">
      <c r="N788" s="93"/>
      <c r="O788" s="93"/>
      <c r="P788" s="93"/>
    </row>
    <row r="789" customFormat="false" ht="15.75" hidden="false" customHeight="true" outlineLevel="0" collapsed="false">
      <c r="N789" s="93"/>
      <c r="O789" s="93"/>
      <c r="P789" s="93"/>
    </row>
    <row r="790" customFormat="false" ht="15.75" hidden="false" customHeight="true" outlineLevel="0" collapsed="false">
      <c r="N790" s="93"/>
      <c r="O790" s="93"/>
      <c r="P790" s="93"/>
    </row>
    <row r="791" customFormat="false" ht="15.75" hidden="false" customHeight="true" outlineLevel="0" collapsed="false">
      <c r="N791" s="93"/>
      <c r="O791" s="93"/>
      <c r="P791" s="93"/>
    </row>
    <row r="792" customFormat="false" ht="15.75" hidden="false" customHeight="true" outlineLevel="0" collapsed="false">
      <c r="N792" s="93"/>
      <c r="O792" s="93"/>
      <c r="P792" s="93"/>
    </row>
    <row r="793" customFormat="false" ht="15.75" hidden="false" customHeight="true" outlineLevel="0" collapsed="false">
      <c r="N793" s="93"/>
      <c r="O793" s="93"/>
      <c r="P793" s="93"/>
    </row>
    <row r="794" customFormat="false" ht="15.75" hidden="false" customHeight="true" outlineLevel="0" collapsed="false">
      <c r="N794" s="93"/>
      <c r="O794" s="93"/>
      <c r="P794" s="93"/>
    </row>
    <row r="795" customFormat="false" ht="15.75" hidden="false" customHeight="true" outlineLevel="0" collapsed="false">
      <c r="N795" s="93"/>
      <c r="O795" s="93"/>
      <c r="P795" s="93"/>
    </row>
    <row r="796" customFormat="false" ht="15.75" hidden="false" customHeight="true" outlineLevel="0" collapsed="false">
      <c r="N796" s="93"/>
      <c r="O796" s="93"/>
      <c r="P796" s="93"/>
    </row>
    <row r="797" customFormat="false" ht="15.75" hidden="false" customHeight="true" outlineLevel="0" collapsed="false">
      <c r="N797" s="93"/>
      <c r="O797" s="93"/>
      <c r="P797" s="93"/>
    </row>
    <row r="798" customFormat="false" ht="15.75" hidden="false" customHeight="true" outlineLevel="0" collapsed="false">
      <c r="N798" s="93"/>
      <c r="O798" s="93"/>
      <c r="P798" s="93"/>
    </row>
    <row r="799" customFormat="false" ht="15.75" hidden="false" customHeight="true" outlineLevel="0" collapsed="false">
      <c r="N799" s="93"/>
      <c r="O799" s="93"/>
      <c r="P799" s="93"/>
    </row>
    <row r="800" customFormat="false" ht="15.75" hidden="false" customHeight="true" outlineLevel="0" collapsed="false">
      <c r="N800" s="93"/>
      <c r="O800" s="93"/>
      <c r="P800" s="93"/>
    </row>
    <row r="801" customFormat="false" ht="15.75" hidden="false" customHeight="true" outlineLevel="0" collapsed="false">
      <c r="N801" s="93"/>
      <c r="O801" s="93"/>
      <c r="P801" s="93"/>
    </row>
    <row r="802" customFormat="false" ht="15.75" hidden="false" customHeight="true" outlineLevel="0" collapsed="false">
      <c r="N802" s="93"/>
      <c r="O802" s="93"/>
      <c r="P802" s="93"/>
    </row>
    <row r="803" customFormat="false" ht="15.75" hidden="false" customHeight="true" outlineLevel="0" collapsed="false">
      <c r="N803" s="93"/>
      <c r="O803" s="93"/>
      <c r="P803" s="93"/>
    </row>
    <row r="804" customFormat="false" ht="15.75" hidden="false" customHeight="true" outlineLevel="0" collapsed="false">
      <c r="N804" s="93"/>
      <c r="O804" s="93"/>
      <c r="P804" s="93"/>
    </row>
    <row r="805" customFormat="false" ht="15.75" hidden="false" customHeight="true" outlineLevel="0" collapsed="false">
      <c r="N805" s="93"/>
      <c r="O805" s="93"/>
      <c r="P805" s="93"/>
    </row>
    <row r="806" customFormat="false" ht="15.75" hidden="false" customHeight="true" outlineLevel="0" collapsed="false">
      <c r="N806" s="93"/>
      <c r="O806" s="93"/>
      <c r="P806" s="93"/>
    </row>
    <row r="807" customFormat="false" ht="15.75" hidden="false" customHeight="true" outlineLevel="0" collapsed="false">
      <c r="N807" s="93"/>
      <c r="O807" s="93"/>
      <c r="P807" s="93"/>
    </row>
    <row r="808" customFormat="false" ht="15.75" hidden="false" customHeight="true" outlineLevel="0" collapsed="false">
      <c r="N808" s="93"/>
      <c r="O808" s="93"/>
      <c r="P808" s="93"/>
    </row>
    <row r="809" customFormat="false" ht="15.75" hidden="false" customHeight="true" outlineLevel="0" collapsed="false">
      <c r="N809" s="93"/>
      <c r="O809" s="93"/>
      <c r="P809" s="93"/>
    </row>
    <row r="810" customFormat="false" ht="15.75" hidden="false" customHeight="true" outlineLevel="0" collapsed="false">
      <c r="N810" s="93"/>
      <c r="O810" s="93"/>
      <c r="P810" s="93"/>
    </row>
    <row r="811" customFormat="false" ht="15.75" hidden="false" customHeight="true" outlineLevel="0" collapsed="false">
      <c r="N811" s="93"/>
      <c r="O811" s="93"/>
      <c r="P811" s="93"/>
    </row>
    <row r="812" customFormat="false" ht="15.75" hidden="false" customHeight="true" outlineLevel="0" collapsed="false">
      <c r="N812" s="93"/>
      <c r="O812" s="93"/>
      <c r="P812" s="93"/>
    </row>
    <row r="813" customFormat="false" ht="15.75" hidden="false" customHeight="true" outlineLevel="0" collapsed="false">
      <c r="N813" s="93"/>
      <c r="O813" s="93"/>
      <c r="P813" s="93"/>
    </row>
    <row r="814" customFormat="false" ht="15.75" hidden="false" customHeight="true" outlineLevel="0" collapsed="false">
      <c r="N814" s="93"/>
      <c r="O814" s="93"/>
      <c r="P814" s="93"/>
    </row>
    <row r="815" customFormat="false" ht="15.75" hidden="false" customHeight="true" outlineLevel="0" collapsed="false">
      <c r="N815" s="93"/>
      <c r="O815" s="93"/>
      <c r="P815" s="93"/>
    </row>
    <row r="816" customFormat="false" ht="15.75" hidden="false" customHeight="true" outlineLevel="0" collapsed="false">
      <c r="N816" s="93"/>
      <c r="O816" s="93"/>
      <c r="P816" s="93"/>
    </row>
    <row r="817" customFormat="false" ht="15.75" hidden="false" customHeight="true" outlineLevel="0" collapsed="false">
      <c r="N817" s="93"/>
      <c r="O817" s="93"/>
      <c r="P817" s="93"/>
    </row>
    <row r="818" customFormat="false" ht="15.75" hidden="false" customHeight="true" outlineLevel="0" collapsed="false">
      <c r="N818" s="93"/>
      <c r="O818" s="93"/>
      <c r="P818" s="93"/>
    </row>
    <row r="819" customFormat="false" ht="15.75" hidden="false" customHeight="true" outlineLevel="0" collapsed="false">
      <c r="N819" s="93"/>
      <c r="O819" s="93"/>
      <c r="P819" s="93"/>
    </row>
    <row r="820" customFormat="false" ht="15.75" hidden="false" customHeight="true" outlineLevel="0" collapsed="false">
      <c r="N820" s="93"/>
      <c r="O820" s="93"/>
      <c r="P820" s="93"/>
    </row>
    <row r="821" customFormat="false" ht="15.75" hidden="false" customHeight="true" outlineLevel="0" collapsed="false">
      <c r="N821" s="93"/>
      <c r="O821" s="93"/>
      <c r="P821" s="93"/>
    </row>
    <row r="822" customFormat="false" ht="15.75" hidden="false" customHeight="true" outlineLevel="0" collapsed="false">
      <c r="N822" s="93"/>
      <c r="O822" s="93"/>
      <c r="P822" s="93"/>
    </row>
    <row r="823" customFormat="false" ht="15.75" hidden="false" customHeight="true" outlineLevel="0" collapsed="false">
      <c r="N823" s="93"/>
      <c r="O823" s="93"/>
      <c r="P823" s="93"/>
    </row>
    <row r="824" customFormat="false" ht="15.75" hidden="false" customHeight="true" outlineLevel="0" collapsed="false">
      <c r="N824" s="93"/>
      <c r="O824" s="93"/>
      <c r="P824" s="93"/>
    </row>
    <row r="825" customFormat="false" ht="15.75" hidden="false" customHeight="true" outlineLevel="0" collapsed="false">
      <c r="N825" s="93"/>
      <c r="O825" s="93"/>
      <c r="P825" s="93"/>
    </row>
    <row r="826" customFormat="false" ht="15.75" hidden="false" customHeight="true" outlineLevel="0" collapsed="false">
      <c r="N826" s="93"/>
      <c r="O826" s="93"/>
      <c r="P826" s="93"/>
    </row>
    <row r="827" customFormat="false" ht="15.75" hidden="false" customHeight="true" outlineLevel="0" collapsed="false">
      <c r="N827" s="93"/>
      <c r="O827" s="93"/>
      <c r="P827" s="93"/>
    </row>
    <row r="828" customFormat="false" ht="15.75" hidden="false" customHeight="true" outlineLevel="0" collapsed="false">
      <c r="N828" s="93"/>
      <c r="O828" s="93"/>
      <c r="P828" s="93"/>
    </row>
    <row r="829" customFormat="false" ht="15.75" hidden="false" customHeight="true" outlineLevel="0" collapsed="false">
      <c r="N829" s="93"/>
      <c r="O829" s="93"/>
      <c r="P829" s="93"/>
    </row>
    <row r="830" customFormat="false" ht="15.75" hidden="false" customHeight="true" outlineLevel="0" collapsed="false">
      <c r="N830" s="93"/>
      <c r="O830" s="93"/>
      <c r="P830" s="93"/>
    </row>
    <row r="831" customFormat="false" ht="15.75" hidden="false" customHeight="true" outlineLevel="0" collapsed="false">
      <c r="N831" s="93"/>
      <c r="O831" s="93"/>
      <c r="P831" s="93"/>
    </row>
    <row r="832" customFormat="false" ht="15.75" hidden="false" customHeight="true" outlineLevel="0" collapsed="false">
      <c r="N832" s="93"/>
      <c r="O832" s="93"/>
      <c r="P832" s="93"/>
    </row>
    <row r="833" customFormat="false" ht="15.75" hidden="false" customHeight="true" outlineLevel="0" collapsed="false">
      <c r="N833" s="93"/>
      <c r="O833" s="93"/>
      <c r="P833" s="93"/>
    </row>
    <row r="834" customFormat="false" ht="15.75" hidden="false" customHeight="true" outlineLevel="0" collapsed="false">
      <c r="N834" s="93"/>
      <c r="O834" s="93"/>
      <c r="P834" s="93"/>
    </row>
    <row r="835" customFormat="false" ht="15.75" hidden="false" customHeight="true" outlineLevel="0" collapsed="false">
      <c r="N835" s="93"/>
      <c r="O835" s="93"/>
      <c r="P835" s="93"/>
    </row>
    <row r="836" customFormat="false" ht="15.75" hidden="false" customHeight="true" outlineLevel="0" collapsed="false">
      <c r="N836" s="93"/>
      <c r="O836" s="93"/>
      <c r="P836" s="93"/>
    </row>
    <row r="837" customFormat="false" ht="15.75" hidden="false" customHeight="true" outlineLevel="0" collapsed="false">
      <c r="N837" s="93"/>
      <c r="O837" s="93"/>
      <c r="P837" s="93"/>
    </row>
    <row r="838" customFormat="false" ht="15.75" hidden="false" customHeight="true" outlineLevel="0" collapsed="false">
      <c r="N838" s="93"/>
      <c r="O838" s="93"/>
      <c r="P838" s="93"/>
    </row>
    <row r="839" customFormat="false" ht="15.75" hidden="false" customHeight="true" outlineLevel="0" collapsed="false">
      <c r="N839" s="93"/>
      <c r="O839" s="93"/>
      <c r="P839" s="93"/>
    </row>
    <row r="840" customFormat="false" ht="15.75" hidden="false" customHeight="true" outlineLevel="0" collapsed="false">
      <c r="N840" s="93"/>
      <c r="O840" s="93"/>
      <c r="P840" s="93"/>
    </row>
    <row r="841" customFormat="false" ht="15.75" hidden="false" customHeight="true" outlineLevel="0" collapsed="false">
      <c r="N841" s="93"/>
      <c r="O841" s="93"/>
      <c r="P841" s="93"/>
    </row>
    <row r="842" customFormat="false" ht="15.75" hidden="false" customHeight="true" outlineLevel="0" collapsed="false">
      <c r="N842" s="93"/>
      <c r="O842" s="93"/>
      <c r="P842" s="93"/>
    </row>
    <row r="843" customFormat="false" ht="15.75" hidden="false" customHeight="true" outlineLevel="0" collapsed="false">
      <c r="N843" s="93"/>
      <c r="O843" s="93"/>
      <c r="P843" s="93"/>
    </row>
    <row r="844" customFormat="false" ht="15.75" hidden="false" customHeight="true" outlineLevel="0" collapsed="false">
      <c r="N844" s="93"/>
      <c r="O844" s="93"/>
      <c r="P844" s="93"/>
    </row>
    <row r="845" customFormat="false" ht="15.75" hidden="false" customHeight="true" outlineLevel="0" collapsed="false">
      <c r="N845" s="93"/>
      <c r="O845" s="93"/>
      <c r="P845" s="93"/>
    </row>
    <row r="846" customFormat="false" ht="15.75" hidden="false" customHeight="true" outlineLevel="0" collapsed="false">
      <c r="N846" s="93"/>
      <c r="O846" s="93"/>
      <c r="P846" s="93"/>
    </row>
    <row r="847" customFormat="false" ht="15.75" hidden="false" customHeight="true" outlineLevel="0" collapsed="false">
      <c r="N847" s="93"/>
      <c r="O847" s="93"/>
      <c r="P847" s="93"/>
    </row>
    <row r="848" customFormat="false" ht="15.75" hidden="false" customHeight="true" outlineLevel="0" collapsed="false">
      <c r="N848" s="93"/>
      <c r="O848" s="93"/>
      <c r="P848" s="93"/>
    </row>
    <row r="849" customFormat="false" ht="15.75" hidden="false" customHeight="true" outlineLevel="0" collapsed="false">
      <c r="N849" s="93"/>
      <c r="O849" s="93"/>
      <c r="P849" s="93"/>
    </row>
    <row r="850" customFormat="false" ht="15.75" hidden="false" customHeight="true" outlineLevel="0" collapsed="false">
      <c r="N850" s="93"/>
      <c r="O850" s="93"/>
      <c r="P850" s="93"/>
    </row>
    <row r="851" customFormat="false" ht="15.75" hidden="false" customHeight="true" outlineLevel="0" collapsed="false">
      <c r="N851" s="93"/>
      <c r="O851" s="93"/>
      <c r="P851" s="93"/>
    </row>
    <row r="852" customFormat="false" ht="15.75" hidden="false" customHeight="true" outlineLevel="0" collapsed="false">
      <c r="N852" s="93"/>
      <c r="O852" s="93"/>
      <c r="P852" s="93"/>
    </row>
    <row r="853" customFormat="false" ht="15.75" hidden="false" customHeight="true" outlineLevel="0" collapsed="false">
      <c r="N853" s="93"/>
      <c r="O853" s="93"/>
      <c r="P853" s="93"/>
    </row>
    <row r="854" customFormat="false" ht="15.75" hidden="false" customHeight="true" outlineLevel="0" collapsed="false">
      <c r="N854" s="93"/>
      <c r="O854" s="93"/>
      <c r="P854" s="93"/>
    </row>
    <row r="855" customFormat="false" ht="15.75" hidden="false" customHeight="true" outlineLevel="0" collapsed="false">
      <c r="N855" s="93"/>
      <c r="O855" s="93"/>
      <c r="P855" s="93"/>
    </row>
    <row r="856" customFormat="false" ht="15.75" hidden="false" customHeight="true" outlineLevel="0" collapsed="false">
      <c r="N856" s="93"/>
      <c r="O856" s="93"/>
      <c r="P856" s="93"/>
    </row>
    <row r="857" customFormat="false" ht="15.75" hidden="false" customHeight="true" outlineLevel="0" collapsed="false">
      <c r="N857" s="93"/>
      <c r="O857" s="93"/>
      <c r="P857" s="93"/>
    </row>
    <row r="858" customFormat="false" ht="15.75" hidden="false" customHeight="true" outlineLevel="0" collapsed="false">
      <c r="N858" s="93"/>
      <c r="O858" s="93"/>
      <c r="P858" s="93"/>
    </row>
    <row r="859" customFormat="false" ht="15.75" hidden="false" customHeight="true" outlineLevel="0" collapsed="false">
      <c r="N859" s="93"/>
      <c r="O859" s="93"/>
      <c r="P859" s="93"/>
    </row>
    <row r="860" customFormat="false" ht="15.75" hidden="false" customHeight="true" outlineLevel="0" collapsed="false">
      <c r="N860" s="93"/>
      <c r="O860" s="93"/>
      <c r="P860" s="93"/>
    </row>
    <row r="861" customFormat="false" ht="15.75" hidden="false" customHeight="true" outlineLevel="0" collapsed="false">
      <c r="N861" s="93"/>
      <c r="O861" s="93"/>
      <c r="P861" s="93"/>
    </row>
    <row r="862" customFormat="false" ht="15.75" hidden="false" customHeight="true" outlineLevel="0" collapsed="false">
      <c r="N862" s="93"/>
      <c r="O862" s="93"/>
      <c r="P862" s="93"/>
    </row>
    <row r="863" customFormat="false" ht="15.75" hidden="false" customHeight="true" outlineLevel="0" collapsed="false">
      <c r="N863" s="93"/>
      <c r="O863" s="93"/>
      <c r="P863" s="93"/>
    </row>
    <row r="864" customFormat="false" ht="15.75" hidden="false" customHeight="true" outlineLevel="0" collapsed="false">
      <c r="N864" s="93"/>
      <c r="O864" s="93"/>
      <c r="P864" s="93"/>
    </row>
    <row r="865" customFormat="false" ht="15.75" hidden="false" customHeight="true" outlineLevel="0" collapsed="false">
      <c r="N865" s="93"/>
      <c r="O865" s="93"/>
      <c r="P865" s="93"/>
    </row>
    <row r="866" customFormat="false" ht="15.75" hidden="false" customHeight="true" outlineLevel="0" collapsed="false">
      <c r="N866" s="93"/>
      <c r="O866" s="93"/>
      <c r="P866" s="93"/>
    </row>
    <row r="867" customFormat="false" ht="15.75" hidden="false" customHeight="true" outlineLevel="0" collapsed="false">
      <c r="N867" s="93"/>
      <c r="O867" s="93"/>
      <c r="P867" s="93"/>
    </row>
    <row r="868" customFormat="false" ht="15.75" hidden="false" customHeight="true" outlineLevel="0" collapsed="false">
      <c r="N868" s="93"/>
      <c r="O868" s="93"/>
      <c r="P868" s="93"/>
    </row>
    <row r="869" customFormat="false" ht="15.75" hidden="false" customHeight="true" outlineLevel="0" collapsed="false">
      <c r="N869" s="93"/>
      <c r="O869" s="93"/>
      <c r="P869" s="93"/>
    </row>
    <row r="870" customFormat="false" ht="15.75" hidden="false" customHeight="true" outlineLevel="0" collapsed="false">
      <c r="N870" s="93"/>
      <c r="O870" s="93"/>
      <c r="P870" s="93"/>
    </row>
    <row r="871" customFormat="false" ht="15.75" hidden="false" customHeight="true" outlineLevel="0" collapsed="false">
      <c r="N871" s="93"/>
      <c r="O871" s="93"/>
      <c r="P871" s="93"/>
    </row>
    <row r="872" customFormat="false" ht="15.75" hidden="false" customHeight="true" outlineLevel="0" collapsed="false">
      <c r="N872" s="93"/>
      <c r="O872" s="93"/>
      <c r="P872" s="93"/>
    </row>
    <row r="873" customFormat="false" ht="15.75" hidden="false" customHeight="true" outlineLevel="0" collapsed="false">
      <c r="N873" s="93"/>
      <c r="O873" s="93"/>
      <c r="P873" s="93"/>
    </row>
    <row r="874" customFormat="false" ht="15.75" hidden="false" customHeight="true" outlineLevel="0" collapsed="false">
      <c r="N874" s="93"/>
      <c r="O874" s="93"/>
      <c r="P874" s="93"/>
    </row>
    <row r="875" customFormat="false" ht="15.75" hidden="false" customHeight="true" outlineLevel="0" collapsed="false">
      <c r="N875" s="93"/>
      <c r="O875" s="93"/>
      <c r="P875" s="93"/>
    </row>
    <row r="876" customFormat="false" ht="15.75" hidden="false" customHeight="true" outlineLevel="0" collapsed="false">
      <c r="N876" s="93"/>
      <c r="O876" s="93"/>
      <c r="P876" s="93"/>
    </row>
    <row r="877" customFormat="false" ht="15.75" hidden="false" customHeight="true" outlineLevel="0" collapsed="false">
      <c r="N877" s="93"/>
      <c r="O877" s="93"/>
      <c r="P877" s="93"/>
    </row>
    <row r="878" customFormat="false" ht="15.75" hidden="false" customHeight="true" outlineLevel="0" collapsed="false">
      <c r="N878" s="93"/>
      <c r="O878" s="93"/>
      <c r="P878" s="93"/>
    </row>
    <row r="879" customFormat="false" ht="15.75" hidden="false" customHeight="true" outlineLevel="0" collapsed="false">
      <c r="N879" s="93"/>
      <c r="O879" s="93"/>
      <c r="P879" s="93"/>
    </row>
    <row r="880" customFormat="false" ht="15.75" hidden="false" customHeight="true" outlineLevel="0" collapsed="false">
      <c r="N880" s="93"/>
      <c r="O880" s="93"/>
      <c r="P880" s="93"/>
    </row>
    <row r="881" customFormat="false" ht="15.75" hidden="false" customHeight="true" outlineLevel="0" collapsed="false">
      <c r="N881" s="93"/>
      <c r="O881" s="93"/>
      <c r="P881" s="93"/>
    </row>
    <row r="882" customFormat="false" ht="15.75" hidden="false" customHeight="true" outlineLevel="0" collapsed="false">
      <c r="N882" s="93"/>
      <c r="O882" s="93"/>
      <c r="P882" s="93"/>
    </row>
    <row r="883" customFormat="false" ht="15.75" hidden="false" customHeight="true" outlineLevel="0" collapsed="false">
      <c r="N883" s="93"/>
      <c r="O883" s="93"/>
      <c r="P883" s="93"/>
    </row>
    <row r="884" customFormat="false" ht="15.75" hidden="false" customHeight="true" outlineLevel="0" collapsed="false">
      <c r="N884" s="93"/>
      <c r="O884" s="93"/>
      <c r="P884" s="93"/>
    </row>
    <row r="885" customFormat="false" ht="15.75" hidden="false" customHeight="true" outlineLevel="0" collapsed="false">
      <c r="N885" s="93"/>
      <c r="O885" s="93"/>
      <c r="P885" s="93"/>
    </row>
    <row r="886" customFormat="false" ht="15.75" hidden="false" customHeight="true" outlineLevel="0" collapsed="false">
      <c r="N886" s="93"/>
      <c r="O886" s="93"/>
      <c r="P886" s="93"/>
    </row>
    <row r="887" customFormat="false" ht="15.75" hidden="false" customHeight="true" outlineLevel="0" collapsed="false">
      <c r="N887" s="93"/>
      <c r="O887" s="93"/>
      <c r="P887" s="93"/>
    </row>
    <row r="888" customFormat="false" ht="15.75" hidden="false" customHeight="true" outlineLevel="0" collapsed="false">
      <c r="N888" s="93"/>
      <c r="O888" s="93"/>
      <c r="P888" s="93"/>
    </row>
    <row r="889" customFormat="false" ht="15.75" hidden="false" customHeight="true" outlineLevel="0" collapsed="false">
      <c r="N889" s="93"/>
      <c r="O889" s="93"/>
      <c r="P889" s="93"/>
    </row>
    <row r="890" customFormat="false" ht="15.75" hidden="false" customHeight="true" outlineLevel="0" collapsed="false">
      <c r="N890" s="93"/>
      <c r="O890" s="93"/>
      <c r="P890" s="93"/>
    </row>
    <row r="891" customFormat="false" ht="15.75" hidden="false" customHeight="true" outlineLevel="0" collapsed="false">
      <c r="N891" s="93"/>
      <c r="O891" s="93"/>
      <c r="P891" s="93"/>
    </row>
    <row r="892" customFormat="false" ht="15.75" hidden="false" customHeight="true" outlineLevel="0" collapsed="false">
      <c r="N892" s="93"/>
      <c r="O892" s="93"/>
      <c r="P892" s="93"/>
    </row>
    <row r="893" customFormat="false" ht="15.75" hidden="false" customHeight="true" outlineLevel="0" collapsed="false">
      <c r="N893" s="93"/>
      <c r="O893" s="93"/>
      <c r="P893" s="93"/>
    </row>
    <row r="894" customFormat="false" ht="15.75" hidden="false" customHeight="true" outlineLevel="0" collapsed="false">
      <c r="N894" s="93"/>
      <c r="O894" s="93"/>
      <c r="P894" s="93"/>
    </row>
    <row r="895" customFormat="false" ht="15.75" hidden="false" customHeight="true" outlineLevel="0" collapsed="false">
      <c r="N895" s="93"/>
      <c r="O895" s="93"/>
      <c r="P895" s="93"/>
    </row>
    <row r="896" customFormat="false" ht="15.75" hidden="false" customHeight="true" outlineLevel="0" collapsed="false">
      <c r="N896" s="93"/>
      <c r="O896" s="93"/>
      <c r="P896" s="93"/>
    </row>
    <row r="897" customFormat="false" ht="15.75" hidden="false" customHeight="true" outlineLevel="0" collapsed="false">
      <c r="N897" s="93"/>
      <c r="O897" s="93"/>
      <c r="P897" s="93"/>
    </row>
    <row r="898" customFormat="false" ht="15.75" hidden="false" customHeight="true" outlineLevel="0" collapsed="false">
      <c r="N898" s="93"/>
      <c r="O898" s="93"/>
      <c r="P898" s="93"/>
    </row>
    <row r="899" customFormat="false" ht="15.75" hidden="false" customHeight="true" outlineLevel="0" collapsed="false">
      <c r="N899" s="93"/>
      <c r="O899" s="93"/>
      <c r="P899" s="93"/>
    </row>
    <row r="900" customFormat="false" ht="15.75" hidden="false" customHeight="true" outlineLevel="0" collapsed="false">
      <c r="N900" s="93"/>
      <c r="O900" s="93"/>
      <c r="P900" s="93"/>
    </row>
    <row r="901" customFormat="false" ht="15.75" hidden="false" customHeight="true" outlineLevel="0" collapsed="false">
      <c r="N901" s="93"/>
      <c r="O901" s="93"/>
      <c r="P901" s="93"/>
    </row>
    <row r="902" customFormat="false" ht="15.75" hidden="false" customHeight="true" outlineLevel="0" collapsed="false">
      <c r="N902" s="93"/>
      <c r="O902" s="93"/>
      <c r="P902" s="93"/>
    </row>
    <row r="903" customFormat="false" ht="15.75" hidden="false" customHeight="true" outlineLevel="0" collapsed="false">
      <c r="N903" s="93"/>
      <c r="O903" s="93"/>
      <c r="P903" s="93"/>
    </row>
    <row r="904" customFormat="false" ht="15.75" hidden="false" customHeight="true" outlineLevel="0" collapsed="false">
      <c r="N904" s="93"/>
      <c r="O904" s="93"/>
      <c r="P904" s="93"/>
    </row>
    <row r="905" customFormat="false" ht="15.75" hidden="false" customHeight="true" outlineLevel="0" collapsed="false">
      <c r="N905" s="93"/>
      <c r="O905" s="93"/>
      <c r="P905" s="93"/>
    </row>
    <row r="906" customFormat="false" ht="15.75" hidden="false" customHeight="true" outlineLevel="0" collapsed="false">
      <c r="N906" s="93"/>
      <c r="O906" s="93"/>
      <c r="P906" s="93"/>
    </row>
    <row r="907" customFormat="false" ht="15.75" hidden="false" customHeight="true" outlineLevel="0" collapsed="false">
      <c r="N907" s="93"/>
      <c r="O907" s="93"/>
      <c r="P907" s="93"/>
    </row>
    <row r="908" customFormat="false" ht="15.75" hidden="false" customHeight="true" outlineLevel="0" collapsed="false">
      <c r="N908" s="93"/>
      <c r="O908" s="93"/>
      <c r="P908" s="93"/>
    </row>
    <row r="909" customFormat="false" ht="15.75" hidden="false" customHeight="true" outlineLevel="0" collapsed="false">
      <c r="N909" s="93"/>
      <c r="O909" s="93"/>
      <c r="P909" s="93"/>
    </row>
    <row r="910" customFormat="false" ht="15.75" hidden="false" customHeight="true" outlineLevel="0" collapsed="false">
      <c r="N910" s="93"/>
      <c r="O910" s="93"/>
      <c r="P910" s="93"/>
    </row>
    <row r="911" customFormat="false" ht="15.75" hidden="false" customHeight="true" outlineLevel="0" collapsed="false">
      <c r="N911" s="93"/>
      <c r="O911" s="93"/>
      <c r="P911" s="93"/>
    </row>
    <row r="912" customFormat="false" ht="15.75" hidden="false" customHeight="true" outlineLevel="0" collapsed="false">
      <c r="N912" s="93"/>
      <c r="O912" s="93"/>
      <c r="P912" s="93"/>
    </row>
    <row r="913" customFormat="false" ht="15.75" hidden="false" customHeight="true" outlineLevel="0" collapsed="false">
      <c r="N913" s="93"/>
      <c r="O913" s="93"/>
      <c r="P913" s="93"/>
    </row>
    <row r="914" customFormat="false" ht="15.75" hidden="false" customHeight="true" outlineLevel="0" collapsed="false">
      <c r="N914" s="93"/>
      <c r="O914" s="93"/>
      <c r="P914" s="93"/>
    </row>
    <row r="915" customFormat="false" ht="15.75" hidden="false" customHeight="true" outlineLevel="0" collapsed="false">
      <c r="N915" s="93"/>
      <c r="O915" s="93"/>
      <c r="P915" s="93"/>
    </row>
    <row r="916" customFormat="false" ht="15.75" hidden="false" customHeight="true" outlineLevel="0" collapsed="false">
      <c r="N916" s="93"/>
      <c r="O916" s="93"/>
      <c r="P916" s="93"/>
    </row>
    <row r="917" customFormat="false" ht="15.75" hidden="false" customHeight="true" outlineLevel="0" collapsed="false">
      <c r="N917" s="93"/>
      <c r="O917" s="93"/>
      <c r="P917" s="93"/>
    </row>
    <row r="918" customFormat="false" ht="15.75" hidden="false" customHeight="true" outlineLevel="0" collapsed="false">
      <c r="N918" s="93"/>
      <c r="O918" s="93"/>
      <c r="P918" s="93"/>
    </row>
    <row r="919" customFormat="false" ht="15.75" hidden="false" customHeight="true" outlineLevel="0" collapsed="false">
      <c r="N919" s="93"/>
      <c r="O919" s="93"/>
      <c r="P919" s="93"/>
    </row>
    <row r="920" customFormat="false" ht="15.75" hidden="false" customHeight="true" outlineLevel="0" collapsed="false">
      <c r="N920" s="93"/>
      <c r="O920" s="93"/>
      <c r="P920" s="93"/>
    </row>
    <row r="921" customFormat="false" ht="15.75" hidden="false" customHeight="true" outlineLevel="0" collapsed="false">
      <c r="N921" s="93"/>
      <c r="O921" s="93"/>
      <c r="P921" s="93"/>
    </row>
    <row r="922" customFormat="false" ht="15.75" hidden="false" customHeight="true" outlineLevel="0" collapsed="false">
      <c r="N922" s="93"/>
      <c r="O922" s="93"/>
      <c r="P922" s="93"/>
    </row>
    <row r="923" customFormat="false" ht="15.75" hidden="false" customHeight="true" outlineLevel="0" collapsed="false">
      <c r="N923" s="93"/>
      <c r="O923" s="93"/>
      <c r="P923" s="93"/>
    </row>
    <row r="924" customFormat="false" ht="15.75" hidden="false" customHeight="true" outlineLevel="0" collapsed="false">
      <c r="N924" s="93"/>
      <c r="O924" s="93"/>
      <c r="P924" s="93"/>
    </row>
    <row r="925" customFormat="false" ht="15.75" hidden="false" customHeight="true" outlineLevel="0" collapsed="false">
      <c r="N925" s="93"/>
      <c r="O925" s="93"/>
      <c r="P925" s="93"/>
    </row>
    <row r="926" customFormat="false" ht="15.75" hidden="false" customHeight="true" outlineLevel="0" collapsed="false">
      <c r="N926" s="93"/>
      <c r="O926" s="93"/>
      <c r="P926" s="93"/>
    </row>
    <row r="927" customFormat="false" ht="15.75" hidden="false" customHeight="true" outlineLevel="0" collapsed="false">
      <c r="N927" s="93"/>
      <c r="O927" s="93"/>
      <c r="P927" s="93"/>
    </row>
    <row r="928" customFormat="false" ht="15.75" hidden="false" customHeight="true" outlineLevel="0" collapsed="false">
      <c r="N928" s="93"/>
      <c r="O928" s="93"/>
      <c r="P928" s="93"/>
    </row>
    <row r="929" customFormat="false" ht="15.75" hidden="false" customHeight="true" outlineLevel="0" collapsed="false">
      <c r="N929" s="93"/>
      <c r="O929" s="93"/>
      <c r="P929" s="93"/>
    </row>
    <row r="930" customFormat="false" ht="15.75" hidden="false" customHeight="true" outlineLevel="0" collapsed="false">
      <c r="N930" s="93"/>
      <c r="O930" s="93"/>
      <c r="P930" s="93"/>
    </row>
    <row r="931" customFormat="false" ht="15.75" hidden="false" customHeight="true" outlineLevel="0" collapsed="false">
      <c r="N931" s="93"/>
      <c r="O931" s="93"/>
      <c r="P931" s="93"/>
    </row>
    <row r="932" customFormat="false" ht="15.75" hidden="false" customHeight="true" outlineLevel="0" collapsed="false">
      <c r="N932" s="93"/>
      <c r="O932" s="93"/>
      <c r="P932" s="93"/>
    </row>
    <row r="933" customFormat="false" ht="15.75" hidden="false" customHeight="true" outlineLevel="0" collapsed="false">
      <c r="N933" s="93"/>
      <c r="O933" s="93"/>
      <c r="P933" s="93"/>
    </row>
    <row r="934" customFormat="false" ht="15.75" hidden="false" customHeight="true" outlineLevel="0" collapsed="false">
      <c r="N934" s="93"/>
      <c r="O934" s="93"/>
      <c r="P934" s="93"/>
    </row>
    <row r="935" customFormat="false" ht="15.75" hidden="false" customHeight="true" outlineLevel="0" collapsed="false">
      <c r="N935" s="93"/>
      <c r="O935" s="93"/>
      <c r="P935" s="93"/>
    </row>
    <row r="936" customFormat="false" ht="15.75" hidden="false" customHeight="true" outlineLevel="0" collapsed="false">
      <c r="N936" s="93"/>
      <c r="O936" s="93"/>
      <c r="P936" s="93"/>
    </row>
    <row r="937" customFormat="false" ht="15.75" hidden="false" customHeight="true" outlineLevel="0" collapsed="false">
      <c r="N937" s="93"/>
      <c r="O937" s="93"/>
      <c r="P937" s="93"/>
    </row>
    <row r="938" customFormat="false" ht="15.75" hidden="false" customHeight="true" outlineLevel="0" collapsed="false">
      <c r="N938" s="93"/>
      <c r="O938" s="93"/>
      <c r="P938" s="93"/>
    </row>
    <row r="939" customFormat="false" ht="15.75" hidden="false" customHeight="true" outlineLevel="0" collapsed="false">
      <c r="N939" s="93"/>
      <c r="O939" s="93"/>
      <c r="P939" s="93"/>
    </row>
    <row r="940" customFormat="false" ht="15.75" hidden="false" customHeight="true" outlineLevel="0" collapsed="false">
      <c r="N940" s="93"/>
      <c r="O940" s="93"/>
      <c r="P940" s="93"/>
    </row>
    <row r="941" customFormat="false" ht="15.75" hidden="false" customHeight="true" outlineLevel="0" collapsed="false">
      <c r="N941" s="93"/>
      <c r="O941" s="93"/>
      <c r="P941" s="93"/>
    </row>
    <row r="942" customFormat="false" ht="15.75" hidden="false" customHeight="true" outlineLevel="0" collapsed="false">
      <c r="N942" s="93"/>
      <c r="O942" s="93"/>
      <c r="P942" s="93"/>
    </row>
    <row r="943" customFormat="false" ht="15.75" hidden="false" customHeight="true" outlineLevel="0" collapsed="false">
      <c r="N943" s="93"/>
      <c r="O943" s="93"/>
      <c r="P943" s="93"/>
    </row>
    <row r="944" customFormat="false" ht="15.75" hidden="false" customHeight="true" outlineLevel="0" collapsed="false">
      <c r="N944" s="93"/>
      <c r="O944" s="93"/>
      <c r="P944" s="93"/>
    </row>
    <row r="945" customFormat="false" ht="15.75" hidden="false" customHeight="true" outlineLevel="0" collapsed="false">
      <c r="N945" s="93"/>
      <c r="O945" s="93"/>
      <c r="P945" s="93"/>
    </row>
    <row r="946" customFormat="false" ht="15.75" hidden="false" customHeight="true" outlineLevel="0" collapsed="false">
      <c r="N946" s="93"/>
      <c r="O946" s="93"/>
      <c r="P946" s="93"/>
    </row>
    <row r="947" customFormat="false" ht="15.75" hidden="false" customHeight="true" outlineLevel="0" collapsed="false">
      <c r="N947" s="93"/>
      <c r="O947" s="93"/>
      <c r="P947" s="93"/>
    </row>
    <row r="948" customFormat="false" ht="15.75" hidden="false" customHeight="true" outlineLevel="0" collapsed="false">
      <c r="N948" s="93"/>
      <c r="O948" s="93"/>
      <c r="P948" s="93"/>
    </row>
    <row r="949" customFormat="false" ht="15.75" hidden="false" customHeight="true" outlineLevel="0" collapsed="false">
      <c r="N949" s="93"/>
      <c r="O949" s="93"/>
      <c r="P949" s="93"/>
    </row>
    <row r="950" customFormat="false" ht="15.75" hidden="false" customHeight="true" outlineLevel="0" collapsed="false">
      <c r="N950" s="93"/>
      <c r="O950" s="93"/>
      <c r="P950" s="93"/>
    </row>
    <row r="951" customFormat="false" ht="15.75" hidden="false" customHeight="true" outlineLevel="0" collapsed="false">
      <c r="N951" s="93"/>
      <c r="O951" s="93"/>
      <c r="P951" s="93"/>
    </row>
    <row r="952" customFormat="false" ht="15.75" hidden="false" customHeight="true" outlineLevel="0" collapsed="false">
      <c r="N952" s="93"/>
      <c r="O952" s="93"/>
      <c r="P952" s="93"/>
    </row>
    <row r="953" customFormat="false" ht="15.75" hidden="false" customHeight="true" outlineLevel="0" collapsed="false">
      <c r="N953" s="93"/>
      <c r="O953" s="93"/>
      <c r="P953" s="93"/>
    </row>
    <row r="954" customFormat="false" ht="15.75" hidden="false" customHeight="true" outlineLevel="0" collapsed="false">
      <c r="N954" s="93"/>
      <c r="O954" s="93"/>
      <c r="P954" s="93"/>
    </row>
    <row r="955" customFormat="false" ht="15.75" hidden="false" customHeight="true" outlineLevel="0" collapsed="false">
      <c r="N955" s="93"/>
      <c r="O955" s="93"/>
      <c r="P955" s="93"/>
    </row>
    <row r="956" customFormat="false" ht="15.75" hidden="false" customHeight="true" outlineLevel="0" collapsed="false">
      <c r="N956" s="93"/>
      <c r="O956" s="93"/>
      <c r="P956" s="93"/>
    </row>
    <row r="957" customFormat="false" ht="15.75" hidden="false" customHeight="true" outlineLevel="0" collapsed="false">
      <c r="N957" s="93"/>
      <c r="O957" s="93"/>
      <c r="P957" s="93"/>
    </row>
    <row r="958" customFormat="false" ht="15.75" hidden="false" customHeight="true" outlineLevel="0" collapsed="false">
      <c r="N958" s="93"/>
      <c r="O958" s="93"/>
      <c r="P958" s="93"/>
    </row>
    <row r="959" customFormat="false" ht="15.75" hidden="false" customHeight="true" outlineLevel="0" collapsed="false">
      <c r="N959" s="93"/>
      <c r="O959" s="93"/>
      <c r="P959" s="93"/>
    </row>
    <row r="960" customFormat="false" ht="15.75" hidden="false" customHeight="true" outlineLevel="0" collapsed="false">
      <c r="N960" s="93"/>
      <c r="O960" s="93"/>
      <c r="P960" s="93"/>
    </row>
    <row r="961" customFormat="false" ht="15.75" hidden="false" customHeight="true" outlineLevel="0" collapsed="false">
      <c r="N961" s="93"/>
      <c r="O961" s="93"/>
      <c r="P961" s="93"/>
    </row>
    <row r="962" customFormat="false" ht="15.75" hidden="false" customHeight="true" outlineLevel="0" collapsed="false">
      <c r="N962" s="93"/>
      <c r="O962" s="93"/>
      <c r="P962" s="93"/>
    </row>
    <row r="963" customFormat="false" ht="15.75" hidden="false" customHeight="true" outlineLevel="0" collapsed="false">
      <c r="N963" s="93"/>
      <c r="O963" s="93"/>
      <c r="P963" s="93"/>
    </row>
    <row r="964" customFormat="false" ht="15.75" hidden="false" customHeight="true" outlineLevel="0" collapsed="false">
      <c r="N964" s="93"/>
      <c r="O964" s="93"/>
      <c r="P964" s="93"/>
    </row>
    <row r="965" customFormat="false" ht="15.75" hidden="false" customHeight="true" outlineLevel="0" collapsed="false">
      <c r="N965" s="93"/>
      <c r="O965" s="93"/>
      <c r="P965" s="93"/>
    </row>
    <row r="966" customFormat="false" ht="15.75" hidden="false" customHeight="true" outlineLevel="0" collapsed="false">
      <c r="N966" s="93"/>
      <c r="O966" s="93"/>
      <c r="P966" s="93"/>
    </row>
    <row r="967" customFormat="false" ht="15.75" hidden="false" customHeight="true" outlineLevel="0" collapsed="false">
      <c r="N967" s="93"/>
      <c r="O967" s="93"/>
      <c r="P967" s="93"/>
    </row>
    <row r="968" customFormat="false" ht="15.75" hidden="false" customHeight="true" outlineLevel="0" collapsed="false">
      <c r="N968" s="93"/>
      <c r="O968" s="93"/>
      <c r="P968" s="93"/>
    </row>
    <row r="969" customFormat="false" ht="15.75" hidden="false" customHeight="true" outlineLevel="0" collapsed="false">
      <c r="N969" s="93"/>
      <c r="O969" s="93"/>
      <c r="P969" s="93"/>
    </row>
    <row r="970" customFormat="false" ht="15.75" hidden="false" customHeight="true" outlineLevel="0" collapsed="false">
      <c r="N970" s="93"/>
      <c r="O970" s="93"/>
      <c r="P970" s="93"/>
    </row>
    <row r="971" customFormat="false" ht="15.75" hidden="false" customHeight="true" outlineLevel="0" collapsed="false">
      <c r="N971" s="93"/>
      <c r="O971" s="93"/>
      <c r="P971" s="93"/>
    </row>
    <row r="972" customFormat="false" ht="15.75" hidden="false" customHeight="true" outlineLevel="0" collapsed="false">
      <c r="N972" s="93"/>
      <c r="O972" s="93"/>
      <c r="P972" s="93"/>
    </row>
    <row r="973" customFormat="false" ht="15.75" hidden="false" customHeight="true" outlineLevel="0" collapsed="false">
      <c r="N973" s="93"/>
      <c r="O973" s="93"/>
      <c r="P973" s="93"/>
    </row>
    <row r="974" customFormat="false" ht="15.75" hidden="false" customHeight="true" outlineLevel="0" collapsed="false">
      <c r="N974" s="93"/>
      <c r="O974" s="93"/>
      <c r="P974" s="93"/>
    </row>
    <row r="975" customFormat="false" ht="15.75" hidden="false" customHeight="true" outlineLevel="0" collapsed="false">
      <c r="N975" s="93"/>
      <c r="O975" s="93"/>
      <c r="P975" s="93"/>
    </row>
    <row r="976" customFormat="false" ht="15.75" hidden="false" customHeight="true" outlineLevel="0" collapsed="false">
      <c r="N976" s="93"/>
      <c r="O976" s="93"/>
      <c r="P976" s="93"/>
    </row>
    <row r="977" customFormat="false" ht="15.75" hidden="false" customHeight="true" outlineLevel="0" collapsed="false">
      <c r="N977" s="93"/>
      <c r="O977" s="93"/>
      <c r="P977" s="93"/>
    </row>
    <row r="978" customFormat="false" ht="15.75" hidden="false" customHeight="true" outlineLevel="0" collapsed="false">
      <c r="N978" s="93"/>
      <c r="O978" s="93"/>
      <c r="P978" s="93"/>
    </row>
    <row r="979" customFormat="false" ht="15.75" hidden="false" customHeight="true" outlineLevel="0" collapsed="false">
      <c r="N979" s="93"/>
      <c r="O979" s="93"/>
      <c r="P979" s="93"/>
    </row>
    <row r="980" customFormat="false" ht="15.75" hidden="false" customHeight="true" outlineLevel="0" collapsed="false">
      <c r="N980" s="93"/>
      <c r="O980" s="93"/>
      <c r="P980" s="93"/>
    </row>
    <row r="981" customFormat="false" ht="15.75" hidden="false" customHeight="true" outlineLevel="0" collapsed="false">
      <c r="N981" s="93"/>
      <c r="O981" s="93"/>
      <c r="P981" s="93"/>
    </row>
    <row r="982" customFormat="false" ht="15.75" hidden="false" customHeight="true" outlineLevel="0" collapsed="false">
      <c r="N982" s="93"/>
      <c r="O982" s="93"/>
      <c r="P982" s="93"/>
    </row>
    <row r="983" customFormat="false" ht="15.75" hidden="false" customHeight="true" outlineLevel="0" collapsed="false">
      <c r="N983" s="93"/>
      <c r="O983" s="93"/>
      <c r="P983" s="93"/>
    </row>
    <row r="984" customFormat="false" ht="15.75" hidden="false" customHeight="true" outlineLevel="0" collapsed="false">
      <c r="N984" s="93"/>
      <c r="O984" s="93"/>
      <c r="P984" s="93"/>
    </row>
    <row r="985" customFormat="false" ht="15.75" hidden="false" customHeight="true" outlineLevel="0" collapsed="false">
      <c r="N985" s="93"/>
      <c r="O985" s="93"/>
      <c r="P985" s="93"/>
    </row>
    <row r="986" customFormat="false" ht="15.75" hidden="false" customHeight="true" outlineLevel="0" collapsed="false">
      <c r="N986" s="93"/>
      <c r="O986" s="93"/>
      <c r="P986" s="93"/>
    </row>
    <row r="987" customFormat="false" ht="15.75" hidden="false" customHeight="true" outlineLevel="0" collapsed="false">
      <c r="N987" s="93"/>
      <c r="O987" s="93"/>
      <c r="P987" s="93"/>
    </row>
    <row r="988" customFormat="false" ht="15.75" hidden="false" customHeight="true" outlineLevel="0" collapsed="false">
      <c r="N988" s="93"/>
      <c r="O988" s="93"/>
      <c r="P988" s="93"/>
    </row>
    <row r="989" customFormat="false" ht="15.75" hidden="false" customHeight="true" outlineLevel="0" collapsed="false">
      <c r="N989" s="93"/>
      <c r="O989" s="93"/>
      <c r="P989" s="93"/>
    </row>
    <row r="990" customFormat="false" ht="15.75" hidden="false" customHeight="true" outlineLevel="0" collapsed="false">
      <c r="N990" s="93"/>
      <c r="O990" s="93"/>
      <c r="P990" s="93"/>
    </row>
    <row r="991" customFormat="false" ht="15.75" hidden="false" customHeight="true" outlineLevel="0" collapsed="false">
      <c r="N991" s="93"/>
      <c r="O991" s="93"/>
      <c r="P991" s="93"/>
    </row>
    <row r="992" customFormat="false" ht="15.75" hidden="false" customHeight="true" outlineLevel="0" collapsed="false">
      <c r="N992" s="93"/>
      <c r="O992" s="93"/>
      <c r="P992" s="93"/>
    </row>
    <row r="993" customFormat="false" ht="15.75" hidden="false" customHeight="true" outlineLevel="0" collapsed="false">
      <c r="N993" s="93"/>
      <c r="O993" s="93"/>
      <c r="P993" s="93"/>
    </row>
    <row r="994" customFormat="false" ht="15.75" hidden="false" customHeight="true" outlineLevel="0" collapsed="false">
      <c r="N994" s="93"/>
      <c r="O994" s="93"/>
      <c r="P994" s="93"/>
    </row>
    <row r="995" customFormat="false" ht="15.75" hidden="false" customHeight="true" outlineLevel="0" collapsed="false">
      <c r="N995" s="93"/>
      <c r="O995" s="93"/>
      <c r="P995" s="93"/>
    </row>
    <row r="996" customFormat="false" ht="15.75" hidden="false" customHeight="true" outlineLevel="0" collapsed="false">
      <c r="N996" s="93"/>
      <c r="O996" s="93"/>
      <c r="P996" s="93"/>
    </row>
    <row r="997" customFormat="false" ht="15.75" hidden="false" customHeight="true" outlineLevel="0" collapsed="false">
      <c r="N997" s="93"/>
      <c r="O997" s="93"/>
      <c r="P997" s="93"/>
    </row>
    <row r="998" customFormat="false" ht="15.75" hidden="false" customHeight="true" outlineLevel="0" collapsed="false">
      <c r="N998" s="93"/>
      <c r="O998" s="93"/>
      <c r="P998" s="93"/>
    </row>
    <row r="999" customFormat="false" ht="15.75" hidden="false" customHeight="true" outlineLevel="0" collapsed="false">
      <c r="N999" s="93"/>
      <c r="O999" s="93"/>
      <c r="P999" s="93"/>
    </row>
    <row r="1000" customFormat="false" ht="15.75" hidden="false" customHeight="true" outlineLevel="0" collapsed="false">
      <c r="N1000" s="93"/>
      <c r="O1000" s="93"/>
      <c r="P1000" s="93"/>
    </row>
    <row r="1001" customFormat="false" ht="15.75" hidden="false" customHeight="true" outlineLevel="0" collapsed="false">
      <c r="N1001" s="93"/>
      <c r="O1001" s="93"/>
      <c r="P1001" s="93"/>
    </row>
    <row r="1002" customFormat="false" ht="15.75" hidden="false" customHeight="true" outlineLevel="0" collapsed="false">
      <c r="N1002" s="93"/>
      <c r="O1002" s="93"/>
      <c r="P1002" s="93"/>
    </row>
    <row r="1003" customFormat="false" ht="15.75" hidden="false" customHeight="true" outlineLevel="0" collapsed="false">
      <c r="N1003" s="93"/>
      <c r="O1003" s="93"/>
      <c r="P1003" s="93"/>
    </row>
    <row r="1004" customFormat="false" ht="15.75" hidden="false" customHeight="true" outlineLevel="0" collapsed="false">
      <c r="N1004" s="93"/>
      <c r="O1004" s="93"/>
      <c r="P1004" s="93"/>
    </row>
    <row r="1005" customFormat="false" ht="15.75" hidden="false" customHeight="true" outlineLevel="0" collapsed="false">
      <c r="N1005" s="93"/>
      <c r="O1005" s="93"/>
      <c r="P1005" s="93"/>
    </row>
    <row r="1006" customFormat="false" ht="15.75" hidden="false" customHeight="true" outlineLevel="0" collapsed="false">
      <c r="N1006" s="93"/>
      <c r="O1006" s="93"/>
      <c r="P1006" s="93"/>
    </row>
    <row r="1007" customFormat="false" ht="15.75" hidden="false" customHeight="true" outlineLevel="0" collapsed="false">
      <c r="N1007" s="93"/>
      <c r="O1007" s="93"/>
      <c r="P1007" s="93"/>
    </row>
    <row r="1008" customFormat="false" ht="15.75" hidden="false" customHeight="true" outlineLevel="0" collapsed="false">
      <c r="N1008" s="93"/>
      <c r="O1008" s="93"/>
      <c r="P1008" s="93"/>
    </row>
    <row r="1009" customFormat="false" ht="15.75" hidden="false" customHeight="true" outlineLevel="0" collapsed="false">
      <c r="N1009" s="93"/>
      <c r="O1009" s="93"/>
      <c r="P1009" s="93"/>
    </row>
    <row r="1010" customFormat="false" ht="15.75" hidden="false" customHeight="true" outlineLevel="0" collapsed="false">
      <c r="N1010" s="93"/>
      <c r="O1010" s="93"/>
      <c r="P1010" s="93"/>
    </row>
    <row r="1011" customFormat="false" ht="15.75" hidden="false" customHeight="true" outlineLevel="0" collapsed="false">
      <c r="N1011" s="93"/>
      <c r="O1011" s="93"/>
      <c r="P1011" s="93"/>
    </row>
    <row r="1012" customFormat="false" ht="15.75" hidden="false" customHeight="true" outlineLevel="0" collapsed="false">
      <c r="N1012" s="93"/>
      <c r="O1012" s="93"/>
      <c r="P1012" s="93"/>
    </row>
    <row r="1013" customFormat="false" ht="15.75" hidden="false" customHeight="true" outlineLevel="0" collapsed="false">
      <c r="N1013" s="93"/>
      <c r="O1013" s="93"/>
      <c r="P1013" s="93"/>
    </row>
    <row r="1014" customFormat="false" ht="15.75" hidden="false" customHeight="true" outlineLevel="0" collapsed="false">
      <c r="N1014" s="93"/>
      <c r="O1014" s="93"/>
      <c r="P1014" s="93"/>
    </row>
    <row r="1015" customFormat="false" ht="15.75" hidden="false" customHeight="true" outlineLevel="0" collapsed="false">
      <c r="N1015" s="93"/>
      <c r="O1015" s="93"/>
      <c r="P1015" s="93"/>
    </row>
    <row r="1016" customFormat="false" ht="15.75" hidden="false" customHeight="true" outlineLevel="0" collapsed="false">
      <c r="N1016" s="93"/>
      <c r="O1016" s="93"/>
      <c r="P1016" s="93"/>
    </row>
    <row r="1017" customFormat="false" ht="15.75" hidden="false" customHeight="true" outlineLevel="0" collapsed="false">
      <c r="N1017" s="93"/>
      <c r="O1017" s="93"/>
      <c r="P1017" s="93"/>
    </row>
    <row r="1018" customFormat="false" ht="15.75" hidden="false" customHeight="true" outlineLevel="0" collapsed="false">
      <c r="N1018" s="93"/>
      <c r="O1018" s="93"/>
      <c r="P1018" s="93"/>
    </row>
    <row r="1019" customFormat="false" ht="15.75" hidden="false" customHeight="true" outlineLevel="0" collapsed="false">
      <c r="N1019" s="93"/>
      <c r="O1019" s="93"/>
      <c r="P1019" s="93"/>
    </row>
    <row r="1020" customFormat="false" ht="15.75" hidden="false" customHeight="true" outlineLevel="0" collapsed="false">
      <c r="N1020" s="93"/>
      <c r="O1020" s="93"/>
      <c r="P1020" s="93"/>
    </row>
    <row r="1021" customFormat="false" ht="15.75" hidden="false" customHeight="true" outlineLevel="0" collapsed="false">
      <c r="N1021" s="93"/>
      <c r="O1021" s="93"/>
      <c r="P1021" s="93"/>
    </row>
    <row r="1022" customFormat="false" ht="15" hidden="false" customHeight="true" outlineLevel="0" collapsed="false">
      <c r="N1022" s="93"/>
      <c r="O1022" s="93"/>
      <c r="P1022" s="93"/>
    </row>
    <row r="1023" customFormat="false" ht="15" hidden="false" customHeight="true" outlineLevel="0" collapsed="false">
      <c r="N1023" s="93"/>
      <c r="O1023" s="93"/>
      <c r="P1023" s="93"/>
    </row>
    <row r="1024" customFormat="false" ht="15" hidden="false" customHeight="true" outlineLevel="0" collapsed="false">
      <c r="N1024" s="93"/>
      <c r="O1024" s="93"/>
      <c r="P1024" s="93"/>
    </row>
    <row r="1025" customFormat="false" ht="15" hidden="false" customHeight="true" outlineLevel="0" collapsed="false">
      <c r="N1025" s="93"/>
      <c r="O1025" s="93"/>
      <c r="P1025" s="93"/>
    </row>
    <row r="1026" customFormat="false" ht="15" hidden="false" customHeight="true" outlineLevel="0" collapsed="false">
      <c r="N1026" s="93"/>
      <c r="O1026" s="93"/>
      <c r="P1026" s="93"/>
    </row>
    <row r="1027" customFormat="false" ht="15" hidden="false" customHeight="true" outlineLevel="0" collapsed="false">
      <c r="N1027" s="93"/>
      <c r="O1027" s="93"/>
      <c r="P1027" s="93"/>
    </row>
    <row r="1028" customFormat="false" ht="15" hidden="false" customHeight="true" outlineLevel="0" collapsed="false">
      <c r="N1028" s="93"/>
      <c r="O1028" s="93"/>
      <c r="P1028" s="93"/>
    </row>
    <row r="1029" customFormat="false" ht="15" hidden="false" customHeight="true" outlineLevel="0" collapsed="false">
      <c r="N1029" s="93"/>
      <c r="O1029" s="93"/>
      <c r="P1029" s="93"/>
    </row>
    <row r="1030" customFormat="false" ht="15" hidden="false" customHeight="true" outlineLevel="0" collapsed="false">
      <c r="N1030" s="93"/>
      <c r="O1030" s="93"/>
      <c r="P1030" s="93"/>
    </row>
    <row r="1031" customFormat="false" ht="15" hidden="false" customHeight="true" outlineLevel="0" collapsed="false">
      <c r="N1031" s="93"/>
      <c r="O1031" s="93"/>
      <c r="P1031" s="93"/>
    </row>
    <row r="1032" customFormat="false" ht="15" hidden="false" customHeight="true" outlineLevel="0" collapsed="false">
      <c r="N1032" s="93"/>
      <c r="O1032" s="93"/>
      <c r="P1032" s="93"/>
    </row>
    <row r="1033" customFormat="false" ht="15" hidden="false" customHeight="true" outlineLevel="0" collapsed="false">
      <c r="N1033" s="93"/>
      <c r="O1033" s="93"/>
      <c r="P1033" s="93"/>
    </row>
    <row r="1034" customFormat="false" ht="15" hidden="false" customHeight="true" outlineLevel="0" collapsed="false">
      <c r="N1034" s="93"/>
      <c r="O1034" s="93"/>
      <c r="P1034" s="93"/>
    </row>
    <row r="1035" customFormat="false" ht="15" hidden="false" customHeight="true" outlineLevel="0" collapsed="false">
      <c r="N1035" s="93"/>
      <c r="O1035" s="93"/>
      <c r="P1035" s="93"/>
    </row>
    <row r="1036" customFormat="false" ht="15" hidden="false" customHeight="true" outlineLevel="0" collapsed="false">
      <c r="N1036" s="93"/>
      <c r="O1036" s="93"/>
      <c r="P1036" s="93"/>
    </row>
    <row r="1037" customFormat="false" ht="15" hidden="false" customHeight="true" outlineLevel="0" collapsed="false">
      <c r="N1037" s="93"/>
      <c r="O1037" s="93"/>
      <c r="P1037" s="93"/>
    </row>
    <row r="1038" customFormat="false" ht="15" hidden="false" customHeight="true" outlineLevel="0" collapsed="false">
      <c r="N1038" s="93"/>
      <c r="O1038" s="93"/>
      <c r="P1038" s="93"/>
    </row>
    <row r="1039" customFormat="false" ht="15" hidden="false" customHeight="true" outlineLevel="0" collapsed="false">
      <c r="N1039" s="93"/>
      <c r="O1039" s="93"/>
      <c r="P1039" s="93"/>
    </row>
    <row r="1040" customFormat="false" ht="15" hidden="false" customHeight="true" outlineLevel="0" collapsed="false">
      <c r="N1040" s="93"/>
      <c r="O1040" s="93"/>
      <c r="P1040" s="93"/>
    </row>
    <row r="1041" customFormat="false" ht="15" hidden="false" customHeight="true" outlineLevel="0" collapsed="false">
      <c r="N1041" s="93"/>
      <c r="O1041" s="93"/>
      <c r="P1041" s="93"/>
    </row>
    <row r="1042" customFormat="false" ht="15" hidden="false" customHeight="true" outlineLevel="0" collapsed="false">
      <c r="N1042" s="93"/>
      <c r="O1042" s="93"/>
      <c r="P1042" s="93"/>
    </row>
    <row r="1043" customFormat="false" ht="15" hidden="false" customHeight="true" outlineLevel="0" collapsed="false">
      <c r="N1043" s="93"/>
      <c r="O1043" s="93"/>
      <c r="P1043" s="93"/>
    </row>
    <row r="1044" customFormat="false" ht="15" hidden="false" customHeight="true" outlineLevel="0" collapsed="false">
      <c r="N1044" s="93"/>
      <c r="O1044" s="93"/>
      <c r="P1044" s="93"/>
    </row>
    <row r="1045" customFormat="false" ht="15" hidden="false" customHeight="true" outlineLevel="0" collapsed="false">
      <c r="N1045" s="93"/>
      <c r="O1045" s="93"/>
      <c r="P1045" s="93"/>
    </row>
    <row r="1046" customFormat="false" ht="15" hidden="false" customHeight="true" outlineLevel="0" collapsed="false">
      <c r="N1046" s="93"/>
      <c r="O1046" s="93"/>
      <c r="P1046" s="93"/>
    </row>
    <row r="1047" customFormat="false" ht="15" hidden="false" customHeight="true" outlineLevel="0" collapsed="false">
      <c r="N1047" s="93"/>
      <c r="O1047" s="93"/>
      <c r="P1047" s="93"/>
    </row>
    <row r="1048" customFormat="false" ht="15" hidden="false" customHeight="true" outlineLevel="0" collapsed="false">
      <c r="N1048" s="93"/>
      <c r="O1048" s="93"/>
      <c r="P1048" s="93"/>
    </row>
    <row r="1049" customFormat="false" ht="15" hidden="false" customHeight="true" outlineLevel="0" collapsed="false">
      <c r="N1049" s="93"/>
      <c r="O1049" s="93"/>
      <c r="P1049" s="93"/>
    </row>
    <row r="1050" customFormat="false" ht="15" hidden="false" customHeight="true" outlineLevel="0" collapsed="false">
      <c r="N1050" s="93"/>
      <c r="O1050" s="93"/>
      <c r="P1050" s="93"/>
    </row>
    <row r="1051" customFormat="false" ht="15" hidden="false" customHeight="true" outlineLevel="0" collapsed="false">
      <c r="N1051" s="93"/>
      <c r="O1051" s="93"/>
      <c r="P1051" s="93"/>
    </row>
    <row r="1052" customFormat="false" ht="15" hidden="false" customHeight="true" outlineLevel="0" collapsed="false">
      <c r="N1052" s="93"/>
      <c r="O1052" s="93"/>
      <c r="P1052" s="93"/>
    </row>
    <row r="1053" customFormat="false" ht="15" hidden="false" customHeight="true" outlineLevel="0" collapsed="false">
      <c r="N1053" s="93"/>
      <c r="O1053" s="93"/>
      <c r="P1053" s="93"/>
    </row>
    <row r="1054" customFormat="false" ht="15" hidden="false" customHeight="true" outlineLevel="0" collapsed="false">
      <c r="N1054" s="93"/>
      <c r="O1054" s="93"/>
      <c r="P1054" s="93"/>
    </row>
    <row r="1055" customFormat="false" ht="15" hidden="false" customHeight="true" outlineLevel="0" collapsed="false">
      <c r="N1055" s="93"/>
      <c r="O1055" s="93"/>
      <c r="P1055" s="93"/>
    </row>
    <row r="1056" customFormat="false" ht="15" hidden="false" customHeight="true" outlineLevel="0" collapsed="false">
      <c r="N1056" s="93"/>
      <c r="O1056" s="93"/>
      <c r="P1056" s="93"/>
    </row>
    <row r="1057" customFormat="false" ht="15" hidden="false" customHeight="true" outlineLevel="0" collapsed="false">
      <c r="N1057" s="93"/>
      <c r="O1057" s="93"/>
      <c r="P1057" s="93"/>
    </row>
    <row r="1058" customFormat="false" ht="15" hidden="false" customHeight="true" outlineLevel="0" collapsed="false">
      <c r="N1058" s="93"/>
      <c r="O1058" s="93"/>
      <c r="P1058" s="93"/>
    </row>
    <row r="1059" customFormat="false" ht="15" hidden="false" customHeight="true" outlineLevel="0" collapsed="false">
      <c r="N1059" s="93"/>
      <c r="O1059" s="93"/>
      <c r="P1059" s="93"/>
    </row>
    <row r="1060" customFormat="false" ht="15" hidden="false" customHeight="true" outlineLevel="0" collapsed="false">
      <c r="N1060" s="93"/>
      <c r="O1060" s="93"/>
      <c r="P1060" s="93"/>
    </row>
    <row r="1061" customFormat="false" ht="15" hidden="false" customHeight="true" outlineLevel="0" collapsed="false">
      <c r="N1061" s="93"/>
      <c r="O1061" s="93"/>
      <c r="P1061" s="93"/>
    </row>
    <row r="1062" customFormat="false" ht="15" hidden="false" customHeight="true" outlineLevel="0" collapsed="false">
      <c r="N1062" s="93"/>
      <c r="O1062" s="93"/>
      <c r="P1062" s="93"/>
    </row>
    <row r="1063" customFormat="false" ht="15" hidden="false" customHeight="true" outlineLevel="0" collapsed="false">
      <c r="N1063" s="93"/>
      <c r="O1063" s="93"/>
      <c r="P1063" s="93"/>
    </row>
    <row r="1064" customFormat="false" ht="15" hidden="false" customHeight="true" outlineLevel="0" collapsed="false">
      <c r="N1064" s="93"/>
      <c r="O1064" s="93"/>
      <c r="P1064" s="93"/>
    </row>
    <row r="1065" customFormat="false" ht="15" hidden="false" customHeight="true" outlineLevel="0" collapsed="false">
      <c r="N1065" s="93"/>
      <c r="O1065" s="93"/>
      <c r="P1065" s="93"/>
    </row>
    <row r="1066" customFormat="false" ht="15" hidden="false" customHeight="true" outlineLevel="0" collapsed="false">
      <c r="N1066" s="93"/>
      <c r="O1066" s="93"/>
      <c r="P1066" s="93"/>
    </row>
    <row r="1067" customFormat="false" ht="15" hidden="false" customHeight="true" outlineLevel="0" collapsed="false">
      <c r="N1067" s="93"/>
      <c r="O1067" s="93"/>
      <c r="P1067" s="93"/>
    </row>
    <row r="1068" customFormat="false" ht="15" hidden="false" customHeight="true" outlineLevel="0" collapsed="false">
      <c r="N1068" s="93"/>
      <c r="O1068" s="93"/>
      <c r="P1068" s="93"/>
    </row>
    <row r="1069" customFormat="false" ht="15" hidden="false" customHeight="true" outlineLevel="0" collapsed="false">
      <c r="N1069" s="93"/>
      <c r="O1069" s="93"/>
      <c r="P1069" s="93"/>
    </row>
    <row r="1070" customFormat="false" ht="15" hidden="false" customHeight="true" outlineLevel="0" collapsed="false">
      <c r="N1070" s="93"/>
      <c r="O1070" s="93"/>
      <c r="P1070" s="93"/>
    </row>
    <row r="1071" customFormat="false" ht="15" hidden="false" customHeight="true" outlineLevel="0" collapsed="false">
      <c r="N1071" s="93"/>
      <c r="O1071" s="93"/>
      <c r="P1071" s="93"/>
    </row>
    <row r="1072" customFormat="false" ht="15" hidden="false" customHeight="true" outlineLevel="0" collapsed="false">
      <c r="N1072" s="93"/>
      <c r="O1072" s="93"/>
      <c r="P1072" s="93"/>
    </row>
    <row r="1073" customFormat="false" ht="15" hidden="false" customHeight="true" outlineLevel="0" collapsed="false">
      <c r="N1073" s="93"/>
      <c r="O1073" s="93"/>
      <c r="P1073" s="93"/>
    </row>
    <row r="1074" customFormat="false" ht="15" hidden="false" customHeight="true" outlineLevel="0" collapsed="false">
      <c r="N1074" s="93"/>
      <c r="O1074" s="93"/>
      <c r="P1074" s="93"/>
    </row>
    <row r="1075" customFormat="false" ht="15" hidden="false" customHeight="true" outlineLevel="0" collapsed="false">
      <c r="N1075" s="93"/>
      <c r="O1075" s="93"/>
      <c r="P1075" s="93"/>
    </row>
    <row r="1076" customFormat="false" ht="15" hidden="false" customHeight="true" outlineLevel="0" collapsed="false">
      <c r="N1076" s="93"/>
      <c r="O1076" s="93"/>
      <c r="P1076" s="93"/>
    </row>
    <row r="1077" customFormat="false" ht="15" hidden="false" customHeight="true" outlineLevel="0" collapsed="false">
      <c r="N1077" s="93"/>
      <c r="O1077" s="93"/>
      <c r="P1077" s="93"/>
    </row>
    <row r="1078" customFormat="false" ht="15" hidden="false" customHeight="true" outlineLevel="0" collapsed="false">
      <c r="N1078" s="93"/>
      <c r="O1078" s="93"/>
      <c r="P1078" s="93"/>
    </row>
    <row r="1079" customFormat="false" ht="15" hidden="false" customHeight="true" outlineLevel="0" collapsed="false">
      <c r="N1079" s="93"/>
      <c r="O1079" s="93"/>
      <c r="P1079" s="93"/>
    </row>
    <row r="1080" customFormat="false" ht="15" hidden="false" customHeight="true" outlineLevel="0" collapsed="false">
      <c r="N1080" s="93"/>
      <c r="O1080" s="93"/>
      <c r="P1080" s="93"/>
    </row>
    <row r="1081" customFormat="false" ht="15" hidden="false" customHeight="true" outlineLevel="0" collapsed="false">
      <c r="N1081" s="93"/>
      <c r="O1081" s="93"/>
      <c r="P1081" s="93"/>
    </row>
    <row r="1082" customFormat="false" ht="15" hidden="false" customHeight="true" outlineLevel="0" collapsed="false">
      <c r="N1082" s="93"/>
      <c r="O1082" s="93"/>
      <c r="P1082" s="93"/>
    </row>
    <row r="1083" customFormat="false" ht="15" hidden="false" customHeight="true" outlineLevel="0" collapsed="false">
      <c r="N1083" s="93"/>
      <c r="O1083" s="93"/>
      <c r="P1083" s="93"/>
    </row>
    <row r="1084" customFormat="false" ht="15" hidden="false" customHeight="true" outlineLevel="0" collapsed="false">
      <c r="N1084" s="93"/>
      <c r="O1084" s="93"/>
      <c r="P1084" s="93"/>
    </row>
    <row r="1085" customFormat="false" ht="15" hidden="false" customHeight="true" outlineLevel="0" collapsed="false">
      <c r="N1085" s="93"/>
      <c r="O1085" s="93"/>
      <c r="P1085" s="93"/>
    </row>
    <row r="1086" customFormat="false" ht="15" hidden="false" customHeight="true" outlineLevel="0" collapsed="false">
      <c r="N1086" s="93"/>
      <c r="O1086" s="93"/>
      <c r="P1086" s="93"/>
    </row>
    <row r="1087" customFormat="false" ht="15" hidden="false" customHeight="true" outlineLevel="0" collapsed="false">
      <c r="N1087" s="93"/>
      <c r="O1087" s="93"/>
      <c r="P1087" s="93"/>
    </row>
    <row r="1088" customFormat="false" ht="15" hidden="false" customHeight="true" outlineLevel="0" collapsed="false">
      <c r="N1088" s="93"/>
      <c r="O1088" s="93"/>
      <c r="P1088" s="93"/>
    </row>
    <row r="1089" customFormat="false" ht="15" hidden="false" customHeight="true" outlineLevel="0" collapsed="false">
      <c r="N1089" s="93"/>
      <c r="O1089" s="93"/>
      <c r="P1089" s="93"/>
    </row>
    <row r="1090" customFormat="false" ht="15" hidden="false" customHeight="true" outlineLevel="0" collapsed="false">
      <c r="N1090" s="93"/>
      <c r="O1090" s="93"/>
      <c r="P1090" s="93"/>
    </row>
    <row r="1091" customFormat="false" ht="15" hidden="false" customHeight="true" outlineLevel="0" collapsed="false">
      <c r="N1091" s="93"/>
      <c r="O1091" s="93"/>
      <c r="P1091" s="93"/>
    </row>
    <row r="1092" customFormat="false" ht="15" hidden="false" customHeight="true" outlineLevel="0" collapsed="false">
      <c r="N1092" s="93"/>
      <c r="O1092" s="93"/>
      <c r="P1092" s="93"/>
    </row>
    <row r="1093" customFormat="false" ht="15" hidden="false" customHeight="true" outlineLevel="0" collapsed="false">
      <c r="N1093" s="93"/>
      <c r="O1093" s="93"/>
      <c r="P1093" s="93"/>
    </row>
    <row r="1094" customFormat="false" ht="15" hidden="false" customHeight="true" outlineLevel="0" collapsed="false">
      <c r="N1094" s="93"/>
      <c r="O1094" s="93"/>
      <c r="P1094" s="93"/>
    </row>
    <row r="1095" customFormat="false" ht="15" hidden="false" customHeight="true" outlineLevel="0" collapsed="false">
      <c r="N1095" s="93"/>
      <c r="O1095" s="93"/>
      <c r="P1095" s="93"/>
    </row>
    <row r="1096" customFormat="false" ht="15" hidden="false" customHeight="true" outlineLevel="0" collapsed="false">
      <c r="N1096" s="93"/>
      <c r="O1096" s="93"/>
      <c r="P1096" s="93"/>
    </row>
    <row r="1097" customFormat="false" ht="15" hidden="false" customHeight="true" outlineLevel="0" collapsed="false">
      <c r="N1097" s="93"/>
      <c r="O1097" s="93"/>
      <c r="P1097" s="93"/>
    </row>
    <row r="1098" customFormat="false" ht="15" hidden="false" customHeight="true" outlineLevel="0" collapsed="false">
      <c r="N1098" s="93"/>
      <c r="O1098" s="93"/>
      <c r="P1098" s="93"/>
    </row>
    <row r="1099" customFormat="false" ht="15" hidden="false" customHeight="true" outlineLevel="0" collapsed="false">
      <c r="N1099" s="93"/>
      <c r="O1099" s="93"/>
      <c r="P1099" s="93"/>
    </row>
    <row r="1100" customFormat="false" ht="15" hidden="false" customHeight="true" outlineLevel="0" collapsed="false">
      <c r="N1100" s="93"/>
      <c r="O1100" s="93"/>
      <c r="P1100" s="93"/>
    </row>
    <row r="1101" customFormat="false" ht="15" hidden="false" customHeight="true" outlineLevel="0" collapsed="false">
      <c r="N1101" s="93"/>
      <c r="O1101" s="93"/>
      <c r="P1101" s="93"/>
    </row>
    <row r="1102" customFormat="false" ht="15" hidden="false" customHeight="true" outlineLevel="0" collapsed="false">
      <c r="N1102" s="93"/>
      <c r="O1102" s="93"/>
      <c r="P1102" s="93"/>
    </row>
    <row r="1103" customFormat="false" ht="15" hidden="false" customHeight="true" outlineLevel="0" collapsed="false">
      <c r="N1103" s="93"/>
      <c r="O1103" s="93"/>
      <c r="P1103" s="93"/>
    </row>
    <row r="1104" customFormat="false" ht="15" hidden="false" customHeight="true" outlineLevel="0" collapsed="false">
      <c r="N1104" s="93"/>
      <c r="O1104" s="93"/>
      <c r="P1104" s="93"/>
    </row>
    <row r="1105" customFormat="false" ht="15" hidden="false" customHeight="true" outlineLevel="0" collapsed="false">
      <c r="N1105" s="93"/>
      <c r="O1105" s="93"/>
      <c r="P1105" s="93"/>
    </row>
    <row r="1106" customFormat="false" ht="15" hidden="false" customHeight="true" outlineLevel="0" collapsed="false">
      <c r="N1106" s="93"/>
      <c r="O1106" s="93"/>
      <c r="P1106" s="93"/>
    </row>
    <row r="1107" customFormat="false" ht="15" hidden="false" customHeight="true" outlineLevel="0" collapsed="false">
      <c r="N1107" s="93"/>
      <c r="O1107" s="93"/>
      <c r="P1107" s="93"/>
    </row>
    <row r="1108" customFormat="false" ht="15" hidden="false" customHeight="true" outlineLevel="0" collapsed="false">
      <c r="N1108" s="93"/>
      <c r="O1108" s="93"/>
      <c r="P1108" s="93"/>
    </row>
    <row r="1109" customFormat="false" ht="15" hidden="false" customHeight="true" outlineLevel="0" collapsed="false">
      <c r="N1109" s="93"/>
      <c r="O1109" s="93"/>
      <c r="P1109" s="93"/>
    </row>
    <row r="1110" customFormat="false" ht="15" hidden="false" customHeight="true" outlineLevel="0" collapsed="false">
      <c r="N1110" s="93"/>
      <c r="O1110" s="93"/>
      <c r="P1110" s="93"/>
    </row>
    <row r="1111" customFormat="false" ht="15" hidden="false" customHeight="true" outlineLevel="0" collapsed="false">
      <c r="N1111" s="93"/>
      <c r="O1111" s="93"/>
      <c r="P1111" s="93"/>
    </row>
    <row r="1112" customFormat="false" ht="15" hidden="false" customHeight="true" outlineLevel="0" collapsed="false">
      <c r="N1112" s="93"/>
      <c r="O1112" s="93"/>
      <c r="P1112" s="93"/>
    </row>
    <row r="1113" customFormat="false" ht="15" hidden="false" customHeight="true" outlineLevel="0" collapsed="false">
      <c r="N1113" s="93"/>
      <c r="O1113" s="93"/>
      <c r="P1113" s="93"/>
    </row>
    <row r="1114" customFormat="false" ht="15" hidden="false" customHeight="true" outlineLevel="0" collapsed="false">
      <c r="N1114" s="93"/>
      <c r="O1114" s="93"/>
      <c r="P1114" s="93"/>
    </row>
    <row r="1115" customFormat="false" ht="15" hidden="false" customHeight="true" outlineLevel="0" collapsed="false">
      <c r="N1115" s="93"/>
      <c r="O1115" s="93"/>
      <c r="P1115" s="93"/>
    </row>
    <row r="1116" customFormat="false" ht="15" hidden="false" customHeight="true" outlineLevel="0" collapsed="false">
      <c r="N1116" s="93"/>
      <c r="O1116" s="93"/>
      <c r="P1116" s="93"/>
    </row>
    <row r="1117" customFormat="false" ht="15" hidden="false" customHeight="true" outlineLevel="0" collapsed="false">
      <c r="N1117" s="93"/>
      <c r="O1117" s="93"/>
      <c r="P1117" s="93"/>
    </row>
    <row r="1118" customFormat="false" ht="15" hidden="false" customHeight="true" outlineLevel="0" collapsed="false">
      <c r="N1118" s="93"/>
      <c r="O1118" s="93"/>
      <c r="P1118" s="93"/>
    </row>
    <row r="1119" customFormat="false" ht="15" hidden="false" customHeight="true" outlineLevel="0" collapsed="false">
      <c r="N1119" s="93"/>
      <c r="O1119" s="93"/>
      <c r="P1119" s="93"/>
    </row>
    <row r="1120" customFormat="false" ht="15" hidden="false" customHeight="true" outlineLevel="0" collapsed="false">
      <c r="N1120" s="93"/>
      <c r="O1120" s="93"/>
      <c r="P1120" s="93"/>
    </row>
    <row r="1121" customFormat="false" ht="15" hidden="false" customHeight="true" outlineLevel="0" collapsed="false">
      <c r="N1121" s="93"/>
      <c r="O1121" s="93"/>
      <c r="P1121" s="93"/>
    </row>
    <row r="1122" customFormat="false" ht="15" hidden="false" customHeight="true" outlineLevel="0" collapsed="false">
      <c r="N1122" s="93"/>
      <c r="O1122" s="93"/>
      <c r="P1122" s="93"/>
    </row>
    <row r="1123" customFormat="false" ht="15" hidden="false" customHeight="true" outlineLevel="0" collapsed="false">
      <c r="N1123" s="93"/>
      <c r="O1123" s="93"/>
      <c r="P1123" s="93"/>
    </row>
    <row r="1124" customFormat="false" ht="15" hidden="false" customHeight="true" outlineLevel="0" collapsed="false">
      <c r="N1124" s="93"/>
      <c r="O1124" s="93"/>
      <c r="P1124" s="93"/>
    </row>
    <row r="1125" customFormat="false" ht="15" hidden="false" customHeight="true" outlineLevel="0" collapsed="false">
      <c r="N1125" s="93"/>
      <c r="O1125" s="93"/>
      <c r="P1125" s="93"/>
    </row>
    <row r="1126" customFormat="false" ht="15" hidden="false" customHeight="true" outlineLevel="0" collapsed="false">
      <c r="N1126" s="93"/>
      <c r="O1126" s="93"/>
      <c r="P1126" s="93"/>
    </row>
    <row r="1127" customFormat="false" ht="15" hidden="false" customHeight="true" outlineLevel="0" collapsed="false">
      <c r="N1127" s="93"/>
      <c r="O1127" s="93"/>
      <c r="P1127" s="93"/>
    </row>
    <row r="1128" customFormat="false" ht="15" hidden="false" customHeight="true" outlineLevel="0" collapsed="false">
      <c r="N1128" s="93"/>
      <c r="O1128" s="93"/>
      <c r="P1128" s="93"/>
    </row>
    <row r="1129" customFormat="false" ht="15" hidden="false" customHeight="true" outlineLevel="0" collapsed="false">
      <c r="N1129" s="93"/>
      <c r="O1129" s="93"/>
      <c r="P1129" s="93"/>
    </row>
    <row r="1130" customFormat="false" ht="15" hidden="false" customHeight="true" outlineLevel="0" collapsed="false">
      <c r="N1130" s="93"/>
      <c r="O1130" s="93"/>
      <c r="P1130" s="93"/>
    </row>
    <row r="1131" customFormat="false" ht="15" hidden="false" customHeight="true" outlineLevel="0" collapsed="false">
      <c r="N1131" s="93"/>
      <c r="O1131" s="93"/>
      <c r="P1131" s="93"/>
    </row>
    <row r="1132" customFormat="false" ht="15" hidden="false" customHeight="true" outlineLevel="0" collapsed="false">
      <c r="N1132" s="93"/>
      <c r="O1132" s="93"/>
      <c r="P1132" s="93"/>
    </row>
    <row r="1133" customFormat="false" ht="15" hidden="false" customHeight="true" outlineLevel="0" collapsed="false">
      <c r="N1133" s="93"/>
      <c r="O1133" s="93"/>
      <c r="P1133" s="93"/>
    </row>
    <row r="1134" customFormat="false" ht="15" hidden="false" customHeight="true" outlineLevel="0" collapsed="false">
      <c r="N1134" s="93"/>
      <c r="O1134" s="93"/>
      <c r="P1134" s="93"/>
    </row>
    <row r="1135" customFormat="false" ht="15" hidden="false" customHeight="true" outlineLevel="0" collapsed="false">
      <c r="N1135" s="93"/>
      <c r="O1135" s="93"/>
      <c r="P1135" s="93"/>
    </row>
    <row r="1136" customFormat="false" ht="15" hidden="false" customHeight="true" outlineLevel="0" collapsed="false">
      <c r="N1136" s="93"/>
      <c r="O1136" s="93"/>
      <c r="P1136" s="93"/>
    </row>
    <row r="1137" customFormat="false" ht="15" hidden="false" customHeight="true" outlineLevel="0" collapsed="false">
      <c r="N1137" s="93"/>
      <c r="O1137" s="93"/>
      <c r="P1137" s="93"/>
    </row>
    <row r="1138" customFormat="false" ht="15" hidden="false" customHeight="true" outlineLevel="0" collapsed="false">
      <c r="N1138" s="93"/>
      <c r="O1138" s="93"/>
      <c r="P1138" s="93"/>
    </row>
    <row r="1139" customFormat="false" ht="15" hidden="false" customHeight="true" outlineLevel="0" collapsed="false">
      <c r="N1139" s="93"/>
      <c r="O1139" s="93"/>
      <c r="P1139" s="93"/>
    </row>
    <row r="1140" customFormat="false" ht="15" hidden="false" customHeight="true" outlineLevel="0" collapsed="false">
      <c r="N1140" s="93"/>
      <c r="O1140" s="93"/>
      <c r="P1140" s="93"/>
    </row>
    <row r="1141" customFormat="false" ht="15" hidden="false" customHeight="true" outlineLevel="0" collapsed="false">
      <c r="N1141" s="93"/>
      <c r="O1141" s="93"/>
      <c r="P1141" s="93"/>
    </row>
    <row r="1142" customFormat="false" ht="15" hidden="false" customHeight="true" outlineLevel="0" collapsed="false">
      <c r="N1142" s="93"/>
      <c r="O1142" s="93"/>
      <c r="P1142" s="93"/>
    </row>
    <row r="1143" customFormat="false" ht="15" hidden="false" customHeight="true" outlineLevel="0" collapsed="false">
      <c r="N1143" s="93"/>
      <c r="O1143" s="93"/>
      <c r="P1143" s="93"/>
    </row>
    <row r="1144" customFormat="false" ht="15" hidden="false" customHeight="true" outlineLevel="0" collapsed="false">
      <c r="N1144" s="93"/>
      <c r="O1144" s="93"/>
      <c r="P1144" s="93"/>
    </row>
    <row r="1145" customFormat="false" ht="15" hidden="false" customHeight="true" outlineLevel="0" collapsed="false">
      <c r="N1145" s="93"/>
      <c r="O1145" s="93"/>
      <c r="P1145" s="93"/>
    </row>
    <row r="1146" customFormat="false" ht="15" hidden="false" customHeight="true" outlineLevel="0" collapsed="false">
      <c r="N1146" s="93"/>
      <c r="O1146" s="93"/>
      <c r="P1146" s="93"/>
    </row>
    <row r="1147" customFormat="false" ht="15" hidden="false" customHeight="true" outlineLevel="0" collapsed="false">
      <c r="N1147" s="93"/>
      <c r="O1147" s="93"/>
      <c r="P1147" s="93"/>
    </row>
    <row r="1148" customFormat="false" ht="15" hidden="false" customHeight="true" outlineLevel="0" collapsed="false">
      <c r="N1148" s="93"/>
      <c r="O1148" s="93"/>
      <c r="P1148" s="93"/>
    </row>
    <row r="1149" customFormat="false" ht="15" hidden="false" customHeight="true" outlineLevel="0" collapsed="false">
      <c r="N1149" s="93"/>
      <c r="O1149" s="93"/>
      <c r="P1149" s="93"/>
    </row>
    <row r="1150" customFormat="false" ht="15" hidden="false" customHeight="true" outlineLevel="0" collapsed="false">
      <c r="N1150" s="93"/>
      <c r="O1150" s="93"/>
      <c r="P1150" s="93"/>
    </row>
    <row r="1151" customFormat="false" ht="15" hidden="false" customHeight="true" outlineLevel="0" collapsed="false">
      <c r="N1151" s="93"/>
      <c r="O1151" s="93"/>
      <c r="P1151" s="93"/>
    </row>
    <row r="1152" customFormat="false" ht="15" hidden="false" customHeight="true" outlineLevel="0" collapsed="false">
      <c r="N1152" s="93"/>
      <c r="O1152" s="93"/>
      <c r="P1152" s="93"/>
    </row>
    <row r="1153" customFormat="false" ht="15" hidden="false" customHeight="true" outlineLevel="0" collapsed="false">
      <c r="N1153" s="93"/>
      <c r="O1153" s="93"/>
      <c r="P1153" s="93"/>
    </row>
    <row r="1154" customFormat="false" ht="15" hidden="false" customHeight="true" outlineLevel="0" collapsed="false">
      <c r="N1154" s="93"/>
      <c r="O1154" s="93"/>
      <c r="P1154" s="93"/>
    </row>
    <row r="1155" customFormat="false" ht="15" hidden="false" customHeight="true" outlineLevel="0" collapsed="false">
      <c r="N1155" s="93"/>
      <c r="O1155" s="93"/>
      <c r="P1155" s="93"/>
    </row>
    <row r="1156" customFormat="false" ht="15" hidden="false" customHeight="true" outlineLevel="0" collapsed="false">
      <c r="N1156" s="93"/>
      <c r="O1156" s="93"/>
      <c r="P1156" s="93"/>
    </row>
    <row r="1157" customFormat="false" ht="15" hidden="false" customHeight="true" outlineLevel="0" collapsed="false">
      <c r="N1157" s="93"/>
      <c r="O1157" s="93"/>
      <c r="P1157" s="93"/>
    </row>
    <row r="1158" customFormat="false" ht="15" hidden="false" customHeight="true" outlineLevel="0" collapsed="false">
      <c r="N1158" s="93"/>
      <c r="O1158" s="93"/>
      <c r="P1158" s="93"/>
    </row>
    <row r="1159" customFormat="false" ht="15" hidden="false" customHeight="true" outlineLevel="0" collapsed="false">
      <c r="N1159" s="93"/>
      <c r="O1159" s="93"/>
      <c r="P1159" s="93"/>
    </row>
    <row r="1160" customFormat="false" ht="15" hidden="false" customHeight="true" outlineLevel="0" collapsed="false">
      <c r="N1160" s="93"/>
      <c r="O1160" s="93"/>
      <c r="P1160" s="93"/>
    </row>
    <row r="1161" customFormat="false" ht="15" hidden="false" customHeight="true" outlineLevel="0" collapsed="false">
      <c r="N1161" s="93"/>
      <c r="O1161" s="93"/>
      <c r="P1161" s="93"/>
    </row>
    <row r="1162" customFormat="false" ht="15" hidden="false" customHeight="true" outlineLevel="0" collapsed="false">
      <c r="N1162" s="93"/>
      <c r="O1162" s="93"/>
      <c r="P1162" s="93"/>
    </row>
    <row r="1163" customFormat="false" ht="15" hidden="false" customHeight="true" outlineLevel="0" collapsed="false">
      <c r="N1163" s="93"/>
      <c r="O1163" s="93"/>
      <c r="P1163" s="93"/>
    </row>
    <row r="1164" customFormat="false" ht="15" hidden="false" customHeight="true" outlineLevel="0" collapsed="false">
      <c r="N1164" s="93"/>
      <c r="O1164" s="93"/>
      <c r="P1164" s="93"/>
    </row>
    <row r="1165" customFormat="false" ht="15" hidden="false" customHeight="true" outlineLevel="0" collapsed="false">
      <c r="N1165" s="93"/>
      <c r="O1165" s="93"/>
      <c r="P1165" s="93"/>
    </row>
    <row r="1166" customFormat="false" ht="15" hidden="false" customHeight="true" outlineLevel="0" collapsed="false">
      <c r="N1166" s="93"/>
      <c r="O1166" s="93"/>
      <c r="P1166" s="93"/>
    </row>
    <row r="1167" customFormat="false" ht="15" hidden="false" customHeight="true" outlineLevel="0" collapsed="false">
      <c r="N1167" s="93"/>
      <c r="O1167" s="93"/>
      <c r="P1167" s="93"/>
    </row>
    <row r="1168" customFormat="false" ht="15" hidden="false" customHeight="true" outlineLevel="0" collapsed="false">
      <c r="N1168" s="93"/>
      <c r="O1168" s="93"/>
      <c r="P1168" s="93"/>
    </row>
    <row r="1169" customFormat="false" ht="15" hidden="false" customHeight="true" outlineLevel="0" collapsed="false">
      <c r="N1169" s="93"/>
      <c r="O1169" s="93"/>
      <c r="P1169" s="93"/>
    </row>
    <row r="1170" customFormat="false" ht="15" hidden="false" customHeight="true" outlineLevel="0" collapsed="false">
      <c r="N1170" s="93"/>
      <c r="O1170" s="93"/>
      <c r="P1170" s="93"/>
    </row>
    <row r="1171" customFormat="false" ht="15" hidden="false" customHeight="true" outlineLevel="0" collapsed="false">
      <c r="N1171" s="93"/>
      <c r="O1171" s="93"/>
      <c r="P1171" s="93"/>
    </row>
    <row r="1172" customFormat="false" ht="15" hidden="false" customHeight="true" outlineLevel="0" collapsed="false">
      <c r="N1172" s="93"/>
      <c r="O1172" s="93"/>
      <c r="P1172" s="93"/>
    </row>
    <row r="1173" customFormat="false" ht="15" hidden="false" customHeight="true" outlineLevel="0" collapsed="false">
      <c r="N1173" s="93"/>
      <c r="O1173" s="93"/>
      <c r="P1173" s="93"/>
    </row>
    <row r="1174" customFormat="false" ht="15" hidden="false" customHeight="true" outlineLevel="0" collapsed="false">
      <c r="N1174" s="93"/>
      <c r="O1174" s="93"/>
      <c r="P1174" s="93"/>
    </row>
    <row r="1175" customFormat="false" ht="15" hidden="false" customHeight="true" outlineLevel="0" collapsed="false">
      <c r="N1175" s="93"/>
      <c r="O1175" s="93"/>
      <c r="P1175" s="93"/>
    </row>
    <row r="1176" customFormat="false" ht="15" hidden="false" customHeight="true" outlineLevel="0" collapsed="false">
      <c r="N1176" s="93"/>
      <c r="O1176" s="93"/>
      <c r="P1176" s="93"/>
    </row>
    <row r="1177" customFormat="false" ht="15" hidden="false" customHeight="true" outlineLevel="0" collapsed="false">
      <c r="N1177" s="93"/>
      <c r="O1177" s="93"/>
      <c r="P1177" s="93"/>
    </row>
    <row r="1178" customFormat="false" ht="15" hidden="false" customHeight="true" outlineLevel="0" collapsed="false">
      <c r="N1178" s="93"/>
      <c r="O1178" s="93"/>
      <c r="P1178" s="93"/>
    </row>
    <row r="1179" customFormat="false" ht="15" hidden="false" customHeight="true" outlineLevel="0" collapsed="false">
      <c r="N1179" s="93"/>
      <c r="O1179" s="93"/>
      <c r="P1179" s="93"/>
    </row>
    <row r="1180" customFormat="false" ht="15" hidden="false" customHeight="true" outlineLevel="0" collapsed="false">
      <c r="N1180" s="93"/>
      <c r="O1180" s="93"/>
      <c r="P1180" s="93"/>
    </row>
    <row r="1181" customFormat="false" ht="15" hidden="false" customHeight="true" outlineLevel="0" collapsed="false">
      <c r="N1181" s="93"/>
      <c r="O1181" s="93"/>
      <c r="P1181" s="93"/>
    </row>
    <row r="1182" customFormat="false" ht="15" hidden="false" customHeight="true" outlineLevel="0" collapsed="false">
      <c r="N1182" s="93"/>
      <c r="O1182" s="93"/>
      <c r="P1182" s="93"/>
    </row>
    <row r="1183" customFormat="false" ht="15" hidden="false" customHeight="true" outlineLevel="0" collapsed="false">
      <c r="N1183" s="93"/>
      <c r="O1183" s="93"/>
      <c r="P1183" s="93"/>
    </row>
    <row r="1184" customFormat="false" ht="15" hidden="false" customHeight="true" outlineLevel="0" collapsed="false">
      <c r="N1184" s="93"/>
      <c r="O1184" s="93"/>
      <c r="P1184" s="93"/>
    </row>
    <row r="1185" customFormat="false" ht="15" hidden="false" customHeight="true" outlineLevel="0" collapsed="false">
      <c r="N1185" s="93"/>
      <c r="O1185" s="93"/>
      <c r="P1185" s="93"/>
    </row>
    <row r="1186" customFormat="false" ht="15" hidden="false" customHeight="true" outlineLevel="0" collapsed="false">
      <c r="N1186" s="93"/>
      <c r="O1186" s="93"/>
      <c r="P1186" s="93"/>
    </row>
    <row r="1187" customFormat="false" ht="15" hidden="false" customHeight="true" outlineLevel="0" collapsed="false">
      <c r="N1187" s="93"/>
      <c r="O1187" s="93"/>
      <c r="P1187" s="93"/>
    </row>
    <row r="1188" customFormat="false" ht="15" hidden="false" customHeight="true" outlineLevel="0" collapsed="false">
      <c r="N1188" s="93"/>
      <c r="O1188" s="93"/>
      <c r="P1188" s="93"/>
    </row>
    <row r="1189" customFormat="false" ht="15" hidden="false" customHeight="true" outlineLevel="0" collapsed="false">
      <c r="N1189" s="93"/>
      <c r="O1189" s="93"/>
      <c r="P1189" s="93"/>
    </row>
    <row r="1190" customFormat="false" ht="15" hidden="false" customHeight="true" outlineLevel="0" collapsed="false">
      <c r="N1190" s="93"/>
      <c r="O1190" s="93"/>
      <c r="P1190" s="93"/>
    </row>
    <row r="1191" customFormat="false" ht="15" hidden="false" customHeight="true" outlineLevel="0" collapsed="false">
      <c r="N1191" s="93"/>
      <c r="O1191" s="93"/>
      <c r="P1191" s="93"/>
    </row>
    <row r="1192" customFormat="false" ht="15" hidden="false" customHeight="true" outlineLevel="0" collapsed="false">
      <c r="N1192" s="93"/>
      <c r="O1192" s="93"/>
      <c r="P1192" s="93"/>
    </row>
    <row r="1193" customFormat="false" ht="15" hidden="false" customHeight="true" outlineLevel="0" collapsed="false">
      <c r="N1193" s="93"/>
      <c r="O1193" s="93"/>
      <c r="P1193" s="93"/>
    </row>
    <row r="1194" customFormat="false" ht="15" hidden="false" customHeight="true" outlineLevel="0" collapsed="false">
      <c r="N1194" s="93"/>
      <c r="O1194" s="93"/>
      <c r="P1194" s="93"/>
    </row>
    <row r="1195" customFormat="false" ht="15" hidden="false" customHeight="true" outlineLevel="0" collapsed="false">
      <c r="N1195" s="93"/>
      <c r="O1195" s="93"/>
      <c r="P1195" s="93"/>
    </row>
    <row r="1196" customFormat="false" ht="15" hidden="false" customHeight="true" outlineLevel="0" collapsed="false">
      <c r="N1196" s="93"/>
      <c r="O1196" s="93"/>
      <c r="P1196" s="93"/>
    </row>
    <row r="1197" customFormat="false" ht="15" hidden="false" customHeight="true" outlineLevel="0" collapsed="false">
      <c r="N1197" s="93"/>
      <c r="O1197" s="93"/>
      <c r="P1197" s="93"/>
    </row>
    <row r="1198" customFormat="false" ht="15" hidden="false" customHeight="true" outlineLevel="0" collapsed="false">
      <c r="N1198" s="93"/>
      <c r="O1198" s="93"/>
      <c r="P1198" s="93"/>
    </row>
    <row r="1199" customFormat="false" ht="15" hidden="false" customHeight="true" outlineLevel="0" collapsed="false">
      <c r="N1199" s="93"/>
      <c r="O1199" s="93"/>
      <c r="P1199" s="93"/>
    </row>
    <row r="1200" customFormat="false" ht="15" hidden="false" customHeight="true" outlineLevel="0" collapsed="false">
      <c r="N1200" s="93"/>
      <c r="O1200" s="93"/>
      <c r="P1200" s="93"/>
    </row>
    <row r="1201" customFormat="false" ht="15" hidden="false" customHeight="true" outlineLevel="0" collapsed="false">
      <c r="N1201" s="93"/>
      <c r="O1201" s="93"/>
      <c r="P1201" s="93"/>
    </row>
    <row r="1202" customFormat="false" ht="15" hidden="false" customHeight="true" outlineLevel="0" collapsed="false">
      <c r="N1202" s="93"/>
      <c r="O1202" s="93"/>
      <c r="P1202" s="93"/>
    </row>
    <row r="1203" customFormat="false" ht="15" hidden="false" customHeight="true" outlineLevel="0" collapsed="false">
      <c r="N1203" s="93"/>
      <c r="O1203" s="93"/>
      <c r="P1203" s="93"/>
    </row>
    <row r="1204" customFormat="false" ht="15" hidden="false" customHeight="true" outlineLevel="0" collapsed="false">
      <c r="N1204" s="93"/>
      <c r="O1204" s="93"/>
      <c r="P1204" s="93"/>
    </row>
    <row r="1205" customFormat="false" ht="15" hidden="false" customHeight="true" outlineLevel="0" collapsed="false">
      <c r="N1205" s="93"/>
      <c r="O1205" s="93"/>
      <c r="P1205" s="93"/>
    </row>
    <row r="1206" customFormat="false" ht="15" hidden="false" customHeight="true" outlineLevel="0" collapsed="false">
      <c r="N1206" s="93"/>
      <c r="O1206" s="93"/>
      <c r="P1206" s="93"/>
    </row>
    <row r="1207" customFormat="false" ht="15" hidden="false" customHeight="true" outlineLevel="0" collapsed="false">
      <c r="N1207" s="93"/>
      <c r="O1207" s="93"/>
      <c r="P1207" s="93"/>
    </row>
    <row r="1208" customFormat="false" ht="15" hidden="false" customHeight="true" outlineLevel="0" collapsed="false">
      <c r="N1208" s="93"/>
      <c r="O1208" s="93"/>
      <c r="P1208" s="93"/>
    </row>
    <row r="1209" customFormat="false" ht="15" hidden="false" customHeight="true" outlineLevel="0" collapsed="false">
      <c r="N1209" s="93"/>
      <c r="O1209" s="93"/>
      <c r="P1209" s="93"/>
    </row>
    <row r="1210" customFormat="false" ht="15" hidden="false" customHeight="true" outlineLevel="0" collapsed="false">
      <c r="N1210" s="93"/>
      <c r="O1210" s="93"/>
      <c r="P1210" s="93"/>
    </row>
    <row r="1211" customFormat="false" ht="15" hidden="false" customHeight="true" outlineLevel="0" collapsed="false">
      <c r="N1211" s="93"/>
      <c r="O1211" s="93"/>
      <c r="P1211" s="93"/>
    </row>
    <row r="1212" customFormat="false" ht="15" hidden="false" customHeight="true" outlineLevel="0" collapsed="false">
      <c r="N1212" s="93"/>
      <c r="O1212" s="93"/>
      <c r="P1212" s="93"/>
    </row>
    <row r="1213" customFormat="false" ht="15" hidden="false" customHeight="true" outlineLevel="0" collapsed="false">
      <c r="N1213" s="93"/>
      <c r="O1213" s="93"/>
      <c r="P1213" s="93"/>
    </row>
    <row r="1214" customFormat="false" ht="15" hidden="false" customHeight="true" outlineLevel="0" collapsed="false">
      <c r="N1214" s="93"/>
      <c r="O1214" s="93"/>
      <c r="P1214" s="93"/>
    </row>
    <row r="1215" customFormat="false" ht="15" hidden="false" customHeight="true" outlineLevel="0" collapsed="false">
      <c r="N1215" s="93"/>
      <c r="O1215" s="93"/>
      <c r="P1215" s="93"/>
    </row>
    <row r="1216" customFormat="false" ht="15" hidden="false" customHeight="true" outlineLevel="0" collapsed="false">
      <c r="N1216" s="93"/>
      <c r="O1216" s="93"/>
      <c r="P1216" s="93"/>
    </row>
    <row r="1217" customFormat="false" ht="15" hidden="false" customHeight="true" outlineLevel="0" collapsed="false">
      <c r="N1217" s="93"/>
      <c r="O1217" s="93"/>
      <c r="P1217" s="93"/>
    </row>
    <row r="1218" customFormat="false" ht="15" hidden="false" customHeight="true" outlineLevel="0" collapsed="false">
      <c r="N1218" s="93"/>
      <c r="O1218" s="93"/>
      <c r="P1218" s="93"/>
    </row>
    <row r="1219" customFormat="false" ht="15" hidden="false" customHeight="true" outlineLevel="0" collapsed="false">
      <c r="N1219" s="93"/>
      <c r="O1219" s="93"/>
      <c r="P1219" s="93"/>
    </row>
    <row r="1220" customFormat="false" ht="15" hidden="false" customHeight="true" outlineLevel="0" collapsed="false">
      <c r="N1220" s="93"/>
      <c r="O1220" s="93"/>
      <c r="P1220" s="93"/>
    </row>
    <row r="1221" customFormat="false" ht="15" hidden="false" customHeight="true" outlineLevel="0" collapsed="false">
      <c r="N1221" s="93"/>
      <c r="O1221" s="93"/>
      <c r="P1221" s="93"/>
    </row>
    <row r="1222" customFormat="false" ht="15" hidden="false" customHeight="true" outlineLevel="0" collapsed="false">
      <c r="N1222" s="93"/>
      <c r="O1222" s="93"/>
      <c r="P1222" s="93"/>
    </row>
    <row r="1223" customFormat="false" ht="15" hidden="false" customHeight="true" outlineLevel="0" collapsed="false">
      <c r="N1223" s="93"/>
      <c r="O1223" s="93"/>
      <c r="P1223" s="93"/>
    </row>
    <row r="1224" customFormat="false" ht="15" hidden="false" customHeight="true" outlineLevel="0" collapsed="false">
      <c r="N1224" s="93"/>
      <c r="O1224" s="93"/>
      <c r="P1224" s="93"/>
    </row>
    <row r="1225" customFormat="false" ht="15" hidden="false" customHeight="true" outlineLevel="0" collapsed="false">
      <c r="N1225" s="93"/>
      <c r="O1225" s="93"/>
      <c r="P1225" s="93"/>
    </row>
    <row r="1226" customFormat="false" ht="15" hidden="false" customHeight="true" outlineLevel="0" collapsed="false">
      <c r="N1226" s="93"/>
      <c r="O1226" s="93"/>
      <c r="P1226" s="93"/>
    </row>
    <row r="1227" customFormat="false" ht="15" hidden="false" customHeight="true" outlineLevel="0" collapsed="false">
      <c r="N1227" s="93"/>
      <c r="O1227" s="93"/>
      <c r="P1227" s="93"/>
    </row>
    <row r="1228" customFormat="false" ht="15" hidden="false" customHeight="true" outlineLevel="0" collapsed="false">
      <c r="N1228" s="93"/>
      <c r="O1228" s="93"/>
      <c r="P1228" s="93"/>
    </row>
    <row r="1229" customFormat="false" ht="15" hidden="false" customHeight="true" outlineLevel="0" collapsed="false">
      <c r="N1229" s="93"/>
      <c r="O1229" s="93"/>
      <c r="P1229" s="93"/>
    </row>
    <row r="1230" customFormat="false" ht="15" hidden="false" customHeight="true" outlineLevel="0" collapsed="false">
      <c r="N1230" s="93"/>
      <c r="O1230" s="93"/>
      <c r="P1230" s="93"/>
    </row>
    <row r="1231" customFormat="false" ht="15" hidden="false" customHeight="true" outlineLevel="0" collapsed="false">
      <c r="N1231" s="93"/>
      <c r="O1231" s="93"/>
      <c r="P1231" s="93"/>
    </row>
    <row r="1232" customFormat="false" ht="15" hidden="false" customHeight="true" outlineLevel="0" collapsed="false">
      <c r="N1232" s="93"/>
      <c r="O1232" s="93"/>
      <c r="P1232" s="93"/>
    </row>
    <row r="1233" customFormat="false" ht="15" hidden="false" customHeight="true" outlineLevel="0" collapsed="false">
      <c r="N1233" s="93"/>
      <c r="O1233" s="93"/>
      <c r="P1233" s="93"/>
    </row>
    <row r="1234" customFormat="false" ht="15" hidden="false" customHeight="true" outlineLevel="0" collapsed="false">
      <c r="N1234" s="93"/>
      <c r="O1234" s="93"/>
      <c r="P1234" s="93"/>
    </row>
    <row r="1235" customFormat="false" ht="15" hidden="false" customHeight="true" outlineLevel="0" collapsed="false">
      <c r="N1235" s="93"/>
      <c r="O1235" s="93"/>
      <c r="P1235" s="93"/>
    </row>
    <row r="1236" customFormat="false" ht="15" hidden="false" customHeight="true" outlineLevel="0" collapsed="false">
      <c r="N1236" s="93"/>
      <c r="O1236" s="93"/>
      <c r="P1236" s="93"/>
    </row>
    <row r="1237" customFormat="false" ht="15" hidden="false" customHeight="true" outlineLevel="0" collapsed="false">
      <c r="N1237" s="93"/>
      <c r="O1237" s="93"/>
      <c r="P1237" s="93"/>
    </row>
    <row r="1238" customFormat="false" ht="15" hidden="false" customHeight="true" outlineLevel="0" collapsed="false">
      <c r="N1238" s="93"/>
      <c r="O1238" s="93"/>
      <c r="P1238" s="93"/>
    </row>
    <row r="1239" customFormat="false" ht="15" hidden="false" customHeight="true" outlineLevel="0" collapsed="false">
      <c r="N1239" s="93"/>
      <c r="O1239" s="93"/>
      <c r="P1239" s="93"/>
    </row>
    <row r="1240" customFormat="false" ht="15" hidden="false" customHeight="true" outlineLevel="0" collapsed="false">
      <c r="N1240" s="93"/>
      <c r="O1240" s="93"/>
      <c r="P1240" s="93"/>
    </row>
    <row r="1241" customFormat="false" ht="15" hidden="false" customHeight="true" outlineLevel="0" collapsed="false">
      <c r="N1241" s="93"/>
      <c r="O1241" s="93"/>
      <c r="P1241" s="93"/>
    </row>
    <row r="1242" customFormat="false" ht="15" hidden="false" customHeight="true" outlineLevel="0" collapsed="false">
      <c r="N1242" s="93"/>
      <c r="O1242" s="93"/>
      <c r="P1242" s="93"/>
    </row>
    <row r="1243" customFormat="false" ht="15" hidden="false" customHeight="true" outlineLevel="0" collapsed="false">
      <c r="N1243" s="93"/>
      <c r="O1243" s="93"/>
      <c r="P1243" s="93"/>
    </row>
    <row r="1244" customFormat="false" ht="15" hidden="false" customHeight="true" outlineLevel="0" collapsed="false">
      <c r="N1244" s="93"/>
      <c r="O1244" s="93"/>
      <c r="P1244" s="93"/>
    </row>
    <row r="1245" customFormat="false" ht="15" hidden="false" customHeight="true" outlineLevel="0" collapsed="false">
      <c r="N1245" s="93"/>
      <c r="O1245" s="93"/>
      <c r="P1245" s="93"/>
    </row>
    <row r="1246" customFormat="false" ht="15" hidden="false" customHeight="true" outlineLevel="0" collapsed="false">
      <c r="N1246" s="93"/>
      <c r="O1246" s="93"/>
      <c r="P1246" s="93"/>
    </row>
    <row r="1247" customFormat="false" ht="15" hidden="false" customHeight="true" outlineLevel="0" collapsed="false">
      <c r="N1247" s="93"/>
      <c r="O1247" s="93"/>
      <c r="P1247" s="93"/>
    </row>
    <row r="1248" customFormat="false" ht="15" hidden="false" customHeight="true" outlineLevel="0" collapsed="false">
      <c r="N1248" s="93"/>
      <c r="O1248" s="93"/>
      <c r="P1248" s="93"/>
    </row>
    <row r="1249" customFormat="false" ht="15" hidden="false" customHeight="true" outlineLevel="0" collapsed="false">
      <c r="N1249" s="93"/>
      <c r="O1249" s="93"/>
      <c r="P1249" s="93"/>
    </row>
    <row r="1250" customFormat="false" ht="15" hidden="false" customHeight="true" outlineLevel="0" collapsed="false">
      <c r="N1250" s="93"/>
      <c r="O1250" s="93"/>
      <c r="P1250" s="93"/>
    </row>
    <row r="1251" customFormat="false" ht="15" hidden="false" customHeight="true" outlineLevel="0" collapsed="false">
      <c r="N1251" s="93"/>
      <c r="O1251" s="93"/>
      <c r="P1251" s="93"/>
    </row>
    <row r="1252" customFormat="false" ht="15" hidden="false" customHeight="true" outlineLevel="0" collapsed="false">
      <c r="N1252" s="93"/>
      <c r="O1252" s="93"/>
      <c r="P1252" s="93"/>
    </row>
    <row r="1253" customFormat="false" ht="15" hidden="false" customHeight="true" outlineLevel="0" collapsed="false">
      <c r="N1253" s="93"/>
      <c r="O1253" s="93"/>
      <c r="P1253" s="93"/>
    </row>
    <row r="1254" customFormat="false" ht="15" hidden="false" customHeight="true" outlineLevel="0" collapsed="false">
      <c r="N1254" s="93"/>
      <c r="O1254" s="93"/>
      <c r="P1254" s="93"/>
    </row>
    <row r="1255" customFormat="false" ht="15" hidden="false" customHeight="true" outlineLevel="0" collapsed="false">
      <c r="N1255" s="93"/>
      <c r="O1255" s="93"/>
      <c r="P1255" s="93"/>
    </row>
    <row r="1256" customFormat="false" ht="15" hidden="false" customHeight="true" outlineLevel="0" collapsed="false">
      <c r="N1256" s="93"/>
      <c r="O1256" s="93"/>
      <c r="P1256" s="93"/>
    </row>
    <row r="1257" customFormat="false" ht="15" hidden="false" customHeight="true" outlineLevel="0" collapsed="false">
      <c r="N1257" s="93"/>
      <c r="O1257" s="93"/>
      <c r="P1257" s="93"/>
    </row>
    <row r="1258" customFormat="false" ht="15" hidden="false" customHeight="true" outlineLevel="0" collapsed="false">
      <c r="N1258" s="93"/>
      <c r="O1258" s="93"/>
      <c r="P1258" s="93"/>
    </row>
    <row r="1259" customFormat="false" ht="15" hidden="false" customHeight="true" outlineLevel="0" collapsed="false">
      <c r="N1259" s="93"/>
      <c r="O1259" s="93"/>
      <c r="P1259" s="93"/>
    </row>
    <row r="1260" customFormat="false" ht="15" hidden="false" customHeight="true" outlineLevel="0" collapsed="false">
      <c r="N1260" s="93"/>
      <c r="O1260" s="93"/>
      <c r="P1260" s="93"/>
    </row>
    <row r="1261" customFormat="false" ht="15" hidden="false" customHeight="true" outlineLevel="0" collapsed="false">
      <c r="N1261" s="93"/>
      <c r="O1261" s="93"/>
      <c r="P1261" s="93"/>
    </row>
    <row r="1262" customFormat="false" ht="15" hidden="false" customHeight="true" outlineLevel="0" collapsed="false">
      <c r="N1262" s="93"/>
      <c r="O1262" s="93"/>
      <c r="P1262" s="93"/>
    </row>
    <row r="1263" customFormat="false" ht="15" hidden="false" customHeight="true" outlineLevel="0" collapsed="false">
      <c r="N1263" s="93"/>
      <c r="O1263" s="93"/>
      <c r="P1263" s="93"/>
    </row>
    <row r="1264" customFormat="false" ht="15" hidden="false" customHeight="true" outlineLevel="0" collapsed="false">
      <c r="N1264" s="93"/>
      <c r="O1264" s="93"/>
      <c r="P1264" s="93"/>
    </row>
    <row r="1265" customFormat="false" ht="15" hidden="false" customHeight="true" outlineLevel="0" collapsed="false">
      <c r="N1265" s="93"/>
      <c r="O1265" s="93"/>
      <c r="P1265" s="93"/>
    </row>
    <row r="1266" customFormat="false" ht="15" hidden="false" customHeight="true" outlineLevel="0" collapsed="false">
      <c r="N1266" s="93"/>
      <c r="O1266" s="93"/>
      <c r="P1266" s="93"/>
    </row>
    <row r="1267" customFormat="false" ht="15" hidden="false" customHeight="true" outlineLevel="0" collapsed="false">
      <c r="N1267" s="93"/>
      <c r="O1267" s="93"/>
      <c r="P1267" s="93"/>
    </row>
    <row r="1268" customFormat="false" ht="15" hidden="false" customHeight="true" outlineLevel="0" collapsed="false">
      <c r="N1268" s="93"/>
      <c r="O1268" s="93"/>
      <c r="P1268" s="93"/>
    </row>
    <row r="1269" customFormat="false" ht="15" hidden="false" customHeight="true" outlineLevel="0" collapsed="false">
      <c r="N1269" s="93"/>
      <c r="O1269" s="93"/>
      <c r="P1269" s="93"/>
    </row>
    <row r="1270" customFormat="false" ht="15" hidden="false" customHeight="true" outlineLevel="0" collapsed="false">
      <c r="N1270" s="93"/>
      <c r="O1270" s="93"/>
      <c r="P1270" s="93"/>
    </row>
    <row r="1271" customFormat="false" ht="15" hidden="false" customHeight="true" outlineLevel="0" collapsed="false">
      <c r="N1271" s="93"/>
      <c r="O1271" s="93"/>
      <c r="P1271" s="93"/>
    </row>
    <row r="1272" customFormat="false" ht="15" hidden="false" customHeight="true" outlineLevel="0" collapsed="false">
      <c r="N1272" s="93"/>
      <c r="O1272" s="93"/>
      <c r="P1272" s="93"/>
    </row>
    <row r="1273" customFormat="false" ht="15" hidden="false" customHeight="true" outlineLevel="0" collapsed="false">
      <c r="N1273" s="93"/>
      <c r="O1273" s="93"/>
      <c r="P1273" s="93"/>
    </row>
    <row r="1274" customFormat="false" ht="15" hidden="false" customHeight="true" outlineLevel="0" collapsed="false">
      <c r="N1274" s="93"/>
      <c r="O1274" s="93"/>
      <c r="P1274" s="93"/>
    </row>
    <row r="1275" customFormat="false" ht="15" hidden="false" customHeight="true" outlineLevel="0" collapsed="false">
      <c r="N1275" s="93"/>
      <c r="O1275" s="93"/>
      <c r="P1275" s="93"/>
    </row>
    <row r="1276" customFormat="false" ht="15" hidden="false" customHeight="true" outlineLevel="0" collapsed="false">
      <c r="N1276" s="93"/>
      <c r="O1276" s="93"/>
      <c r="P1276" s="93"/>
    </row>
    <row r="1277" customFormat="false" ht="15" hidden="false" customHeight="true" outlineLevel="0" collapsed="false">
      <c r="N1277" s="93"/>
      <c r="O1277" s="93"/>
      <c r="P1277" s="93"/>
    </row>
    <row r="1278" customFormat="false" ht="15" hidden="false" customHeight="true" outlineLevel="0" collapsed="false">
      <c r="N1278" s="93"/>
      <c r="O1278" s="93"/>
      <c r="P1278" s="93"/>
    </row>
    <row r="1279" customFormat="false" ht="15" hidden="false" customHeight="true" outlineLevel="0" collapsed="false">
      <c r="N1279" s="93"/>
      <c r="O1279" s="93"/>
      <c r="P1279" s="93"/>
    </row>
    <row r="1280" customFormat="false" ht="15" hidden="false" customHeight="true" outlineLevel="0" collapsed="false">
      <c r="N1280" s="93"/>
      <c r="O1280" s="93"/>
      <c r="P1280" s="93"/>
    </row>
    <row r="1281" customFormat="false" ht="15" hidden="false" customHeight="true" outlineLevel="0" collapsed="false">
      <c r="N1281" s="93"/>
      <c r="O1281" s="93"/>
      <c r="P1281" s="93"/>
    </row>
    <row r="1282" customFormat="false" ht="15" hidden="false" customHeight="true" outlineLevel="0" collapsed="false">
      <c r="N1282" s="93"/>
      <c r="O1282" s="93"/>
      <c r="P1282" s="93"/>
    </row>
    <row r="1283" customFormat="false" ht="15" hidden="false" customHeight="true" outlineLevel="0" collapsed="false">
      <c r="N1283" s="93"/>
      <c r="O1283" s="93"/>
      <c r="P1283" s="93"/>
    </row>
    <row r="1284" customFormat="false" ht="15" hidden="false" customHeight="true" outlineLevel="0" collapsed="false">
      <c r="N1284" s="93"/>
      <c r="O1284" s="93"/>
      <c r="P1284" s="93"/>
    </row>
    <row r="1285" customFormat="false" ht="15" hidden="false" customHeight="true" outlineLevel="0" collapsed="false">
      <c r="N1285" s="93"/>
      <c r="O1285" s="93"/>
      <c r="P1285" s="93"/>
    </row>
    <row r="1286" customFormat="false" ht="15" hidden="false" customHeight="true" outlineLevel="0" collapsed="false">
      <c r="N1286" s="93"/>
      <c r="O1286" s="93"/>
      <c r="P1286" s="93"/>
    </row>
    <row r="1287" customFormat="false" ht="15" hidden="false" customHeight="true" outlineLevel="0" collapsed="false">
      <c r="N1287" s="93"/>
      <c r="O1287" s="93"/>
      <c r="P1287" s="93"/>
    </row>
    <row r="1288" customFormat="false" ht="15" hidden="false" customHeight="true" outlineLevel="0" collapsed="false">
      <c r="N1288" s="93"/>
      <c r="O1288" s="93"/>
      <c r="P1288" s="93"/>
    </row>
    <row r="1289" customFormat="false" ht="15" hidden="false" customHeight="true" outlineLevel="0" collapsed="false">
      <c r="N1289" s="93"/>
      <c r="O1289" s="93"/>
      <c r="P1289" s="93"/>
    </row>
    <row r="1290" customFormat="false" ht="15" hidden="false" customHeight="true" outlineLevel="0" collapsed="false">
      <c r="N1290" s="93"/>
      <c r="O1290" s="93"/>
      <c r="P1290" s="93"/>
    </row>
    <row r="1291" customFormat="false" ht="15" hidden="false" customHeight="true" outlineLevel="0" collapsed="false">
      <c r="N1291" s="93"/>
      <c r="O1291" s="93"/>
      <c r="P1291" s="93"/>
    </row>
    <row r="1292" customFormat="false" ht="15" hidden="false" customHeight="true" outlineLevel="0" collapsed="false">
      <c r="N1292" s="93"/>
      <c r="O1292" s="93"/>
      <c r="P1292" s="93"/>
    </row>
    <row r="1293" customFormat="false" ht="15" hidden="false" customHeight="true" outlineLevel="0" collapsed="false">
      <c r="N1293" s="93"/>
      <c r="O1293" s="93"/>
      <c r="P1293" s="93"/>
    </row>
    <row r="1294" customFormat="false" ht="15" hidden="false" customHeight="true" outlineLevel="0" collapsed="false">
      <c r="N1294" s="93"/>
      <c r="O1294" s="93"/>
      <c r="P1294" s="93"/>
    </row>
    <row r="1295" customFormat="false" ht="15" hidden="false" customHeight="true" outlineLevel="0" collapsed="false">
      <c r="N1295" s="93"/>
      <c r="O1295" s="93"/>
      <c r="P1295" s="93"/>
    </row>
    <row r="1296" customFormat="false" ht="15" hidden="false" customHeight="true" outlineLevel="0" collapsed="false">
      <c r="N1296" s="93"/>
      <c r="O1296" s="93"/>
      <c r="P1296" s="93"/>
    </row>
    <row r="1297" customFormat="false" ht="15" hidden="false" customHeight="true" outlineLevel="0" collapsed="false">
      <c r="N1297" s="93"/>
      <c r="O1297" s="93"/>
      <c r="P1297" s="93"/>
    </row>
    <row r="1298" customFormat="false" ht="15" hidden="false" customHeight="true" outlineLevel="0" collapsed="false">
      <c r="N1298" s="93"/>
      <c r="O1298" s="93"/>
      <c r="P1298" s="93"/>
    </row>
    <row r="1299" customFormat="false" ht="15" hidden="false" customHeight="true" outlineLevel="0" collapsed="false">
      <c r="N1299" s="93"/>
      <c r="O1299" s="93"/>
      <c r="P1299" s="93"/>
    </row>
    <row r="1300" customFormat="false" ht="15" hidden="false" customHeight="true" outlineLevel="0" collapsed="false">
      <c r="N1300" s="93"/>
      <c r="O1300" s="93"/>
      <c r="P1300" s="93"/>
    </row>
    <row r="1301" customFormat="false" ht="15" hidden="false" customHeight="true" outlineLevel="0" collapsed="false">
      <c r="N1301" s="93"/>
      <c r="O1301" s="93"/>
      <c r="P1301" s="93"/>
    </row>
    <row r="1302" customFormat="false" ht="15" hidden="false" customHeight="true" outlineLevel="0" collapsed="false">
      <c r="N1302" s="93"/>
      <c r="O1302" s="93"/>
      <c r="P1302" s="93"/>
    </row>
    <row r="1303" customFormat="false" ht="15" hidden="false" customHeight="true" outlineLevel="0" collapsed="false">
      <c r="N1303" s="93"/>
      <c r="O1303" s="93"/>
      <c r="P1303" s="93"/>
    </row>
    <row r="1304" customFormat="false" ht="15" hidden="false" customHeight="true" outlineLevel="0" collapsed="false">
      <c r="N1304" s="93"/>
      <c r="O1304" s="93"/>
      <c r="P1304" s="93"/>
    </row>
    <row r="1305" customFormat="false" ht="15" hidden="false" customHeight="true" outlineLevel="0" collapsed="false">
      <c r="N1305" s="93"/>
      <c r="O1305" s="93"/>
      <c r="P1305" s="93"/>
    </row>
    <row r="1306" customFormat="false" ht="15" hidden="false" customHeight="true" outlineLevel="0" collapsed="false">
      <c r="N1306" s="93"/>
      <c r="O1306" s="93"/>
      <c r="P1306" s="93"/>
    </row>
    <row r="1307" customFormat="false" ht="15" hidden="false" customHeight="true" outlineLevel="0" collapsed="false">
      <c r="N1307" s="93"/>
      <c r="O1307" s="93"/>
      <c r="P1307" s="93"/>
    </row>
    <row r="1308" customFormat="false" ht="15" hidden="false" customHeight="true" outlineLevel="0" collapsed="false">
      <c r="N1308" s="93"/>
      <c r="O1308" s="93"/>
      <c r="P1308" s="93"/>
    </row>
    <row r="1309" customFormat="false" ht="15" hidden="false" customHeight="true" outlineLevel="0" collapsed="false">
      <c r="N1309" s="93"/>
      <c r="O1309" s="93"/>
      <c r="P1309" s="93"/>
    </row>
    <row r="1310" customFormat="false" ht="15" hidden="false" customHeight="true" outlineLevel="0" collapsed="false">
      <c r="N1310" s="93"/>
      <c r="O1310" s="93"/>
      <c r="P1310" s="93"/>
    </row>
    <row r="1311" customFormat="false" ht="15" hidden="false" customHeight="true" outlineLevel="0" collapsed="false">
      <c r="N1311" s="93"/>
      <c r="O1311" s="93"/>
      <c r="P1311" s="93"/>
    </row>
    <row r="1312" customFormat="false" ht="15" hidden="false" customHeight="true" outlineLevel="0" collapsed="false">
      <c r="N1312" s="93"/>
      <c r="O1312" s="93"/>
      <c r="P1312" s="93"/>
    </row>
    <row r="1313" customFormat="false" ht="15" hidden="false" customHeight="true" outlineLevel="0" collapsed="false">
      <c r="N1313" s="93"/>
      <c r="O1313" s="93"/>
      <c r="P1313" s="93"/>
    </row>
    <row r="1314" customFormat="false" ht="15" hidden="false" customHeight="true" outlineLevel="0" collapsed="false">
      <c r="N1314" s="93"/>
      <c r="O1314" s="93"/>
      <c r="P1314" s="93"/>
    </row>
    <row r="1315" customFormat="false" ht="15" hidden="false" customHeight="true" outlineLevel="0" collapsed="false">
      <c r="N1315" s="93"/>
      <c r="O1315" s="93"/>
      <c r="P1315" s="93"/>
    </row>
    <row r="1316" customFormat="false" ht="15" hidden="false" customHeight="true" outlineLevel="0" collapsed="false">
      <c r="N1316" s="93"/>
      <c r="O1316" s="93"/>
      <c r="P1316" s="93"/>
    </row>
    <row r="1317" customFormat="false" ht="15" hidden="false" customHeight="true" outlineLevel="0" collapsed="false">
      <c r="N1317" s="93"/>
      <c r="O1317" s="93"/>
      <c r="P1317" s="93"/>
    </row>
    <row r="1318" customFormat="false" ht="15" hidden="false" customHeight="true" outlineLevel="0" collapsed="false">
      <c r="N1318" s="93"/>
      <c r="O1318" s="93"/>
      <c r="P1318" s="93"/>
    </row>
    <row r="1319" customFormat="false" ht="15" hidden="false" customHeight="true" outlineLevel="0" collapsed="false">
      <c r="N1319" s="93"/>
      <c r="O1319" s="93"/>
      <c r="P1319" s="93"/>
    </row>
    <row r="1320" customFormat="false" ht="15" hidden="false" customHeight="true" outlineLevel="0" collapsed="false">
      <c r="N1320" s="93"/>
      <c r="O1320" s="93"/>
      <c r="P1320" s="93"/>
    </row>
    <row r="1321" customFormat="false" ht="15" hidden="false" customHeight="true" outlineLevel="0" collapsed="false">
      <c r="N1321" s="93"/>
      <c r="O1321" s="93"/>
      <c r="P1321" s="93"/>
    </row>
    <row r="1322" customFormat="false" ht="15" hidden="false" customHeight="true" outlineLevel="0" collapsed="false">
      <c r="N1322" s="93"/>
      <c r="O1322" s="93"/>
      <c r="P1322" s="93"/>
    </row>
    <row r="1323" customFormat="false" ht="15" hidden="false" customHeight="true" outlineLevel="0" collapsed="false">
      <c r="N1323" s="93"/>
      <c r="O1323" s="93"/>
      <c r="P1323" s="93"/>
    </row>
    <row r="1324" customFormat="false" ht="15" hidden="false" customHeight="true" outlineLevel="0" collapsed="false">
      <c r="N1324" s="93"/>
      <c r="O1324" s="93"/>
      <c r="P1324" s="93"/>
    </row>
    <row r="1325" customFormat="false" ht="15" hidden="false" customHeight="true" outlineLevel="0" collapsed="false">
      <c r="N1325" s="93"/>
      <c r="O1325" s="93"/>
      <c r="P1325" s="93"/>
    </row>
    <row r="1326" customFormat="false" ht="15" hidden="false" customHeight="true" outlineLevel="0" collapsed="false">
      <c r="N1326" s="93"/>
      <c r="O1326" s="93"/>
      <c r="P1326" s="93"/>
    </row>
    <row r="1327" customFormat="false" ht="15" hidden="false" customHeight="true" outlineLevel="0" collapsed="false">
      <c r="N1327" s="93"/>
      <c r="O1327" s="93"/>
      <c r="P1327" s="93"/>
    </row>
    <row r="1328" customFormat="false" ht="15" hidden="false" customHeight="true" outlineLevel="0" collapsed="false">
      <c r="N1328" s="93"/>
      <c r="O1328" s="93"/>
      <c r="P1328" s="93"/>
    </row>
    <row r="1329" customFormat="false" ht="15" hidden="false" customHeight="true" outlineLevel="0" collapsed="false">
      <c r="N1329" s="93"/>
      <c r="O1329" s="93"/>
      <c r="P1329" s="93"/>
    </row>
    <row r="1330" customFormat="false" ht="15" hidden="false" customHeight="true" outlineLevel="0" collapsed="false">
      <c r="N1330" s="93"/>
      <c r="O1330" s="93"/>
      <c r="P1330" s="93"/>
    </row>
    <row r="1331" customFormat="false" ht="15" hidden="false" customHeight="true" outlineLevel="0" collapsed="false">
      <c r="N1331" s="93"/>
      <c r="O1331" s="93"/>
      <c r="P1331" s="93"/>
    </row>
    <row r="1332" customFormat="false" ht="15" hidden="false" customHeight="true" outlineLevel="0" collapsed="false">
      <c r="N1332" s="93"/>
      <c r="O1332" s="93"/>
      <c r="P1332" s="93"/>
    </row>
    <row r="1333" customFormat="false" ht="15" hidden="false" customHeight="true" outlineLevel="0" collapsed="false">
      <c r="N1333" s="93"/>
      <c r="O1333" s="93"/>
      <c r="P1333" s="93"/>
    </row>
    <row r="1334" customFormat="false" ht="15" hidden="false" customHeight="true" outlineLevel="0" collapsed="false">
      <c r="N1334" s="93"/>
      <c r="O1334" s="93"/>
      <c r="P1334" s="93"/>
    </row>
    <row r="1335" customFormat="false" ht="15" hidden="false" customHeight="true" outlineLevel="0" collapsed="false">
      <c r="N1335" s="93"/>
      <c r="O1335" s="93"/>
      <c r="P1335" s="93"/>
    </row>
    <row r="1336" customFormat="false" ht="15" hidden="false" customHeight="true" outlineLevel="0" collapsed="false">
      <c r="N1336" s="93"/>
      <c r="O1336" s="93"/>
      <c r="P1336" s="93"/>
    </row>
    <row r="1337" customFormat="false" ht="15" hidden="false" customHeight="true" outlineLevel="0" collapsed="false">
      <c r="N1337" s="93"/>
      <c r="O1337" s="93"/>
      <c r="P1337" s="93"/>
    </row>
    <row r="1338" customFormat="false" ht="15" hidden="false" customHeight="true" outlineLevel="0" collapsed="false">
      <c r="N1338" s="93"/>
      <c r="O1338" s="93"/>
      <c r="P1338" s="93"/>
    </row>
    <row r="1339" customFormat="false" ht="15" hidden="false" customHeight="true" outlineLevel="0" collapsed="false">
      <c r="N1339" s="93"/>
      <c r="O1339" s="93"/>
      <c r="P1339" s="93"/>
    </row>
    <row r="1340" customFormat="false" ht="15" hidden="false" customHeight="true" outlineLevel="0" collapsed="false">
      <c r="N1340" s="93"/>
      <c r="O1340" s="93"/>
      <c r="P1340" s="93"/>
    </row>
    <row r="1341" customFormat="false" ht="15" hidden="false" customHeight="true" outlineLevel="0" collapsed="false">
      <c r="N1341" s="93"/>
      <c r="O1341" s="93"/>
      <c r="P1341" s="93"/>
    </row>
    <row r="1342" customFormat="false" ht="15" hidden="false" customHeight="true" outlineLevel="0" collapsed="false">
      <c r="N1342" s="93"/>
      <c r="O1342" s="93"/>
      <c r="P1342" s="93"/>
    </row>
    <row r="1343" customFormat="false" ht="15" hidden="false" customHeight="true" outlineLevel="0" collapsed="false">
      <c r="N1343" s="93"/>
      <c r="O1343" s="93"/>
      <c r="P1343" s="93"/>
    </row>
    <row r="1344" customFormat="false" ht="15" hidden="false" customHeight="true" outlineLevel="0" collapsed="false">
      <c r="N1344" s="93"/>
      <c r="O1344" s="93"/>
      <c r="P1344" s="93"/>
    </row>
    <row r="1345" customFormat="false" ht="15" hidden="false" customHeight="true" outlineLevel="0" collapsed="false">
      <c r="N1345" s="93"/>
      <c r="O1345" s="93"/>
      <c r="P1345" s="93"/>
    </row>
    <row r="1346" customFormat="false" ht="15" hidden="false" customHeight="true" outlineLevel="0" collapsed="false">
      <c r="N1346" s="93"/>
      <c r="O1346" s="93"/>
      <c r="P1346" s="93"/>
    </row>
    <row r="1347" customFormat="false" ht="15" hidden="false" customHeight="true" outlineLevel="0" collapsed="false">
      <c r="N1347" s="93"/>
      <c r="O1347" s="93"/>
      <c r="P1347" s="93"/>
    </row>
    <row r="1348" customFormat="false" ht="15" hidden="false" customHeight="true" outlineLevel="0" collapsed="false">
      <c r="N1348" s="93"/>
      <c r="O1348" s="93"/>
      <c r="P1348" s="93"/>
    </row>
    <row r="1349" customFormat="false" ht="15" hidden="false" customHeight="true" outlineLevel="0" collapsed="false">
      <c r="N1349" s="93"/>
      <c r="O1349" s="93"/>
      <c r="P1349" s="93"/>
    </row>
    <row r="1350" customFormat="false" ht="15" hidden="false" customHeight="true" outlineLevel="0" collapsed="false">
      <c r="N1350" s="93"/>
      <c r="O1350" s="93"/>
      <c r="P1350" s="93"/>
    </row>
    <row r="1351" customFormat="false" ht="15" hidden="false" customHeight="true" outlineLevel="0" collapsed="false">
      <c r="N1351" s="93"/>
      <c r="O1351" s="93"/>
      <c r="P1351" s="93"/>
    </row>
    <row r="1352" customFormat="false" ht="15" hidden="false" customHeight="true" outlineLevel="0" collapsed="false">
      <c r="N1352" s="93"/>
      <c r="O1352" s="93"/>
      <c r="P1352" s="93"/>
    </row>
    <row r="1353" customFormat="false" ht="15" hidden="false" customHeight="true" outlineLevel="0" collapsed="false">
      <c r="N1353" s="93"/>
      <c r="O1353" s="93"/>
      <c r="P1353" s="93"/>
    </row>
    <row r="1354" customFormat="false" ht="15" hidden="false" customHeight="true" outlineLevel="0" collapsed="false">
      <c r="N1354" s="93"/>
      <c r="O1354" s="93"/>
      <c r="P1354" s="93"/>
    </row>
    <row r="1355" customFormat="false" ht="15" hidden="false" customHeight="true" outlineLevel="0" collapsed="false">
      <c r="N1355" s="93"/>
      <c r="O1355" s="93"/>
      <c r="P1355" s="93"/>
    </row>
    <row r="1356" customFormat="false" ht="15" hidden="false" customHeight="true" outlineLevel="0" collapsed="false">
      <c r="N1356" s="93"/>
      <c r="O1356" s="93"/>
      <c r="P1356" s="93"/>
    </row>
    <row r="1357" customFormat="false" ht="15" hidden="false" customHeight="true" outlineLevel="0" collapsed="false">
      <c r="N1357" s="93"/>
      <c r="O1357" s="93"/>
      <c r="P1357" s="93"/>
    </row>
    <row r="1358" customFormat="false" ht="15" hidden="false" customHeight="true" outlineLevel="0" collapsed="false">
      <c r="N1358" s="93"/>
      <c r="O1358" s="93"/>
      <c r="P1358" s="93"/>
    </row>
    <row r="1359" customFormat="false" ht="15" hidden="false" customHeight="true" outlineLevel="0" collapsed="false">
      <c r="N1359" s="93"/>
      <c r="O1359" s="93"/>
      <c r="P1359" s="93"/>
    </row>
    <row r="1360" customFormat="false" ht="15" hidden="false" customHeight="true" outlineLevel="0" collapsed="false">
      <c r="N1360" s="93"/>
      <c r="O1360" s="93"/>
      <c r="P1360" s="93"/>
    </row>
    <row r="1361" customFormat="false" ht="15" hidden="false" customHeight="true" outlineLevel="0" collapsed="false">
      <c r="N1361" s="93"/>
      <c r="O1361" s="93"/>
      <c r="P1361" s="93"/>
    </row>
    <row r="1362" customFormat="false" ht="15" hidden="false" customHeight="true" outlineLevel="0" collapsed="false">
      <c r="N1362" s="93"/>
      <c r="O1362" s="93"/>
      <c r="P1362" s="93"/>
    </row>
    <row r="1363" customFormat="false" ht="15" hidden="false" customHeight="true" outlineLevel="0" collapsed="false">
      <c r="N1363" s="93"/>
      <c r="O1363" s="93"/>
      <c r="P1363" s="93"/>
    </row>
    <row r="1364" customFormat="false" ht="15" hidden="false" customHeight="true" outlineLevel="0" collapsed="false">
      <c r="N1364" s="93"/>
      <c r="O1364" s="93"/>
      <c r="P1364" s="93"/>
    </row>
    <row r="1365" customFormat="false" ht="15" hidden="false" customHeight="true" outlineLevel="0" collapsed="false">
      <c r="N1365" s="93"/>
      <c r="O1365" s="93"/>
      <c r="P1365" s="93"/>
    </row>
    <row r="1366" customFormat="false" ht="15" hidden="false" customHeight="true" outlineLevel="0" collapsed="false">
      <c r="N1366" s="93"/>
      <c r="O1366" s="93"/>
      <c r="P1366" s="93"/>
    </row>
    <row r="1367" customFormat="false" ht="15" hidden="false" customHeight="true" outlineLevel="0" collapsed="false">
      <c r="N1367" s="93"/>
      <c r="O1367" s="93"/>
      <c r="P1367" s="93"/>
    </row>
    <row r="1368" customFormat="false" ht="15" hidden="false" customHeight="true" outlineLevel="0" collapsed="false">
      <c r="N1368" s="93"/>
      <c r="O1368" s="93"/>
      <c r="P1368" s="93"/>
    </row>
    <row r="1369" customFormat="false" ht="15" hidden="false" customHeight="true" outlineLevel="0" collapsed="false">
      <c r="N1369" s="93"/>
      <c r="O1369" s="93"/>
      <c r="P1369" s="93"/>
    </row>
    <row r="1370" customFormat="false" ht="15" hidden="false" customHeight="true" outlineLevel="0" collapsed="false">
      <c r="N1370" s="93"/>
      <c r="O1370" s="93"/>
      <c r="P1370" s="93"/>
    </row>
    <row r="1371" customFormat="false" ht="15" hidden="false" customHeight="true" outlineLevel="0" collapsed="false">
      <c r="N1371" s="93"/>
      <c r="O1371" s="93"/>
      <c r="P1371" s="93"/>
    </row>
    <row r="1372" customFormat="false" ht="15" hidden="false" customHeight="true" outlineLevel="0" collapsed="false">
      <c r="N1372" s="93"/>
      <c r="O1372" s="93"/>
      <c r="P1372" s="93"/>
    </row>
    <row r="1373" customFormat="false" ht="15" hidden="false" customHeight="true" outlineLevel="0" collapsed="false">
      <c r="N1373" s="93"/>
      <c r="O1373" s="93"/>
      <c r="P1373" s="93"/>
    </row>
    <row r="1374" customFormat="false" ht="15" hidden="false" customHeight="true" outlineLevel="0" collapsed="false">
      <c r="N1374" s="93"/>
      <c r="O1374" s="93"/>
      <c r="P1374" s="93"/>
    </row>
    <row r="1375" customFormat="false" ht="15" hidden="false" customHeight="true" outlineLevel="0" collapsed="false">
      <c r="N1375" s="93"/>
      <c r="O1375" s="93"/>
      <c r="P1375" s="93"/>
    </row>
    <row r="1376" customFormat="false" ht="15" hidden="false" customHeight="true" outlineLevel="0" collapsed="false">
      <c r="N1376" s="93"/>
      <c r="O1376" s="93"/>
      <c r="P1376" s="93"/>
    </row>
    <row r="1377" customFormat="false" ht="15" hidden="false" customHeight="true" outlineLevel="0" collapsed="false">
      <c r="N1377" s="93"/>
      <c r="O1377" s="93"/>
      <c r="P1377" s="93"/>
    </row>
    <row r="1378" customFormat="false" ht="15" hidden="false" customHeight="true" outlineLevel="0" collapsed="false">
      <c r="N1378" s="93"/>
      <c r="O1378" s="93"/>
      <c r="P1378" s="93"/>
    </row>
    <row r="1379" customFormat="false" ht="15" hidden="false" customHeight="true" outlineLevel="0" collapsed="false">
      <c r="N1379" s="93"/>
      <c r="O1379" s="93"/>
      <c r="P1379" s="93"/>
    </row>
    <row r="1380" customFormat="false" ht="15" hidden="false" customHeight="true" outlineLevel="0" collapsed="false">
      <c r="N1380" s="93"/>
      <c r="O1380" s="93"/>
      <c r="P1380" s="93"/>
    </row>
    <row r="1381" customFormat="false" ht="15" hidden="false" customHeight="true" outlineLevel="0" collapsed="false">
      <c r="N1381" s="93"/>
      <c r="O1381" s="93"/>
      <c r="P1381" s="93"/>
    </row>
    <row r="1382" customFormat="false" ht="15" hidden="false" customHeight="true" outlineLevel="0" collapsed="false">
      <c r="N1382" s="93"/>
      <c r="O1382" s="93"/>
      <c r="P1382" s="93"/>
    </row>
    <row r="1383" customFormat="false" ht="15" hidden="false" customHeight="true" outlineLevel="0" collapsed="false">
      <c r="N1383" s="93"/>
      <c r="O1383" s="93"/>
      <c r="P1383" s="93"/>
    </row>
    <row r="1384" customFormat="false" ht="15" hidden="false" customHeight="true" outlineLevel="0" collapsed="false">
      <c r="N1384" s="93"/>
      <c r="O1384" s="93"/>
      <c r="P1384" s="93"/>
    </row>
    <row r="1385" customFormat="false" ht="15" hidden="false" customHeight="true" outlineLevel="0" collapsed="false">
      <c r="N1385" s="93"/>
      <c r="O1385" s="93"/>
      <c r="P1385" s="93"/>
    </row>
    <row r="1386" customFormat="false" ht="15" hidden="false" customHeight="true" outlineLevel="0" collapsed="false">
      <c r="N1386" s="93"/>
      <c r="O1386" s="93"/>
      <c r="P1386" s="93"/>
    </row>
    <row r="1387" customFormat="false" ht="15" hidden="false" customHeight="true" outlineLevel="0" collapsed="false">
      <c r="N1387" s="93"/>
      <c r="O1387" s="93"/>
      <c r="P1387" s="93"/>
    </row>
    <row r="1388" customFormat="false" ht="15" hidden="false" customHeight="true" outlineLevel="0" collapsed="false">
      <c r="N1388" s="93"/>
      <c r="O1388" s="93"/>
      <c r="P1388" s="93"/>
    </row>
    <row r="1389" customFormat="false" ht="15" hidden="false" customHeight="true" outlineLevel="0" collapsed="false">
      <c r="N1389" s="93"/>
      <c r="O1389" s="93"/>
      <c r="P1389" s="93"/>
    </row>
    <row r="1390" customFormat="false" ht="15" hidden="false" customHeight="true" outlineLevel="0" collapsed="false">
      <c r="N1390" s="93"/>
      <c r="O1390" s="93"/>
      <c r="P1390" s="93"/>
    </row>
    <row r="1391" customFormat="false" ht="15" hidden="false" customHeight="true" outlineLevel="0" collapsed="false">
      <c r="N1391" s="93"/>
      <c r="O1391" s="93"/>
      <c r="P1391" s="93"/>
    </row>
    <row r="1392" customFormat="false" ht="15" hidden="false" customHeight="true" outlineLevel="0" collapsed="false">
      <c r="N1392" s="93"/>
      <c r="O1392" s="93"/>
      <c r="P1392" s="93"/>
    </row>
    <row r="1393" customFormat="false" ht="15" hidden="false" customHeight="true" outlineLevel="0" collapsed="false">
      <c r="N1393" s="93"/>
      <c r="O1393" s="93"/>
      <c r="P1393" s="93"/>
    </row>
    <row r="1394" customFormat="false" ht="15" hidden="false" customHeight="true" outlineLevel="0" collapsed="false">
      <c r="N1394" s="93"/>
      <c r="O1394" s="93"/>
      <c r="P1394" s="93"/>
    </row>
    <row r="1395" customFormat="false" ht="15" hidden="false" customHeight="true" outlineLevel="0" collapsed="false">
      <c r="N1395" s="93"/>
      <c r="O1395" s="93"/>
      <c r="P1395" s="93"/>
    </row>
    <row r="1396" customFormat="false" ht="15" hidden="false" customHeight="true" outlineLevel="0" collapsed="false">
      <c r="N1396" s="93"/>
      <c r="O1396" s="93"/>
      <c r="P1396" s="93"/>
    </row>
    <row r="1397" customFormat="false" ht="15" hidden="false" customHeight="true" outlineLevel="0" collapsed="false">
      <c r="N1397" s="93"/>
      <c r="O1397" s="93"/>
      <c r="P1397" s="93"/>
    </row>
    <row r="1398" customFormat="false" ht="15" hidden="false" customHeight="true" outlineLevel="0" collapsed="false">
      <c r="N1398" s="93"/>
      <c r="O1398" s="93"/>
      <c r="P1398" s="93"/>
    </row>
    <row r="1399" customFormat="false" ht="15" hidden="false" customHeight="true" outlineLevel="0" collapsed="false">
      <c r="N1399" s="93"/>
      <c r="O1399" s="93"/>
      <c r="P1399" s="93"/>
    </row>
    <row r="1400" customFormat="false" ht="15" hidden="false" customHeight="true" outlineLevel="0" collapsed="false">
      <c r="N1400" s="93"/>
      <c r="O1400" s="93"/>
      <c r="P1400" s="93"/>
    </row>
    <row r="1401" customFormat="false" ht="15" hidden="false" customHeight="true" outlineLevel="0" collapsed="false">
      <c r="N1401" s="93"/>
      <c r="O1401" s="93"/>
      <c r="P1401" s="93"/>
    </row>
    <row r="1402" customFormat="false" ht="15" hidden="false" customHeight="true" outlineLevel="0" collapsed="false">
      <c r="N1402" s="93"/>
      <c r="O1402" s="93"/>
      <c r="P1402" s="93"/>
    </row>
    <row r="1403" customFormat="false" ht="15" hidden="false" customHeight="true" outlineLevel="0" collapsed="false">
      <c r="N1403" s="93"/>
      <c r="O1403" s="93"/>
      <c r="P1403" s="93"/>
    </row>
    <row r="1404" customFormat="false" ht="15" hidden="false" customHeight="true" outlineLevel="0" collapsed="false">
      <c r="N1404" s="93"/>
      <c r="O1404" s="93"/>
      <c r="P1404" s="93"/>
    </row>
    <row r="1405" customFormat="false" ht="15" hidden="false" customHeight="true" outlineLevel="0" collapsed="false">
      <c r="N1405" s="93"/>
      <c r="O1405" s="93"/>
      <c r="P1405" s="93"/>
    </row>
    <row r="1406" customFormat="false" ht="15" hidden="false" customHeight="true" outlineLevel="0" collapsed="false">
      <c r="N1406" s="93"/>
      <c r="O1406" s="93"/>
      <c r="P1406" s="93"/>
    </row>
    <row r="1407" customFormat="false" ht="15" hidden="false" customHeight="true" outlineLevel="0" collapsed="false">
      <c r="N1407" s="93"/>
      <c r="O1407" s="93"/>
      <c r="P1407" s="93"/>
    </row>
    <row r="1408" customFormat="false" ht="15" hidden="false" customHeight="true" outlineLevel="0" collapsed="false">
      <c r="N1408" s="93"/>
      <c r="O1408" s="93"/>
      <c r="P1408" s="93"/>
    </row>
    <row r="1409" customFormat="false" ht="15" hidden="false" customHeight="true" outlineLevel="0" collapsed="false">
      <c r="N1409" s="93"/>
      <c r="O1409" s="93"/>
      <c r="P1409" s="93"/>
    </row>
    <row r="1410" customFormat="false" ht="15" hidden="false" customHeight="true" outlineLevel="0" collapsed="false">
      <c r="N1410" s="93"/>
      <c r="O1410" s="93"/>
      <c r="P1410" s="93"/>
    </row>
    <row r="1411" customFormat="false" ht="15" hidden="false" customHeight="true" outlineLevel="0" collapsed="false">
      <c r="N1411" s="93"/>
      <c r="O1411" s="93"/>
      <c r="P1411" s="93"/>
    </row>
    <row r="1412" customFormat="false" ht="15" hidden="false" customHeight="true" outlineLevel="0" collapsed="false">
      <c r="N1412" s="93"/>
      <c r="O1412" s="93"/>
      <c r="P1412" s="93"/>
    </row>
    <row r="1413" customFormat="false" ht="15" hidden="false" customHeight="true" outlineLevel="0" collapsed="false">
      <c r="N1413" s="93"/>
      <c r="O1413" s="93"/>
      <c r="P1413" s="93"/>
    </row>
    <row r="1414" customFormat="false" ht="15" hidden="false" customHeight="true" outlineLevel="0" collapsed="false">
      <c r="N1414" s="93"/>
      <c r="O1414" s="93"/>
      <c r="P1414" s="93"/>
    </row>
    <row r="1415" customFormat="false" ht="15" hidden="false" customHeight="true" outlineLevel="0" collapsed="false">
      <c r="N1415" s="93"/>
      <c r="O1415" s="93"/>
      <c r="P1415" s="93"/>
    </row>
    <row r="1416" customFormat="false" ht="15" hidden="false" customHeight="true" outlineLevel="0" collapsed="false">
      <c r="N1416" s="93"/>
      <c r="O1416" s="93"/>
      <c r="P1416" s="93"/>
    </row>
    <row r="1417" customFormat="false" ht="15" hidden="false" customHeight="true" outlineLevel="0" collapsed="false">
      <c r="N1417" s="93"/>
      <c r="O1417" s="93"/>
      <c r="P1417" s="93"/>
    </row>
    <row r="1418" customFormat="false" ht="15" hidden="false" customHeight="true" outlineLevel="0" collapsed="false">
      <c r="N1418" s="93"/>
      <c r="O1418" s="93"/>
      <c r="P1418" s="93"/>
    </row>
    <row r="1419" customFormat="false" ht="15" hidden="false" customHeight="true" outlineLevel="0" collapsed="false">
      <c r="N1419" s="93"/>
      <c r="O1419" s="93"/>
      <c r="P1419" s="93"/>
    </row>
    <row r="1420" customFormat="false" ht="15" hidden="false" customHeight="true" outlineLevel="0" collapsed="false">
      <c r="N1420" s="93"/>
      <c r="O1420" s="93"/>
      <c r="P1420" s="93"/>
    </row>
    <row r="1421" customFormat="false" ht="15" hidden="false" customHeight="true" outlineLevel="0" collapsed="false">
      <c r="N1421" s="93"/>
      <c r="O1421" s="93"/>
      <c r="P1421" s="93"/>
    </row>
    <row r="1422" customFormat="false" ht="15" hidden="false" customHeight="true" outlineLevel="0" collapsed="false">
      <c r="N1422" s="93"/>
      <c r="O1422" s="93"/>
      <c r="P1422" s="93"/>
    </row>
    <row r="1423" customFormat="false" ht="15" hidden="false" customHeight="true" outlineLevel="0" collapsed="false">
      <c r="N1423" s="93"/>
      <c r="O1423" s="93"/>
      <c r="P1423" s="93"/>
    </row>
    <row r="1424" customFormat="false" ht="15" hidden="false" customHeight="true" outlineLevel="0" collapsed="false">
      <c r="N1424" s="93"/>
      <c r="O1424" s="93"/>
      <c r="P1424" s="93"/>
    </row>
    <row r="1425" customFormat="false" ht="15" hidden="false" customHeight="true" outlineLevel="0" collapsed="false">
      <c r="N1425" s="93"/>
      <c r="O1425" s="93"/>
      <c r="P1425" s="93"/>
    </row>
    <row r="1426" customFormat="false" ht="15" hidden="false" customHeight="true" outlineLevel="0" collapsed="false">
      <c r="N1426" s="93"/>
      <c r="O1426" s="93"/>
      <c r="P1426" s="93"/>
    </row>
    <row r="1427" customFormat="false" ht="15" hidden="false" customHeight="true" outlineLevel="0" collapsed="false">
      <c r="N1427" s="93"/>
      <c r="O1427" s="93"/>
      <c r="P1427" s="93"/>
    </row>
    <row r="1428" customFormat="false" ht="15" hidden="false" customHeight="true" outlineLevel="0" collapsed="false">
      <c r="N1428" s="93"/>
      <c r="O1428" s="93"/>
      <c r="P1428" s="93"/>
    </row>
    <row r="1429" customFormat="false" ht="15" hidden="false" customHeight="true" outlineLevel="0" collapsed="false">
      <c r="N1429" s="93"/>
      <c r="O1429" s="93"/>
      <c r="P1429" s="93"/>
    </row>
    <row r="1430" customFormat="false" ht="15" hidden="false" customHeight="true" outlineLevel="0" collapsed="false">
      <c r="N1430" s="93"/>
      <c r="O1430" s="93"/>
      <c r="P1430" s="93"/>
    </row>
    <row r="1431" customFormat="false" ht="15" hidden="false" customHeight="true" outlineLevel="0" collapsed="false">
      <c r="N1431" s="93"/>
      <c r="O1431" s="93"/>
      <c r="P1431" s="93"/>
    </row>
    <row r="1432" customFormat="false" ht="15" hidden="false" customHeight="true" outlineLevel="0" collapsed="false">
      <c r="N1432" s="93"/>
      <c r="O1432" s="93"/>
      <c r="P1432" s="93"/>
    </row>
    <row r="1433" customFormat="false" ht="15" hidden="false" customHeight="true" outlineLevel="0" collapsed="false">
      <c r="N1433" s="93"/>
      <c r="O1433" s="93"/>
      <c r="P1433" s="93"/>
    </row>
    <row r="1434" customFormat="false" ht="15" hidden="false" customHeight="true" outlineLevel="0" collapsed="false">
      <c r="N1434" s="93"/>
      <c r="O1434" s="93"/>
      <c r="P1434" s="93"/>
    </row>
    <row r="1435" customFormat="false" ht="15" hidden="false" customHeight="true" outlineLevel="0" collapsed="false">
      <c r="N1435" s="93"/>
      <c r="O1435" s="93"/>
      <c r="P1435" s="93"/>
    </row>
    <row r="1436" customFormat="false" ht="15" hidden="false" customHeight="true" outlineLevel="0" collapsed="false">
      <c r="N1436" s="93"/>
      <c r="O1436" s="93"/>
      <c r="P1436" s="93"/>
    </row>
    <row r="1437" customFormat="false" ht="15" hidden="false" customHeight="true" outlineLevel="0" collapsed="false">
      <c r="N1437" s="93"/>
      <c r="O1437" s="93"/>
      <c r="P1437" s="93"/>
    </row>
    <row r="1438" customFormat="false" ht="15" hidden="false" customHeight="true" outlineLevel="0" collapsed="false">
      <c r="N1438" s="93"/>
      <c r="O1438" s="93"/>
      <c r="P1438" s="93"/>
    </row>
    <row r="1439" customFormat="false" ht="15" hidden="false" customHeight="true" outlineLevel="0" collapsed="false">
      <c r="N1439" s="93"/>
      <c r="O1439" s="93"/>
      <c r="P1439" s="93"/>
    </row>
    <row r="1440" customFormat="false" ht="15" hidden="false" customHeight="true" outlineLevel="0" collapsed="false">
      <c r="N1440" s="93"/>
      <c r="O1440" s="93"/>
      <c r="P1440" s="93"/>
    </row>
    <row r="1441" customFormat="false" ht="15" hidden="false" customHeight="true" outlineLevel="0" collapsed="false">
      <c r="N1441" s="93"/>
      <c r="O1441" s="93"/>
      <c r="P1441" s="93"/>
    </row>
    <row r="1442" customFormat="false" ht="15" hidden="false" customHeight="true" outlineLevel="0" collapsed="false">
      <c r="N1442" s="93"/>
      <c r="O1442" s="93"/>
      <c r="P1442" s="93"/>
    </row>
    <row r="1443" customFormat="false" ht="15" hidden="false" customHeight="true" outlineLevel="0" collapsed="false">
      <c r="N1443" s="93"/>
      <c r="O1443" s="93"/>
      <c r="P1443" s="93"/>
    </row>
    <row r="1444" customFormat="false" ht="15" hidden="false" customHeight="true" outlineLevel="0" collapsed="false">
      <c r="N1444" s="93"/>
      <c r="O1444" s="93"/>
      <c r="P1444" s="93"/>
    </row>
    <row r="1445" customFormat="false" ht="15" hidden="false" customHeight="true" outlineLevel="0" collapsed="false">
      <c r="N1445" s="93"/>
      <c r="O1445" s="93"/>
      <c r="P1445" s="93"/>
    </row>
    <row r="1446" customFormat="false" ht="15" hidden="false" customHeight="true" outlineLevel="0" collapsed="false">
      <c r="N1446" s="93"/>
      <c r="O1446" s="93"/>
      <c r="P1446" s="93"/>
    </row>
    <row r="1447" customFormat="false" ht="15" hidden="false" customHeight="true" outlineLevel="0" collapsed="false">
      <c r="N1447" s="93"/>
      <c r="O1447" s="93"/>
      <c r="P1447" s="93"/>
    </row>
    <row r="1448" customFormat="false" ht="15" hidden="false" customHeight="true" outlineLevel="0" collapsed="false">
      <c r="N1448" s="93"/>
      <c r="O1448" s="93"/>
      <c r="P1448" s="93"/>
    </row>
    <row r="1449" customFormat="false" ht="15" hidden="false" customHeight="true" outlineLevel="0" collapsed="false">
      <c r="N1449" s="93"/>
      <c r="O1449" s="93"/>
      <c r="P1449" s="93"/>
    </row>
    <row r="1450" customFormat="false" ht="15" hidden="false" customHeight="true" outlineLevel="0" collapsed="false">
      <c r="N1450" s="93"/>
      <c r="O1450" s="93"/>
      <c r="P1450" s="93"/>
    </row>
    <row r="1451" customFormat="false" ht="15" hidden="false" customHeight="true" outlineLevel="0" collapsed="false">
      <c r="N1451" s="93"/>
      <c r="O1451" s="93"/>
      <c r="P1451" s="93"/>
    </row>
    <row r="1452" customFormat="false" ht="15" hidden="false" customHeight="true" outlineLevel="0" collapsed="false">
      <c r="N1452" s="93"/>
      <c r="O1452" s="93"/>
      <c r="P1452" s="93"/>
    </row>
    <row r="1453" customFormat="false" ht="15" hidden="false" customHeight="true" outlineLevel="0" collapsed="false">
      <c r="N1453" s="93"/>
      <c r="O1453" s="93"/>
      <c r="P1453" s="93"/>
    </row>
    <row r="1454" customFormat="false" ht="15" hidden="false" customHeight="true" outlineLevel="0" collapsed="false">
      <c r="N1454" s="93"/>
      <c r="O1454" s="93"/>
      <c r="P1454" s="93"/>
    </row>
    <row r="1455" customFormat="false" ht="15" hidden="false" customHeight="true" outlineLevel="0" collapsed="false">
      <c r="N1455" s="93"/>
      <c r="O1455" s="93"/>
      <c r="P1455" s="93"/>
    </row>
    <row r="1456" customFormat="false" ht="15" hidden="false" customHeight="true" outlineLevel="0" collapsed="false">
      <c r="N1456" s="93"/>
      <c r="O1456" s="93"/>
      <c r="P1456" s="93"/>
    </row>
    <row r="1457" customFormat="false" ht="15" hidden="false" customHeight="true" outlineLevel="0" collapsed="false">
      <c r="N1457" s="93"/>
      <c r="O1457" s="93"/>
      <c r="P1457" s="93"/>
    </row>
    <row r="1458" customFormat="false" ht="15" hidden="false" customHeight="true" outlineLevel="0" collapsed="false">
      <c r="N1458" s="93"/>
      <c r="O1458" s="93"/>
      <c r="P1458" s="93"/>
    </row>
    <row r="1459" customFormat="false" ht="15" hidden="false" customHeight="true" outlineLevel="0" collapsed="false">
      <c r="N1459" s="93"/>
      <c r="O1459" s="93"/>
      <c r="P1459" s="93"/>
    </row>
    <row r="1460" customFormat="false" ht="15" hidden="false" customHeight="true" outlineLevel="0" collapsed="false">
      <c r="N1460" s="93"/>
      <c r="O1460" s="93"/>
      <c r="P1460" s="93"/>
    </row>
    <row r="1461" customFormat="false" ht="15" hidden="false" customHeight="true" outlineLevel="0" collapsed="false">
      <c r="N1461" s="93"/>
      <c r="O1461" s="93"/>
      <c r="P1461" s="93"/>
    </row>
    <row r="1462" customFormat="false" ht="15" hidden="false" customHeight="true" outlineLevel="0" collapsed="false">
      <c r="N1462" s="93"/>
      <c r="O1462" s="93"/>
      <c r="P1462" s="93"/>
    </row>
    <row r="1463" customFormat="false" ht="15" hidden="false" customHeight="true" outlineLevel="0" collapsed="false">
      <c r="N1463" s="93"/>
      <c r="O1463" s="93"/>
      <c r="P1463" s="93"/>
    </row>
    <row r="1464" customFormat="false" ht="15" hidden="false" customHeight="true" outlineLevel="0" collapsed="false">
      <c r="N1464" s="93"/>
      <c r="O1464" s="93"/>
      <c r="P1464" s="93"/>
    </row>
    <row r="1465" customFormat="false" ht="15" hidden="false" customHeight="true" outlineLevel="0" collapsed="false">
      <c r="N1465" s="93"/>
      <c r="O1465" s="93"/>
      <c r="P1465" s="93"/>
    </row>
    <row r="1466" customFormat="false" ht="15" hidden="false" customHeight="true" outlineLevel="0" collapsed="false">
      <c r="N1466" s="93"/>
      <c r="O1466" s="93"/>
      <c r="P1466" s="93"/>
    </row>
    <row r="1467" customFormat="false" ht="15" hidden="false" customHeight="true" outlineLevel="0" collapsed="false">
      <c r="N1467" s="93"/>
      <c r="O1467" s="93"/>
      <c r="P1467" s="93"/>
    </row>
    <row r="1468" customFormat="false" ht="15" hidden="false" customHeight="true" outlineLevel="0" collapsed="false">
      <c r="N1468" s="93"/>
      <c r="O1468" s="93"/>
      <c r="P1468" s="93"/>
    </row>
    <row r="1469" customFormat="false" ht="15" hidden="false" customHeight="true" outlineLevel="0" collapsed="false">
      <c r="N1469" s="93"/>
      <c r="O1469" s="93"/>
      <c r="P1469" s="93"/>
    </row>
    <row r="1470" customFormat="false" ht="15" hidden="false" customHeight="true" outlineLevel="0" collapsed="false">
      <c r="N1470" s="93"/>
      <c r="O1470" s="93"/>
      <c r="P1470" s="93"/>
    </row>
    <row r="1471" customFormat="false" ht="15" hidden="false" customHeight="true" outlineLevel="0" collapsed="false">
      <c r="N1471" s="93"/>
      <c r="O1471" s="93"/>
      <c r="P1471" s="93"/>
    </row>
  </sheetData>
  <autoFilter ref="A3:AE471"/>
  <mergeCells count="1">
    <mergeCell ref="A2:B2"/>
  </mergeCells>
  <conditionalFormatting sqref="G330">
    <cfRule type="expression" priority="2" aboveAverage="0" equalAverage="0" bottom="0" percent="0" rank="0" text="" dxfId="7">
      <formula>G330&lt;=TODAY()+$G$1</formula>
    </cfRule>
  </conditionalFormatting>
  <conditionalFormatting sqref="C330">
    <cfRule type="duplicateValues" priority="3" aboveAverage="0" equalAverage="0" bottom="0" percent="0" rank="0" text="" dxfId="8"/>
  </conditionalFormatting>
  <conditionalFormatting sqref="C330">
    <cfRule type="duplicateValues" priority="4" aboveAverage="0" equalAverage="0" bottom="0" percent="0" rank="0" text="" dxfId="9"/>
  </conditionalFormatting>
  <conditionalFormatting sqref="C330">
    <cfRule type="duplicateValues" priority="5" aboveAverage="0" equalAverage="0" bottom="0" percent="0" rank="0" text="" dxfId="10"/>
    <cfRule type="duplicateValues" priority="6" aboveAverage="0" equalAverage="0" bottom="0" percent="0" rank="0" text="" dxfId="11"/>
  </conditionalFormatting>
  <conditionalFormatting sqref="C329">
    <cfRule type="duplicateValues" priority="7" aboveAverage="0" equalAverage="0" bottom="0" percent="0" rank="0" text="" dxfId="12"/>
  </conditionalFormatting>
  <conditionalFormatting sqref="C329">
    <cfRule type="duplicateValues" priority="8" aboveAverage="0" equalAverage="0" bottom="0" percent="0" rank="0" text="" dxfId="13"/>
  </conditionalFormatting>
  <conditionalFormatting sqref="C329">
    <cfRule type="duplicateValues" priority="9" aboveAverage="0" equalAverage="0" bottom="0" percent="0" rank="0" text="" dxfId="14"/>
    <cfRule type="duplicateValues" priority="10" aboveAverage="0" equalAverage="0" bottom="0" percent="0" rank="0" text="" dxfId="15"/>
  </conditionalFormatting>
  <conditionalFormatting sqref="G147">
    <cfRule type="expression" priority="11" aboveAverage="0" equalAverage="0" bottom="0" percent="0" rank="0" text="" dxfId="16">
      <formula>G147&lt;=TODAY()+$G$1</formula>
    </cfRule>
  </conditionalFormatting>
  <conditionalFormatting sqref="C279">
    <cfRule type="duplicateValues" priority="12" aboveAverage="0" equalAverage="0" bottom="0" percent="0" rank="0" text="" dxfId="17"/>
  </conditionalFormatting>
  <conditionalFormatting sqref="G127:G146 G148:G234">
    <cfRule type="expression" priority="13" aboveAverage="0" equalAverage="0" bottom="0" percent="0" rank="0" text="" dxfId="18">
      <formula>G127&lt;=TODAY()+$G$1</formula>
    </cfRule>
  </conditionalFormatting>
  <conditionalFormatting sqref="C160">
    <cfRule type="duplicateValues" priority="14" aboveAverage="0" equalAverage="0" bottom="0" percent="0" rank="0" text="" dxfId="19"/>
  </conditionalFormatting>
  <conditionalFormatting sqref="C3">
    <cfRule type="duplicateValues" priority="15" aboveAverage="0" equalAverage="0" bottom="0" percent="0" rank="0" text="" dxfId="20"/>
  </conditionalFormatting>
  <conditionalFormatting sqref="C171:C183">
    <cfRule type="duplicateValues" priority="16" aboveAverage="0" equalAverage="0" bottom="0" percent="0" rank="0" text="" dxfId="21"/>
  </conditionalFormatting>
  <conditionalFormatting sqref="C166">
    <cfRule type="duplicateValues" priority="17" aboveAverage="0" equalAverage="0" bottom="0" percent="0" rank="0" text="" dxfId="22"/>
  </conditionalFormatting>
  <conditionalFormatting sqref="C158:C184 C132:C156 C186 C4:C130">
    <cfRule type="duplicateValues" priority="18" aboveAverage="0" equalAverage="0" bottom="0" percent="0" rank="0" text="" dxfId="23"/>
  </conditionalFormatting>
  <conditionalFormatting sqref="D162">
    <cfRule type="duplicateValues" priority="19" aboveAverage="0" equalAverage="0" bottom="0" percent="0" rank="0" text="" dxfId="24"/>
    <cfRule type="duplicateValues" priority="20" aboveAverage="0" equalAverage="0" bottom="0" percent="0" rank="0" text="" dxfId="25"/>
    <cfRule type="duplicateValues" priority="21" aboveAverage="0" equalAverage="0" bottom="0" percent="0" rank="0" text="" dxfId="26"/>
  </conditionalFormatting>
  <conditionalFormatting sqref="C331:C1048576 C191:C233 C235:C278 C132:C156 C158:C184 C280:C328 C186 C1:C130">
    <cfRule type="duplicateValues" priority="22" aboveAverage="0" equalAverage="0" bottom="0" percent="0" rank="0" text="" dxfId="27"/>
  </conditionalFormatting>
  <conditionalFormatting sqref="G76 G244:G329 G331:G412">
    <cfRule type="expression" priority="23" aboveAverage="0" equalAverage="0" bottom="0" percent="0" rank="0" text="" dxfId="28">
      <formula>G76&lt;=TODAY()+$G$1</formula>
    </cfRule>
  </conditionalFormatting>
  <conditionalFormatting sqref="C331:C1048576 C192:C233 C1:C78 C235:C278 C133 C184 C93 C280:C328 D79:D126">
    <cfRule type="duplicateValues" priority="24" aboveAverage="0" equalAverage="0" bottom="0" percent="0" rank="0" text="" dxfId="29"/>
  </conditionalFormatting>
  <conditionalFormatting sqref="H1:H2">
    <cfRule type="expression" priority="25" aboveAverage="0" equalAverage="0" bottom="0" percent="0" rank="0" text="" dxfId="30">
      <formula>H1&lt;=TODAY()+$G$1</formula>
    </cfRule>
  </conditionalFormatting>
  <conditionalFormatting sqref="G4:G75 G77:G126">
    <cfRule type="expression" priority="26" aboveAverage="0" equalAverage="0" bottom="0" percent="0" rank="0" text="" dxfId="31">
      <formula>G4&lt;=TODAY()+$G$1</formula>
    </cfRule>
  </conditionalFormatting>
  <conditionalFormatting sqref="C331:C1048576 C191:C233 C1:C78 C127:C130 C235:C278 C132:C156 C158:C184 C93 C280:C328 C186 D79:D126">
    <cfRule type="duplicateValues" priority="27" aboveAverage="0" equalAverage="0" bottom="0" percent="0" rank="0" text="" dxfId="32"/>
    <cfRule type="duplicateValues" priority="28" aboveAverage="0" equalAverage="0" bottom="0" percent="0" rank="0" text="" dxfId="33"/>
  </conditionalFormatting>
  <conditionalFormatting sqref="C191 C127:C130 C132:C156 C158:C183 C186">
    <cfRule type="duplicateValues" priority="29" aboveAverage="0" equalAverage="0" bottom="0" percent="0" rank="0" text="" dxfId="34"/>
  </conditionalFormatting>
  <dataValidations count="2">
    <dataValidation allowBlank="true" errorStyle="stop" operator="between" showDropDown="false" showErrorMessage="true" showInputMessage="true" sqref="E127:E146 E148 E150:E158 E161" type="list">
      <formula1>"One time work,subscription based service"</formula1>
      <formula2>0</formula2>
    </dataValidation>
    <dataValidation allowBlank="true" errorStyle="stop" operator="between" showDropDown="false" showErrorMessage="true" showInputMessage="false" sqref="E4:E126" type="list">
      <formula1>"One time work,subscription based service"</formula1>
      <formula2>0</formula2>
    </dataValidation>
  </dataValidations>
  <hyperlinks>
    <hyperlink ref="C56" r:id="rId2" location="/contacts/2297152000000117207" display="ICL CORPORATE ADVISORY PRIVATE LIMITE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745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K12" activeCellId="1" sqref="AC4:AE412 K12"/>
    </sheetView>
  </sheetViews>
  <sheetFormatPr defaultColWidth="8.73046875" defaultRowHeight="12" zeroHeight="false" outlineLevelRow="0" outlineLevelCol="0"/>
  <cols>
    <col collapsed="false" customWidth="true" hidden="false" outlineLevel="0" max="1" min="1" style="178" width="8.82"/>
    <col collapsed="false" customWidth="true" hidden="false" outlineLevel="0" max="2" min="2" style="178" width="13"/>
    <col collapsed="false" customWidth="true" hidden="false" outlineLevel="0" max="3" min="3" style="178" width="17.09"/>
    <col collapsed="false" customWidth="true" hidden="false" outlineLevel="0" max="4" min="4" style="178" width="14.64"/>
    <col collapsed="false" customWidth="true" hidden="false" outlineLevel="0" max="5" min="5" style="178" width="26.73"/>
    <col collapsed="false" customWidth="true" hidden="false" outlineLevel="0" max="6" min="6" style="178" width="14.54"/>
    <col collapsed="false" customWidth="true" hidden="false" outlineLevel="0" max="7" min="7" style="178" width="8.82"/>
    <col collapsed="false" customWidth="true" hidden="false" outlineLevel="0" max="8" min="8" style="178" width="12.54"/>
    <col collapsed="false" customWidth="false" hidden="false" outlineLevel="0" max="9" min="9" style="178" width="8.73"/>
    <col collapsed="false" customWidth="true" hidden="false" outlineLevel="0" max="10" min="10" style="178" width="8.9"/>
    <col collapsed="false" customWidth="true" hidden="false" outlineLevel="0" max="11" min="11" style="178" width="19.64"/>
    <col collapsed="false" customWidth="true" hidden="false" outlineLevel="0" max="12" min="12" style="178" width="15.91"/>
    <col collapsed="false" customWidth="true" hidden="false" outlineLevel="0" max="13" min="13" style="178" width="9"/>
    <col collapsed="false" customWidth="true" hidden="false" outlineLevel="0" max="14" min="14" style="178" width="6.73"/>
    <col collapsed="false" customWidth="true" hidden="false" outlineLevel="0" max="15" min="15" style="178" width="11.54"/>
    <col collapsed="false" customWidth="false" hidden="false" outlineLevel="0" max="16384" min="16" style="178" width="8.73"/>
  </cols>
  <sheetData>
    <row r="2" customFormat="false" ht="12" hidden="false" customHeight="false" outlineLevel="0" collapsed="false">
      <c r="F2" s="178" t="n">
        <f aca="false">SUBTOTAL(9,F23:F54)</f>
        <v>1496307</v>
      </c>
      <c r="H2" s="178" t="n">
        <f aca="false">SUBTOTAL(9,H23:H54)</f>
        <v>1564555</v>
      </c>
    </row>
    <row r="3" customFormat="false" ht="12" hidden="false" customHeight="false" outlineLevel="0" collapsed="false">
      <c r="A3" s="178" t="s">
        <v>87</v>
      </c>
      <c r="B3" s="178" t="s">
        <v>890</v>
      </c>
      <c r="C3" s="178" t="s">
        <v>891</v>
      </c>
      <c r="D3" s="178" t="s">
        <v>892</v>
      </c>
      <c r="E3" s="178" t="s">
        <v>88</v>
      </c>
      <c r="F3" s="179" t="s">
        <v>893</v>
      </c>
      <c r="G3" s="178" t="s">
        <v>894</v>
      </c>
      <c r="H3" s="178" t="s">
        <v>51</v>
      </c>
      <c r="I3" s="178" t="s">
        <v>895</v>
      </c>
    </row>
    <row r="4" customFormat="false" ht="13.8" hidden="false" customHeight="false" outlineLevel="0" collapsed="false">
      <c r="A4" s="180" t="n">
        <v>45627</v>
      </c>
      <c r="B4" s="181" t="n">
        <v>45628</v>
      </c>
      <c r="C4" s="178" t="s">
        <v>896</v>
      </c>
      <c r="D4" s="178" t="s">
        <v>897</v>
      </c>
      <c r="E4" s="178" t="s">
        <v>898</v>
      </c>
      <c r="F4" s="179" t="n">
        <v>1295</v>
      </c>
      <c r="G4" s="179" t="n">
        <v>0</v>
      </c>
      <c r="H4" s="179" t="n">
        <v>1295</v>
      </c>
      <c r="I4" s="178" t="s">
        <v>898</v>
      </c>
      <c r="K4" s="56" t="s">
        <v>899</v>
      </c>
      <c r="L4" s="57" t="s">
        <v>895</v>
      </c>
      <c r="M4" s="58"/>
      <c r="N4" s="58"/>
      <c r="O4" s="59"/>
    </row>
    <row r="5" customFormat="false" ht="13.8" hidden="false" customHeight="false" outlineLevel="0" collapsed="false">
      <c r="A5" s="180" t="n">
        <v>45627</v>
      </c>
      <c r="B5" s="181" t="n">
        <v>45628</v>
      </c>
      <c r="C5" s="178" t="s">
        <v>463</v>
      </c>
      <c r="D5" s="178" t="s">
        <v>897</v>
      </c>
      <c r="E5" s="178" t="s">
        <v>462</v>
      </c>
      <c r="F5" s="179" t="n">
        <v>195000</v>
      </c>
      <c r="G5" s="179" t="n">
        <v>0</v>
      </c>
      <c r="H5" s="179" t="n">
        <v>195000</v>
      </c>
      <c r="I5" s="178" t="s">
        <v>900</v>
      </c>
      <c r="K5" s="61" t="s">
        <v>87</v>
      </c>
      <c r="L5" s="62" t="s">
        <v>900</v>
      </c>
      <c r="M5" s="63" t="s">
        <v>898</v>
      </c>
      <c r="N5" s="63" t="s">
        <v>72</v>
      </c>
      <c r="O5" s="182" t="s">
        <v>75</v>
      </c>
    </row>
    <row r="6" customFormat="false" ht="13.8" hidden="false" customHeight="false" outlineLevel="0" collapsed="false">
      <c r="A6" s="180" t="n">
        <v>45627</v>
      </c>
      <c r="B6" s="181" t="n">
        <v>45635</v>
      </c>
      <c r="C6" s="178" t="s">
        <v>901</v>
      </c>
      <c r="D6" s="178" t="s">
        <v>897</v>
      </c>
      <c r="E6" s="178" t="s">
        <v>898</v>
      </c>
      <c r="F6" s="179" t="n">
        <v>9164</v>
      </c>
      <c r="G6" s="179" t="n">
        <v>0</v>
      </c>
      <c r="H6" s="179" t="n">
        <v>9164</v>
      </c>
      <c r="I6" s="178" t="s">
        <v>898</v>
      </c>
      <c r="K6" s="183" t="n">
        <v>45536</v>
      </c>
      <c r="L6" s="184" t="n">
        <v>3999</v>
      </c>
      <c r="M6" s="68" t="n">
        <v>23809</v>
      </c>
      <c r="N6" s="185"/>
      <c r="O6" s="186" t="n">
        <v>27808</v>
      </c>
    </row>
    <row r="7" customFormat="false" ht="13.8" hidden="false" customHeight="false" outlineLevel="0" collapsed="false">
      <c r="A7" s="180" t="n">
        <v>45627</v>
      </c>
      <c r="B7" s="181" t="n">
        <v>45635</v>
      </c>
      <c r="C7" s="178" t="s">
        <v>902</v>
      </c>
      <c r="D7" s="178" t="s">
        <v>897</v>
      </c>
      <c r="E7" s="178" t="s">
        <v>476</v>
      </c>
      <c r="F7" s="179" t="n">
        <v>3999</v>
      </c>
      <c r="G7" s="179" t="n">
        <v>0</v>
      </c>
      <c r="H7" s="179" t="n">
        <v>3999</v>
      </c>
      <c r="I7" s="178" t="s">
        <v>900</v>
      </c>
      <c r="K7" s="187" t="n">
        <v>45566</v>
      </c>
      <c r="L7" s="188" t="n">
        <v>49997</v>
      </c>
      <c r="M7" s="73" t="n">
        <v>41135</v>
      </c>
      <c r="N7" s="189"/>
      <c r="O7" s="190" t="n">
        <v>91132</v>
      </c>
    </row>
    <row r="8" customFormat="false" ht="13.8" hidden="false" customHeight="false" outlineLevel="0" collapsed="false">
      <c r="A8" s="180" t="n">
        <v>45627</v>
      </c>
      <c r="B8" s="181" t="n">
        <v>45638</v>
      </c>
      <c r="C8" s="178" t="s">
        <v>903</v>
      </c>
      <c r="D8" s="178" t="s">
        <v>897</v>
      </c>
      <c r="E8" s="178" t="s">
        <v>898</v>
      </c>
      <c r="F8" s="179" t="n">
        <v>3786</v>
      </c>
      <c r="G8" s="179" t="n">
        <v>0</v>
      </c>
      <c r="H8" s="179" t="n">
        <v>3786</v>
      </c>
      <c r="I8" s="178" t="s">
        <v>898</v>
      </c>
      <c r="K8" s="187" t="n">
        <v>45597</v>
      </c>
      <c r="L8" s="188" t="n">
        <v>158496</v>
      </c>
      <c r="M8" s="73" t="n">
        <v>20926</v>
      </c>
      <c r="N8" s="189"/>
      <c r="O8" s="190" t="n">
        <v>179422</v>
      </c>
    </row>
    <row r="9" customFormat="false" ht="13.8" hidden="false" customHeight="false" outlineLevel="0" collapsed="false">
      <c r="A9" s="180" t="n">
        <v>45627</v>
      </c>
      <c r="B9" s="181" t="n">
        <v>45638</v>
      </c>
      <c r="C9" s="178" t="s">
        <v>904</v>
      </c>
      <c r="D9" s="178" t="s">
        <v>897</v>
      </c>
      <c r="E9" s="178" t="s">
        <v>281</v>
      </c>
      <c r="F9" s="179" t="n">
        <v>5000</v>
      </c>
      <c r="G9" s="179" t="n">
        <v>0</v>
      </c>
      <c r="H9" s="179" t="n">
        <v>5000</v>
      </c>
      <c r="I9" s="178" t="s">
        <v>900</v>
      </c>
      <c r="K9" s="187" t="n">
        <v>45627</v>
      </c>
      <c r="L9" s="188" t="n">
        <v>514892</v>
      </c>
      <c r="M9" s="73" t="n">
        <v>34284</v>
      </c>
      <c r="N9" s="189"/>
      <c r="O9" s="190" t="n">
        <v>549176</v>
      </c>
    </row>
    <row r="10" customFormat="false" ht="13.8" hidden="false" customHeight="false" outlineLevel="0" collapsed="false">
      <c r="A10" s="180" t="n">
        <v>45627</v>
      </c>
      <c r="B10" s="181" t="n">
        <v>45639</v>
      </c>
      <c r="C10" s="178" t="s">
        <v>440</v>
      </c>
      <c r="D10" s="178" t="s">
        <v>897</v>
      </c>
      <c r="E10" s="178" t="s">
        <v>439</v>
      </c>
      <c r="F10" s="179" t="n">
        <v>45000</v>
      </c>
      <c r="G10" s="179" t="n">
        <v>0</v>
      </c>
      <c r="H10" s="179" t="n">
        <v>45000</v>
      </c>
      <c r="I10" s="178" t="s">
        <v>900</v>
      </c>
      <c r="K10" s="187" t="n">
        <v>45658</v>
      </c>
      <c r="L10" s="188" t="n">
        <v>1464041</v>
      </c>
      <c r="M10" s="73" t="n">
        <v>32266</v>
      </c>
      <c r="N10" s="189"/>
      <c r="O10" s="190" t="n">
        <v>1496307</v>
      </c>
    </row>
    <row r="11" customFormat="false" ht="13.8" hidden="false" customHeight="false" outlineLevel="0" collapsed="false">
      <c r="A11" s="180" t="n">
        <v>45627</v>
      </c>
      <c r="B11" s="181" t="n">
        <v>45639</v>
      </c>
      <c r="C11" s="178" t="s">
        <v>905</v>
      </c>
      <c r="D11" s="178" t="s">
        <v>897</v>
      </c>
      <c r="E11" s="178" t="s">
        <v>898</v>
      </c>
      <c r="F11" s="179" t="n">
        <v>1493</v>
      </c>
      <c r="G11" s="179" t="n">
        <v>0</v>
      </c>
      <c r="H11" s="179" t="n">
        <v>1493</v>
      </c>
      <c r="I11" s="178" t="s">
        <v>898</v>
      </c>
      <c r="K11" s="187" t="n">
        <v>45689</v>
      </c>
      <c r="L11" s="188" t="n">
        <v>1192593</v>
      </c>
      <c r="M11" s="73" t="n">
        <v>33183</v>
      </c>
      <c r="N11" s="189"/>
      <c r="O11" s="190" t="n">
        <v>1225776</v>
      </c>
    </row>
    <row r="12" customFormat="false" ht="13.8" hidden="false" customHeight="false" outlineLevel="0" collapsed="false">
      <c r="A12" s="180" t="n">
        <v>45627</v>
      </c>
      <c r="B12" s="181" t="n">
        <v>45640</v>
      </c>
      <c r="C12" s="178" t="s">
        <v>392</v>
      </c>
      <c r="D12" s="178" t="s">
        <v>897</v>
      </c>
      <c r="E12" s="178" t="s">
        <v>906</v>
      </c>
      <c r="F12" s="179" t="n">
        <v>10000</v>
      </c>
      <c r="G12" s="179" t="n">
        <v>0</v>
      </c>
      <c r="H12" s="179" t="n">
        <v>10000</v>
      </c>
      <c r="I12" s="178" t="s">
        <v>900</v>
      </c>
      <c r="K12" s="187" t="n">
        <v>45717</v>
      </c>
      <c r="L12" s="188" t="n">
        <v>4569923</v>
      </c>
      <c r="M12" s="73" t="n">
        <v>50543</v>
      </c>
      <c r="N12" s="189"/>
      <c r="O12" s="190" t="n">
        <v>4620466</v>
      </c>
    </row>
    <row r="13" customFormat="false" ht="13.8" hidden="false" customHeight="false" outlineLevel="0" collapsed="false">
      <c r="A13" s="180" t="n">
        <v>45627</v>
      </c>
      <c r="B13" s="181" t="n">
        <v>45644</v>
      </c>
      <c r="C13" s="178" t="s">
        <v>907</v>
      </c>
      <c r="D13" s="178" t="s">
        <v>897</v>
      </c>
      <c r="E13" s="178" t="s">
        <v>898</v>
      </c>
      <c r="F13" s="179" t="n">
        <v>5481</v>
      </c>
      <c r="G13" s="179" t="n">
        <v>0</v>
      </c>
      <c r="H13" s="179" t="n">
        <v>5481</v>
      </c>
      <c r="I13" s="178" t="s">
        <v>898</v>
      </c>
      <c r="K13" s="187" t="n">
        <v>45748</v>
      </c>
      <c r="L13" s="188" t="n">
        <v>4040388</v>
      </c>
      <c r="M13" s="73" t="n">
        <v>42252</v>
      </c>
      <c r="N13" s="189"/>
      <c r="O13" s="190" t="n">
        <v>4082640</v>
      </c>
    </row>
    <row r="14" customFormat="false" ht="13.8" hidden="false" customHeight="false" outlineLevel="0" collapsed="false">
      <c r="A14" s="180" t="n">
        <v>45627</v>
      </c>
      <c r="B14" s="181" t="n">
        <v>45644</v>
      </c>
      <c r="C14" s="178" t="s">
        <v>443</v>
      </c>
      <c r="D14" s="178" t="s">
        <v>897</v>
      </c>
      <c r="E14" s="178" t="s">
        <v>442</v>
      </c>
      <c r="F14" s="179" t="n">
        <v>146994</v>
      </c>
      <c r="G14" s="179" t="n">
        <v>0</v>
      </c>
      <c r="H14" s="179" t="n">
        <v>146994</v>
      </c>
      <c r="I14" s="178" t="s">
        <v>900</v>
      </c>
      <c r="K14" s="187" t="n">
        <v>45778</v>
      </c>
      <c r="L14" s="188" t="n">
        <v>4666763</v>
      </c>
      <c r="M14" s="73" t="n">
        <v>24128</v>
      </c>
      <c r="N14" s="189"/>
      <c r="O14" s="190" t="n">
        <v>4690891</v>
      </c>
    </row>
    <row r="15" customFormat="false" ht="13.8" hidden="false" customHeight="false" outlineLevel="0" collapsed="false">
      <c r="A15" s="180" t="n">
        <v>45627</v>
      </c>
      <c r="B15" s="181" t="n">
        <v>45645</v>
      </c>
      <c r="C15" s="178" t="s">
        <v>908</v>
      </c>
      <c r="D15" s="178" t="s">
        <v>897</v>
      </c>
      <c r="E15" s="178" t="s">
        <v>909</v>
      </c>
      <c r="F15" s="179" t="n">
        <v>60000</v>
      </c>
      <c r="G15" s="179" t="n">
        <v>0</v>
      </c>
      <c r="H15" s="179" t="n">
        <v>60000</v>
      </c>
      <c r="I15" s="178" t="s">
        <v>900</v>
      </c>
      <c r="K15" s="187" t="n">
        <v>45809</v>
      </c>
      <c r="L15" s="188" t="n">
        <v>3054847.66</v>
      </c>
      <c r="M15" s="73" t="n">
        <v>24554.28</v>
      </c>
      <c r="N15" s="189"/>
      <c r="O15" s="190" t="n">
        <v>3079401.94</v>
      </c>
    </row>
    <row r="16" customFormat="false" ht="13.8" hidden="false" customHeight="false" outlineLevel="0" collapsed="false">
      <c r="A16" s="180" t="n">
        <v>45627</v>
      </c>
      <c r="B16" s="181" t="n">
        <v>45648</v>
      </c>
      <c r="C16" s="178" t="s">
        <v>910</v>
      </c>
      <c r="D16" s="178" t="s">
        <v>897</v>
      </c>
      <c r="E16" s="178" t="s">
        <v>898</v>
      </c>
      <c r="F16" s="179" t="n">
        <v>2293</v>
      </c>
      <c r="G16" s="179" t="n">
        <v>0</v>
      </c>
      <c r="H16" s="179" t="n">
        <v>2293</v>
      </c>
      <c r="I16" s="178" t="s">
        <v>898</v>
      </c>
      <c r="K16" s="187" t="n">
        <v>45839</v>
      </c>
      <c r="L16" s="188" t="n">
        <v>8195261</v>
      </c>
      <c r="M16" s="73" t="n">
        <v>19474</v>
      </c>
      <c r="N16" s="189"/>
      <c r="O16" s="190" t="n">
        <v>8214735</v>
      </c>
    </row>
    <row r="17" customFormat="false" ht="13.8" hidden="false" customHeight="false" outlineLevel="0" collapsed="false">
      <c r="A17" s="180" t="n">
        <v>45627</v>
      </c>
      <c r="B17" s="181" t="n">
        <v>45648</v>
      </c>
      <c r="C17" s="178" t="s">
        <v>911</v>
      </c>
      <c r="D17" s="178" t="s">
        <v>897</v>
      </c>
      <c r="E17" s="178" t="s">
        <v>278</v>
      </c>
      <c r="F17" s="179" t="n">
        <v>3999</v>
      </c>
      <c r="G17" s="179" t="n">
        <v>0</v>
      </c>
      <c r="H17" s="179" t="n">
        <v>3999</v>
      </c>
      <c r="I17" s="178" t="s">
        <v>900</v>
      </c>
      <c r="K17" s="187" t="n">
        <v>45870</v>
      </c>
      <c r="L17" s="188" t="n">
        <v>9351621</v>
      </c>
      <c r="M17" s="73" t="n">
        <v>18627</v>
      </c>
      <c r="N17" s="189"/>
      <c r="O17" s="190" t="n">
        <v>9370248</v>
      </c>
    </row>
    <row r="18" customFormat="false" ht="13.8" hidden="false" customHeight="false" outlineLevel="0" collapsed="false">
      <c r="A18" s="180" t="n">
        <v>45627</v>
      </c>
      <c r="B18" s="181" t="n">
        <v>45651</v>
      </c>
      <c r="C18" s="178" t="s">
        <v>912</v>
      </c>
      <c r="D18" s="178" t="s">
        <v>897</v>
      </c>
      <c r="E18" s="178" t="s">
        <v>898</v>
      </c>
      <c r="F18" s="179" t="n">
        <v>2095</v>
      </c>
      <c r="G18" s="179" t="n">
        <v>0</v>
      </c>
      <c r="H18" s="179" t="n">
        <v>2095</v>
      </c>
      <c r="I18" s="178" t="s">
        <v>898</v>
      </c>
      <c r="K18" s="187" t="n">
        <v>45901</v>
      </c>
      <c r="L18" s="188" t="n">
        <v>4189179.54</v>
      </c>
      <c r="M18" s="73" t="n">
        <v>14394.92</v>
      </c>
      <c r="N18" s="189"/>
      <c r="O18" s="190" t="n">
        <v>4203574.46</v>
      </c>
    </row>
    <row r="19" customFormat="false" ht="13.8" hidden="false" customHeight="false" outlineLevel="0" collapsed="false">
      <c r="A19" s="180" t="n">
        <v>45627</v>
      </c>
      <c r="B19" s="181" t="n">
        <v>45651</v>
      </c>
      <c r="C19" s="178" t="s">
        <v>913</v>
      </c>
      <c r="D19" s="178" t="s">
        <v>897</v>
      </c>
      <c r="E19" s="178" t="s">
        <v>914</v>
      </c>
      <c r="F19" s="179" t="n">
        <v>36900</v>
      </c>
      <c r="G19" s="179" t="n">
        <v>0</v>
      </c>
      <c r="H19" s="179" t="n">
        <v>36900</v>
      </c>
      <c r="I19" s="178" t="s">
        <v>900</v>
      </c>
      <c r="K19" s="187" t="s">
        <v>72</v>
      </c>
      <c r="L19" s="77"/>
      <c r="M19" s="74"/>
      <c r="N19" s="189"/>
      <c r="O19" s="191"/>
    </row>
    <row r="20" customFormat="false" ht="13.8" hidden="false" customHeight="false" outlineLevel="0" collapsed="false">
      <c r="A20" s="180" t="n">
        <v>45627</v>
      </c>
      <c r="B20" s="181" t="n">
        <v>45655</v>
      </c>
      <c r="C20" s="178" t="s">
        <v>915</v>
      </c>
      <c r="D20" s="178" t="s">
        <v>897</v>
      </c>
      <c r="E20" s="178" t="s">
        <v>898</v>
      </c>
      <c r="F20" s="179" t="n">
        <v>3687</v>
      </c>
      <c r="G20" s="179" t="n">
        <v>0</v>
      </c>
      <c r="H20" s="179" t="n">
        <v>3687</v>
      </c>
      <c r="I20" s="178" t="s">
        <v>898</v>
      </c>
      <c r="K20" s="187" t="n">
        <v>45931</v>
      </c>
      <c r="L20" s="192" t="n">
        <v>5730227.66</v>
      </c>
      <c r="M20" s="193" t="n">
        <v>13549.16</v>
      </c>
      <c r="N20" s="194"/>
      <c r="O20" s="195" t="n">
        <v>5743776.82</v>
      </c>
    </row>
    <row r="21" customFormat="false" ht="13.8" hidden="false" customHeight="false" outlineLevel="0" collapsed="false">
      <c r="A21" s="180" t="n">
        <v>45627</v>
      </c>
      <c r="B21" s="181" t="n">
        <v>45655</v>
      </c>
      <c r="C21" s="178" t="s">
        <v>916</v>
      </c>
      <c r="D21" s="178" t="s">
        <v>897</v>
      </c>
      <c r="E21" s="178" t="s">
        <v>284</v>
      </c>
      <c r="F21" s="179" t="n">
        <v>8000</v>
      </c>
      <c r="G21" s="179" t="n">
        <v>0</v>
      </c>
      <c r="H21" s="179" t="n">
        <v>8000</v>
      </c>
      <c r="I21" s="178" t="s">
        <v>900</v>
      </c>
      <c r="K21" s="196" t="s">
        <v>75</v>
      </c>
      <c r="L21" s="197" t="n">
        <v>47182228.86</v>
      </c>
      <c r="M21" s="84" t="n">
        <v>393125.36</v>
      </c>
      <c r="N21" s="198"/>
      <c r="O21" s="199" t="n">
        <v>47575354.22</v>
      </c>
    </row>
    <row r="22" customFormat="false" ht="12" hidden="false" customHeight="false" outlineLevel="0" collapsed="false">
      <c r="A22" s="180" t="n">
        <v>45627</v>
      </c>
      <c r="B22" s="181" t="n">
        <v>45657</v>
      </c>
      <c r="C22" s="178" t="s">
        <v>917</v>
      </c>
      <c r="D22" s="178" t="s">
        <v>897</v>
      </c>
      <c r="E22" s="178" t="s">
        <v>898</v>
      </c>
      <c r="F22" s="179" t="n">
        <v>4990</v>
      </c>
      <c r="G22" s="179" t="n">
        <v>0</v>
      </c>
      <c r="H22" s="179" t="n">
        <v>4990</v>
      </c>
      <c r="I22" s="178" t="s">
        <v>898</v>
      </c>
    </row>
    <row r="23" customFormat="false" ht="12" hidden="false" customHeight="false" outlineLevel="0" collapsed="false">
      <c r="A23" s="180" t="n">
        <v>45658</v>
      </c>
      <c r="B23" s="181" t="n">
        <v>45658</v>
      </c>
      <c r="C23" s="178" t="s">
        <v>918</v>
      </c>
      <c r="D23" s="178" t="s">
        <v>897</v>
      </c>
      <c r="E23" s="178" t="s">
        <v>145</v>
      </c>
      <c r="F23" s="179" t="n">
        <v>80000</v>
      </c>
      <c r="G23" s="179" t="n">
        <v>0</v>
      </c>
      <c r="H23" s="179" t="n">
        <v>80000</v>
      </c>
      <c r="I23" s="178" t="s">
        <v>900</v>
      </c>
    </row>
    <row r="24" customFormat="false" ht="12" hidden="false" customHeight="false" outlineLevel="0" collapsed="false">
      <c r="A24" s="180" t="n">
        <v>45658</v>
      </c>
      <c r="B24" s="181" t="n">
        <v>45662</v>
      </c>
      <c r="C24" s="178" t="s">
        <v>919</v>
      </c>
      <c r="D24" s="178" t="s">
        <v>897</v>
      </c>
      <c r="E24" s="178" t="s">
        <v>898</v>
      </c>
      <c r="F24" s="179" t="n">
        <v>6780</v>
      </c>
      <c r="G24" s="179" t="n">
        <v>0</v>
      </c>
      <c r="H24" s="179" t="n">
        <v>6780</v>
      </c>
      <c r="I24" s="178" t="s">
        <v>898</v>
      </c>
    </row>
    <row r="25" customFormat="false" ht="12" hidden="false" customHeight="false" outlineLevel="0" collapsed="false">
      <c r="A25" s="180" t="n">
        <v>45658</v>
      </c>
      <c r="B25" s="181" t="n">
        <v>45662</v>
      </c>
      <c r="C25" s="178" t="s">
        <v>474</v>
      </c>
      <c r="D25" s="178" t="s">
        <v>897</v>
      </c>
      <c r="E25" s="178" t="s">
        <v>473</v>
      </c>
      <c r="F25" s="179" t="n">
        <v>49998</v>
      </c>
      <c r="G25" s="179" t="n">
        <v>0</v>
      </c>
      <c r="H25" s="179" t="n">
        <v>49998</v>
      </c>
      <c r="I25" s="178" t="s">
        <v>900</v>
      </c>
    </row>
    <row r="26" customFormat="false" ht="12" hidden="false" customHeight="false" outlineLevel="0" collapsed="false">
      <c r="A26" s="180" t="n">
        <v>45658</v>
      </c>
      <c r="B26" s="181" t="n">
        <v>45665</v>
      </c>
      <c r="C26" s="178" t="s">
        <v>920</v>
      </c>
      <c r="D26" s="178" t="s">
        <v>897</v>
      </c>
      <c r="E26" s="178" t="s">
        <v>898</v>
      </c>
      <c r="F26" s="179" t="n">
        <v>1691</v>
      </c>
      <c r="G26" s="179" t="n">
        <v>0</v>
      </c>
      <c r="H26" s="179" t="n">
        <v>1691</v>
      </c>
      <c r="I26" s="178" t="s">
        <v>898</v>
      </c>
    </row>
    <row r="27" customFormat="false" ht="12" hidden="false" customHeight="false" outlineLevel="0" collapsed="false">
      <c r="A27" s="180" t="n">
        <v>45658</v>
      </c>
      <c r="B27" s="181" t="n">
        <v>45665</v>
      </c>
      <c r="C27" s="178" t="s">
        <v>433</v>
      </c>
      <c r="D27" s="178" t="s">
        <v>897</v>
      </c>
      <c r="E27" s="178" t="s">
        <v>370</v>
      </c>
      <c r="F27" s="179" t="n">
        <v>5000</v>
      </c>
      <c r="G27" s="179" t="n">
        <v>0</v>
      </c>
      <c r="H27" s="179" t="n">
        <v>5000</v>
      </c>
      <c r="I27" s="178" t="s">
        <v>900</v>
      </c>
    </row>
    <row r="28" customFormat="false" ht="12" hidden="false" customHeight="false" outlineLevel="0" collapsed="false">
      <c r="A28" s="180" t="n">
        <v>45658</v>
      </c>
      <c r="B28" s="181" t="n">
        <v>45666</v>
      </c>
      <c r="C28" s="178" t="s">
        <v>921</v>
      </c>
      <c r="D28" s="178" t="s">
        <v>897</v>
      </c>
      <c r="E28" s="178" t="s">
        <v>476</v>
      </c>
      <c r="F28" s="179" t="n">
        <v>3999</v>
      </c>
      <c r="G28" s="179" t="n">
        <v>0</v>
      </c>
      <c r="H28" s="179" t="n">
        <v>3999</v>
      </c>
      <c r="I28" s="178" t="s">
        <v>900</v>
      </c>
    </row>
    <row r="29" customFormat="false" ht="12" hidden="false" customHeight="false" outlineLevel="0" collapsed="false">
      <c r="A29" s="180" t="n">
        <v>45658</v>
      </c>
      <c r="B29" s="181" t="n">
        <v>45668</v>
      </c>
      <c r="C29" s="178" t="s">
        <v>922</v>
      </c>
      <c r="D29" s="178" t="s">
        <v>897</v>
      </c>
      <c r="E29" s="178" t="s">
        <v>898</v>
      </c>
      <c r="F29" s="179" t="n">
        <v>4487</v>
      </c>
      <c r="G29" s="179" t="n">
        <v>0</v>
      </c>
      <c r="H29" s="179" t="n">
        <v>4487</v>
      </c>
      <c r="I29" s="178" t="s">
        <v>898</v>
      </c>
    </row>
    <row r="30" customFormat="false" ht="12" hidden="false" customHeight="false" outlineLevel="0" collapsed="false">
      <c r="A30" s="180" t="n">
        <v>45658</v>
      </c>
      <c r="B30" s="181" t="n">
        <v>45668</v>
      </c>
      <c r="C30" s="178" t="s">
        <v>923</v>
      </c>
      <c r="D30" s="178" t="s">
        <v>897</v>
      </c>
      <c r="E30" s="178" t="s">
        <v>281</v>
      </c>
      <c r="F30" s="179" t="n">
        <v>5000</v>
      </c>
      <c r="G30" s="179" t="n">
        <v>0</v>
      </c>
      <c r="H30" s="179" t="n">
        <v>5000</v>
      </c>
      <c r="I30" s="178" t="s">
        <v>900</v>
      </c>
    </row>
    <row r="31" customFormat="false" ht="12" hidden="false" customHeight="false" outlineLevel="0" collapsed="false">
      <c r="A31" s="180" t="n">
        <v>45658</v>
      </c>
      <c r="B31" s="181" t="n">
        <v>45671</v>
      </c>
      <c r="C31" s="178" t="s">
        <v>924</v>
      </c>
      <c r="D31" s="178" t="s">
        <v>897</v>
      </c>
      <c r="E31" s="178" t="s">
        <v>898</v>
      </c>
      <c r="F31" s="179" t="n">
        <v>1889</v>
      </c>
      <c r="G31" s="179" t="n">
        <v>0</v>
      </c>
      <c r="H31" s="179" t="n">
        <v>1889</v>
      </c>
      <c r="I31" s="178" t="s">
        <v>898</v>
      </c>
    </row>
    <row r="32" customFormat="false" ht="12" hidden="false" customHeight="false" outlineLevel="0" collapsed="false">
      <c r="A32" s="180" t="n">
        <v>45658</v>
      </c>
      <c r="B32" s="181" t="n">
        <v>45671</v>
      </c>
      <c r="C32" s="178" t="s">
        <v>432</v>
      </c>
      <c r="D32" s="178" t="s">
        <v>897</v>
      </c>
      <c r="E32" s="178" t="s">
        <v>925</v>
      </c>
      <c r="F32" s="179" t="n">
        <v>162000</v>
      </c>
      <c r="G32" s="179" t="n">
        <v>0</v>
      </c>
      <c r="H32" s="179" t="n">
        <v>162000</v>
      </c>
      <c r="I32" s="178" t="s">
        <v>900</v>
      </c>
    </row>
    <row r="33" customFormat="false" ht="12" hidden="false" customHeight="false" outlineLevel="0" collapsed="false">
      <c r="A33" s="180" t="n">
        <v>45658</v>
      </c>
      <c r="B33" s="181" t="n">
        <v>45674</v>
      </c>
      <c r="C33" s="178" t="s">
        <v>926</v>
      </c>
      <c r="D33" s="178" t="s">
        <v>897</v>
      </c>
      <c r="E33" s="178" t="s">
        <v>898</v>
      </c>
      <c r="F33" s="179" t="n">
        <v>5683</v>
      </c>
      <c r="G33" s="179" t="n">
        <v>0</v>
      </c>
      <c r="H33" s="179" t="n">
        <v>5683</v>
      </c>
      <c r="I33" s="178" t="s">
        <v>898</v>
      </c>
    </row>
    <row r="34" customFormat="false" ht="12" hidden="false" customHeight="false" outlineLevel="0" collapsed="false">
      <c r="A34" s="180" t="n">
        <v>45658</v>
      </c>
      <c r="B34" s="181" t="n">
        <v>45674</v>
      </c>
      <c r="C34" s="178" t="s">
        <v>384</v>
      </c>
      <c r="D34" s="178" t="s">
        <v>897</v>
      </c>
      <c r="E34" s="178" t="s">
        <v>927</v>
      </c>
      <c r="F34" s="179" t="n">
        <v>538909</v>
      </c>
      <c r="G34" s="179" t="n">
        <v>0</v>
      </c>
      <c r="H34" s="179" t="n">
        <v>538909</v>
      </c>
      <c r="I34" s="178" t="s">
        <v>900</v>
      </c>
    </row>
    <row r="35" customFormat="false" ht="12" hidden="false" customHeight="false" outlineLevel="0" collapsed="false">
      <c r="A35" s="180" t="n">
        <v>45658</v>
      </c>
      <c r="B35" s="181" t="n">
        <v>45675</v>
      </c>
      <c r="C35" s="178" t="s">
        <v>435</v>
      </c>
      <c r="D35" s="178" t="s">
        <v>897</v>
      </c>
      <c r="E35" s="178" t="s">
        <v>434</v>
      </c>
      <c r="F35" s="179" t="n">
        <v>162000</v>
      </c>
      <c r="G35" s="179" t="n">
        <v>0</v>
      </c>
      <c r="H35" s="179" t="n">
        <v>162000</v>
      </c>
      <c r="I35" s="178" t="s">
        <v>900</v>
      </c>
    </row>
    <row r="36" customFormat="false" ht="12" hidden="false" customHeight="false" outlineLevel="0" collapsed="false">
      <c r="A36" s="180" t="n">
        <v>45658</v>
      </c>
      <c r="B36" s="181" t="n">
        <v>45677</v>
      </c>
      <c r="C36" s="178" t="s">
        <v>928</v>
      </c>
      <c r="D36" s="178" t="s">
        <v>897</v>
      </c>
      <c r="E36" s="178" t="s">
        <v>898</v>
      </c>
      <c r="F36" s="179" t="n">
        <v>2491</v>
      </c>
      <c r="G36" s="179" t="n">
        <v>0</v>
      </c>
      <c r="H36" s="179" t="n">
        <v>2491</v>
      </c>
      <c r="I36" s="178" t="s">
        <v>898</v>
      </c>
    </row>
    <row r="37" customFormat="false" ht="12" hidden="false" customHeight="false" outlineLevel="0" collapsed="false">
      <c r="A37" s="180" t="n">
        <v>45658</v>
      </c>
      <c r="B37" s="181" t="n">
        <v>45677</v>
      </c>
      <c r="C37" s="178" t="s">
        <v>430</v>
      </c>
      <c r="D37" s="178" t="s">
        <v>897</v>
      </c>
      <c r="E37" s="178" t="s">
        <v>929</v>
      </c>
      <c r="F37" s="179" t="n">
        <v>90000</v>
      </c>
      <c r="G37" s="179" t="n">
        <v>0</v>
      </c>
      <c r="H37" s="179" t="n">
        <v>90000</v>
      </c>
      <c r="I37" s="178" t="s">
        <v>900</v>
      </c>
    </row>
    <row r="38" customFormat="false" ht="12" hidden="false" customHeight="false" outlineLevel="0" collapsed="false">
      <c r="A38" s="180" t="n">
        <v>45658</v>
      </c>
      <c r="B38" s="181" t="n">
        <v>45679</v>
      </c>
      <c r="C38" s="178" t="s">
        <v>930</v>
      </c>
      <c r="D38" s="178" t="s">
        <v>897</v>
      </c>
      <c r="E38" s="178" t="s">
        <v>898</v>
      </c>
      <c r="F38" s="179" t="n">
        <v>2586</v>
      </c>
      <c r="G38" s="179" t="n">
        <v>0</v>
      </c>
      <c r="H38" s="179" t="n">
        <v>2586</v>
      </c>
      <c r="I38" s="178" t="s">
        <v>898</v>
      </c>
    </row>
    <row r="39" customFormat="false" ht="12" hidden="false" customHeight="false" outlineLevel="0" collapsed="false">
      <c r="A39" s="180" t="n">
        <v>45658</v>
      </c>
      <c r="B39" s="181" t="n">
        <v>45679</v>
      </c>
      <c r="C39" s="178" t="s">
        <v>931</v>
      </c>
      <c r="D39" s="178" t="s">
        <v>897</v>
      </c>
      <c r="E39" s="178" t="s">
        <v>278</v>
      </c>
      <c r="F39" s="179" t="n">
        <v>3999</v>
      </c>
      <c r="G39" s="179" t="n">
        <v>0</v>
      </c>
      <c r="H39" s="179" t="n">
        <v>3999</v>
      </c>
      <c r="I39" s="178" t="s">
        <v>900</v>
      </c>
    </row>
    <row r="40" customFormat="false" ht="12" hidden="false" customHeight="false" outlineLevel="0" collapsed="false">
      <c r="A40" s="180" t="n">
        <v>45658</v>
      </c>
      <c r="B40" s="181" t="n">
        <v>45680</v>
      </c>
      <c r="C40" s="178" t="s">
        <v>932</v>
      </c>
      <c r="D40" s="178" t="s">
        <v>897</v>
      </c>
      <c r="E40" s="178" t="s">
        <v>898</v>
      </c>
      <c r="F40" s="179" t="n">
        <v>1</v>
      </c>
      <c r="G40" s="179" t="n">
        <v>0</v>
      </c>
      <c r="H40" s="179" t="n">
        <v>1688</v>
      </c>
      <c r="I40" s="178" t="s">
        <v>898</v>
      </c>
    </row>
    <row r="41" customFormat="false" ht="12" hidden="false" customHeight="false" outlineLevel="0" collapsed="false">
      <c r="A41" s="180" t="n">
        <v>45658</v>
      </c>
      <c r="B41" s="181" t="n">
        <v>45680</v>
      </c>
      <c r="C41" s="178" t="s">
        <v>457</v>
      </c>
      <c r="D41" s="178" t="s">
        <v>897</v>
      </c>
      <c r="E41" s="178" t="s">
        <v>149</v>
      </c>
      <c r="F41" s="179" t="n">
        <v>12712</v>
      </c>
      <c r="G41" s="179" t="n">
        <v>2288</v>
      </c>
      <c r="H41" s="179" t="n">
        <v>15000</v>
      </c>
      <c r="I41" s="178" t="s">
        <v>900</v>
      </c>
    </row>
    <row r="42" customFormat="false" ht="12" hidden="false" customHeight="false" outlineLevel="0" collapsed="false">
      <c r="A42" s="180" t="n">
        <v>45658</v>
      </c>
      <c r="B42" s="181" t="n">
        <v>45680</v>
      </c>
      <c r="C42" s="178" t="s">
        <v>437</v>
      </c>
      <c r="D42" s="178" t="s">
        <v>897</v>
      </c>
      <c r="E42" s="178" t="s">
        <v>436</v>
      </c>
      <c r="F42" s="179" t="n">
        <v>76271</v>
      </c>
      <c r="G42" s="179" t="n">
        <v>13729</v>
      </c>
      <c r="H42" s="179" t="n">
        <v>90000</v>
      </c>
      <c r="I42" s="178" t="s">
        <v>900</v>
      </c>
    </row>
    <row r="43" customFormat="false" ht="12" hidden="false" customHeight="false" outlineLevel="0" collapsed="false">
      <c r="A43" s="180" t="n">
        <v>45658</v>
      </c>
      <c r="B43" s="181" t="n">
        <v>45680</v>
      </c>
      <c r="C43" s="178" t="s">
        <v>933</v>
      </c>
      <c r="D43" s="178" t="s">
        <v>897</v>
      </c>
      <c r="E43" s="178" t="s">
        <v>267</v>
      </c>
      <c r="F43" s="179" t="n">
        <v>45763</v>
      </c>
      <c r="G43" s="179" t="n">
        <v>8237</v>
      </c>
      <c r="H43" s="179" t="n">
        <v>54000</v>
      </c>
      <c r="I43" s="178" t="s">
        <v>900</v>
      </c>
    </row>
    <row r="44" customFormat="false" ht="12" hidden="false" customHeight="false" outlineLevel="0" collapsed="false">
      <c r="A44" s="180" t="n">
        <v>45658</v>
      </c>
      <c r="B44" s="181" t="n">
        <v>45681</v>
      </c>
      <c r="C44" s="178" t="s">
        <v>934</v>
      </c>
      <c r="D44" s="178" t="s">
        <v>897</v>
      </c>
      <c r="E44" s="178" t="s">
        <v>898</v>
      </c>
      <c r="F44" s="179" t="n">
        <v>842</v>
      </c>
      <c r="G44" s="179" t="n">
        <v>152</v>
      </c>
      <c r="H44" s="179" t="n">
        <v>994</v>
      </c>
      <c r="I44" s="178" t="s">
        <v>898</v>
      </c>
    </row>
    <row r="45" customFormat="false" ht="12" hidden="false" customHeight="false" outlineLevel="0" collapsed="false">
      <c r="A45" s="180" t="n">
        <v>45658</v>
      </c>
      <c r="B45" s="181" t="n">
        <v>45681</v>
      </c>
      <c r="C45" s="178" t="s">
        <v>471</v>
      </c>
      <c r="D45" s="178" t="s">
        <v>897</v>
      </c>
      <c r="E45" s="178" t="s">
        <v>470</v>
      </c>
      <c r="F45" s="179" t="n">
        <v>8475</v>
      </c>
      <c r="G45" s="179" t="n">
        <v>1525</v>
      </c>
      <c r="H45" s="179" t="n">
        <v>10000</v>
      </c>
      <c r="I45" s="178" t="s">
        <v>900</v>
      </c>
    </row>
    <row r="46" customFormat="false" ht="12" hidden="false" customHeight="false" outlineLevel="0" collapsed="false">
      <c r="A46" s="180" t="n">
        <v>45658</v>
      </c>
      <c r="B46" s="181" t="n">
        <v>45684</v>
      </c>
      <c r="C46" s="178" t="s">
        <v>935</v>
      </c>
      <c r="D46" s="178" t="s">
        <v>897</v>
      </c>
      <c r="E46" s="178" t="s">
        <v>898</v>
      </c>
      <c r="F46" s="179" t="n">
        <v>2447</v>
      </c>
      <c r="G46" s="179" t="n">
        <v>440</v>
      </c>
      <c r="H46" s="179" t="n">
        <v>2887</v>
      </c>
      <c r="I46" s="178" t="s">
        <v>898</v>
      </c>
    </row>
    <row r="47" customFormat="false" ht="12" hidden="false" customHeight="false" outlineLevel="0" collapsed="false">
      <c r="A47" s="180" t="n">
        <v>45658</v>
      </c>
      <c r="B47" s="181" t="n">
        <v>45684</v>
      </c>
      <c r="C47" s="178" t="s">
        <v>936</v>
      </c>
      <c r="D47" s="178" t="s">
        <v>897</v>
      </c>
      <c r="E47" s="178" t="s">
        <v>937</v>
      </c>
      <c r="F47" s="179" t="n">
        <v>22881</v>
      </c>
      <c r="G47" s="179" t="n">
        <v>4119</v>
      </c>
      <c r="H47" s="179" t="n">
        <v>27000</v>
      </c>
      <c r="I47" s="178" t="s">
        <v>900</v>
      </c>
    </row>
    <row r="48" customFormat="false" ht="12" hidden="false" customHeight="false" outlineLevel="0" collapsed="false">
      <c r="A48" s="180" t="n">
        <v>45658</v>
      </c>
      <c r="B48" s="181" t="n">
        <v>45684</v>
      </c>
      <c r="C48" s="178" t="s">
        <v>459</v>
      </c>
      <c r="D48" s="178" t="s">
        <v>897</v>
      </c>
      <c r="E48" s="178" t="s">
        <v>458</v>
      </c>
      <c r="F48" s="179" t="n">
        <v>137288</v>
      </c>
      <c r="G48" s="179" t="n">
        <v>24712</v>
      </c>
      <c r="H48" s="179" t="n">
        <v>162000</v>
      </c>
      <c r="I48" s="178" t="s">
        <v>900</v>
      </c>
    </row>
    <row r="49" customFormat="false" ht="12" hidden="false" customHeight="false" outlineLevel="0" collapsed="false">
      <c r="A49" s="180" t="n">
        <v>45658</v>
      </c>
      <c r="B49" s="181" t="n">
        <v>45685</v>
      </c>
      <c r="C49" s="178" t="s">
        <v>479</v>
      </c>
      <c r="D49" s="178" t="s">
        <v>897</v>
      </c>
      <c r="E49" s="178" t="s">
        <v>478</v>
      </c>
      <c r="F49" s="179" t="n">
        <v>8475</v>
      </c>
      <c r="G49" s="179" t="n">
        <v>1525</v>
      </c>
      <c r="H49" s="179" t="n">
        <v>10000</v>
      </c>
      <c r="I49" s="178" t="s">
        <v>900</v>
      </c>
    </row>
    <row r="50" customFormat="false" ht="12" hidden="false" customHeight="false" outlineLevel="0" collapsed="false">
      <c r="A50" s="180" t="n">
        <v>45658</v>
      </c>
      <c r="B50" s="181" t="n">
        <v>45686</v>
      </c>
      <c r="C50" s="178" t="s">
        <v>938</v>
      </c>
      <c r="D50" s="178" t="s">
        <v>897</v>
      </c>
      <c r="E50" s="178" t="s">
        <v>898</v>
      </c>
      <c r="F50" s="179" t="n">
        <v>1685</v>
      </c>
      <c r="G50" s="179" t="n">
        <v>304</v>
      </c>
      <c r="H50" s="179" t="n">
        <v>1988</v>
      </c>
      <c r="I50" s="178" t="s">
        <v>898</v>
      </c>
    </row>
    <row r="51" customFormat="false" ht="12" hidden="false" customHeight="false" outlineLevel="0" collapsed="false">
      <c r="A51" s="180" t="n">
        <v>45658</v>
      </c>
      <c r="B51" s="181" t="n">
        <v>45686</v>
      </c>
      <c r="C51" s="178" t="s">
        <v>939</v>
      </c>
      <c r="D51" s="178" t="s">
        <v>897</v>
      </c>
      <c r="E51" s="178" t="s">
        <v>284</v>
      </c>
      <c r="F51" s="179" t="n">
        <v>6780</v>
      </c>
      <c r="G51" s="179" t="n">
        <v>1220</v>
      </c>
      <c r="H51" s="179" t="n">
        <v>8000</v>
      </c>
      <c r="I51" s="178" t="s">
        <v>900</v>
      </c>
    </row>
    <row r="52" customFormat="false" ht="12" hidden="false" customHeight="false" outlineLevel="0" collapsed="false">
      <c r="A52" s="180" t="n">
        <v>45658</v>
      </c>
      <c r="B52" s="181" t="n">
        <v>45687</v>
      </c>
      <c r="C52" s="178" t="s">
        <v>940</v>
      </c>
      <c r="D52" s="178" t="s">
        <v>897</v>
      </c>
      <c r="E52" s="178" t="s">
        <v>241</v>
      </c>
      <c r="F52" s="179" t="n">
        <v>42373</v>
      </c>
      <c r="G52" s="179" t="n">
        <v>7627</v>
      </c>
      <c r="H52" s="179" t="n">
        <v>50000</v>
      </c>
      <c r="I52" s="178" t="s">
        <v>900</v>
      </c>
    </row>
    <row r="53" customFormat="false" ht="12" hidden="false" customHeight="false" outlineLevel="0" collapsed="false">
      <c r="A53" s="180" t="n">
        <v>45658</v>
      </c>
      <c r="B53" s="181" t="n">
        <v>45688</v>
      </c>
      <c r="C53" s="178" t="s">
        <v>941</v>
      </c>
      <c r="D53" s="178" t="s">
        <v>897</v>
      </c>
      <c r="E53" s="178" t="s">
        <v>898</v>
      </c>
      <c r="F53" s="179" t="n">
        <v>1684</v>
      </c>
      <c r="G53" s="179" t="n">
        <v>304</v>
      </c>
      <c r="H53" s="179" t="n">
        <v>1987</v>
      </c>
      <c r="I53" s="178" t="s">
        <v>898</v>
      </c>
    </row>
    <row r="54" customFormat="false" ht="12" hidden="false" customHeight="false" outlineLevel="0" collapsed="false">
      <c r="A54" s="180" t="n">
        <v>45658</v>
      </c>
      <c r="B54" s="181" t="n">
        <v>45688</v>
      </c>
      <c r="C54" s="178" t="s">
        <v>942</v>
      </c>
      <c r="D54" s="178" t="s">
        <v>897</v>
      </c>
      <c r="E54" s="178" t="s">
        <v>943</v>
      </c>
      <c r="F54" s="179" t="n">
        <v>2118</v>
      </c>
      <c r="G54" s="179" t="n">
        <v>381</v>
      </c>
      <c r="H54" s="179" t="n">
        <v>2499</v>
      </c>
      <c r="I54" s="178" t="s">
        <v>900</v>
      </c>
    </row>
    <row r="55" customFormat="false" ht="12" hidden="false" customHeight="false" outlineLevel="0" collapsed="false">
      <c r="A55" s="180" t="n">
        <v>45689</v>
      </c>
      <c r="B55" s="181" t="n">
        <v>45691</v>
      </c>
      <c r="C55" s="178" t="s">
        <v>944</v>
      </c>
      <c r="D55" s="178" t="s">
        <v>897</v>
      </c>
      <c r="E55" s="178" t="s">
        <v>898</v>
      </c>
      <c r="F55" s="179" t="n">
        <v>3379</v>
      </c>
      <c r="G55" s="179" t="n">
        <v>608</v>
      </c>
      <c r="H55" s="179" t="n">
        <v>3987</v>
      </c>
      <c r="I55" s="178" t="s">
        <v>898</v>
      </c>
    </row>
    <row r="56" customFormat="false" ht="12" hidden="false" customHeight="false" outlineLevel="0" collapsed="false">
      <c r="A56" s="180" t="n">
        <v>45689</v>
      </c>
      <c r="B56" s="181" t="n">
        <v>45691</v>
      </c>
      <c r="C56" s="178" t="s">
        <v>454</v>
      </c>
      <c r="D56" s="178" t="s">
        <v>897</v>
      </c>
      <c r="E56" s="178" t="s">
        <v>318</v>
      </c>
      <c r="F56" s="179" t="n">
        <v>19068</v>
      </c>
      <c r="G56" s="179" t="n">
        <v>3432</v>
      </c>
      <c r="H56" s="179" t="n">
        <v>22500</v>
      </c>
      <c r="I56" s="178" t="s">
        <v>900</v>
      </c>
    </row>
    <row r="57" customFormat="false" ht="12" hidden="false" customHeight="false" outlineLevel="0" collapsed="false">
      <c r="A57" s="180" t="n">
        <v>45689</v>
      </c>
      <c r="B57" s="181" t="n">
        <v>45691</v>
      </c>
      <c r="C57" s="178" t="s">
        <v>945</v>
      </c>
      <c r="D57" s="178" t="s">
        <v>897</v>
      </c>
      <c r="E57" s="178" t="s">
        <v>943</v>
      </c>
      <c r="F57" s="179" t="n">
        <v>2118</v>
      </c>
      <c r="G57" s="179" t="n">
        <v>381</v>
      </c>
      <c r="H57" s="179" t="n">
        <v>2499</v>
      </c>
      <c r="I57" s="178" t="s">
        <v>900</v>
      </c>
    </row>
    <row r="58" customFormat="false" ht="12" hidden="false" customHeight="false" outlineLevel="0" collapsed="false">
      <c r="A58" s="180" t="n">
        <v>45689</v>
      </c>
      <c r="B58" s="181" t="n">
        <v>45692</v>
      </c>
      <c r="C58" s="178" t="s">
        <v>946</v>
      </c>
      <c r="D58" s="178" t="s">
        <v>947</v>
      </c>
      <c r="E58" s="178" t="s">
        <v>331</v>
      </c>
      <c r="F58" s="179" t="n">
        <v>92540</v>
      </c>
      <c r="G58" s="179" t="n">
        <v>16657</v>
      </c>
      <c r="H58" s="179" t="n">
        <v>109197</v>
      </c>
      <c r="I58" s="178" t="s">
        <v>900</v>
      </c>
    </row>
    <row r="59" customFormat="false" ht="12" hidden="false" customHeight="false" outlineLevel="0" collapsed="false">
      <c r="A59" s="180" t="n">
        <v>45689</v>
      </c>
      <c r="B59" s="181" t="n">
        <v>45692</v>
      </c>
      <c r="C59" s="178" t="s">
        <v>948</v>
      </c>
      <c r="D59" s="178" t="s">
        <v>897</v>
      </c>
      <c r="E59" s="178" t="s">
        <v>898</v>
      </c>
      <c r="F59" s="179" t="n">
        <v>842</v>
      </c>
      <c r="G59" s="179" t="n">
        <v>152</v>
      </c>
      <c r="H59" s="179" t="n">
        <v>993</v>
      </c>
      <c r="I59" s="178" t="s">
        <v>898</v>
      </c>
    </row>
    <row r="60" customFormat="false" ht="12" hidden="false" customHeight="false" outlineLevel="0" collapsed="false">
      <c r="A60" s="180" t="n">
        <v>45689</v>
      </c>
      <c r="B60" s="181" t="n">
        <v>45693</v>
      </c>
      <c r="C60" s="178" t="s">
        <v>456</v>
      </c>
      <c r="D60" s="178" t="s">
        <v>897</v>
      </c>
      <c r="E60" s="178" t="s">
        <v>949</v>
      </c>
      <c r="F60" s="179" t="n">
        <v>27119</v>
      </c>
      <c r="G60" s="179" t="n">
        <v>4881</v>
      </c>
      <c r="H60" s="179" t="n">
        <v>32000</v>
      </c>
      <c r="I60" s="178" t="s">
        <v>900</v>
      </c>
    </row>
    <row r="61" customFormat="false" ht="12" hidden="false" customHeight="false" outlineLevel="0" collapsed="false">
      <c r="A61" s="180" t="n">
        <v>45689</v>
      </c>
      <c r="B61" s="181" t="n">
        <v>45695</v>
      </c>
      <c r="C61" s="178" t="s">
        <v>950</v>
      </c>
      <c r="D61" s="178" t="s">
        <v>897</v>
      </c>
      <c r="E61" s="178" t="s">
        <v>898</v>
      </c>
      <c r="F61" s="179" t="n">
        <v>1675</v>
      </c>
      <c r="G61" s="179" t="n">
        <v>302</v>
      </c>
      <c r="H61" s="179" t="n">
        <v>1976</v>
      </c>
      <c r="I61" s="178" t="s">
        <v>898</v>
      </c>
    </row>
    <row r="62" customFormat="false" ht="12" hidden="false" customHeight="false" outlineLevel="0" collapsed="false">
      <c r="A62" s="180" t="n">
        <v>45689</v>
      </c>
      <c r="B62" s="181" t="n">
        <v>45695</v>
      </c>
      <c r="C62" s="178" t="s">
        <v>951</v>
      </c>
      <c r="D62" s="178" t="s">
        <v>897</v>
      </c>
      <c r="E62" s="178" t="s">
        <v>162</v>
      </c>
      <c r="F62" s="179" t="n">
        <v>16949</v>
      </c>
      <c r="G62" s="179" t="n">
        <v>3051</v>
      </c>
      <c r="H62" s="179" t="n">
        <v>20000</v>
      </c>
      <c r="I62" s="178" t="s">
        <v>900</v>
      </c>
    </row>
    <row r="63" customFormat="false" ht="12" hidden="false" customHeight="false" outlineLevel="0" collapsed="false">
      <c r="A63" s="180" t="n">
        <v>45689</v>
      </c>
      <c r="B63" s="181" t="n">
        <v>45695</v>
      </c>
      <c r="C63" s="178" t="s">
        <v>952</v>
      </c>
      <c r="D63" s="178" t="s">
        <v>897</v>
      </c>
      <c r="E63" s="178" t="s">
        <v>943</v>
      </c>
      <c r="F63" s="179" t="n">
        <v>2118</v>
      </c>
      <c r="G63" s="179" t="n">
        <v>381</v>
      </c>
      <c r="H63" s="179" t="n">
        <v>2499</v>
      </c>
      <c r="I63" s="178" t="s">
        <v>900</v>
      </c>
    </row>
    <row r="64" customFormat="false" ht="12" hidden="false" customHeight="false" outlineLevel="0" collapsed="false">
      <c r="A64" s="180" t="n">
        <v>45689</v>
      </c>
      <c r="B64" s="181" t="n">
        <v>45697</v>
      </c>
      <c r="C64" s="178" t="s">
        <v>953</v>
      </c>
      <c r="D64" s="178" t="s">
        <v>897</v>
      </c>
      <c r="E64" s="178" t="s">
        <v>898</v>
      </c>
      <c r="F64" s="179" t="n">
        <v>3378</v>
      </c>
      <c r="G64" s="179" t="n">
        <v>608</v>
      </c>
      <c r="H64" s="179" t="n">
        <v>3986</v>
      </c>
      <c r="I64" s="178" t="s">
        <v>898</v>
      </c>
    </row>
    <row r="65" customFormat="false" ht="12" hidden="false" customHeight="false" outlineLevel="0" collapsed="false">
      <c r="A65" s="180" t="n">
        <v>45689</v>
      </c>
      <c r="B65" s="181" t="n">
        <v>45697</v>
      </c>
      <c r="C65" s="178" t="s">
        <v>954</v>
      </c>
      <c r="D65" s="178" t="s">
        <v>897</v>
      </c>
      <c r="E65" s="178" t="s">
        <v>278</v>
      </c>
      <c r="F65" s="179" t="n">
        <v>3389</v>
      </c>
      <c r="G65" s="179" t="n">
        <v>610</v>
      </c>
      <c r="H65" s="179" t="n">
        <v>3999</v>
      </c>
      <c r="I65" s="178" t="s">
        <v>900</v>
      </c>
    </row>
    <row r="66" customFormat="false" ht="12" hidden="false" customHeight="false" outlineLevel="0" collapsed="false">
      <c r="A66" s="180" t="n">
        <v>45689</v>
      </c>
      <c r="B66" s="181" t="n">
        <v>45698</v>
      </c>
      <c r="C66" s="178" t="s">
        <v>955</v>
      </c>
      <c r="D66" s="178" t="s">
        <v>897</v>
      </c>
      <c r="E66" s="178" t="s">
        <v>898</v>
      </c>
      <c r="F66" s="179" t="n">
        <v>2964</v>
      </c>
      <c r="G66" s="179" t="n">
        <v>534</v>
      </c>
      <c r="H66" s="179" t="n">
        <v>3497</v>
      </c>
      <c r="I66" s="178" t="s">
        <v>898</v>
      </c>
    </row>
    <row r="67" customFormat="false" ht="12" hidden="false" customHeight="false" outlineLevel="0" collapsed="false">
      <c r="A67" s="180" t="n">
        <v>45689</v>
      </c>
      <c r="B67" s="181" t="n">
        <v>45698</v>
      </c>
      <c r="C67" s="178" t="s">
        <v>428</v>
      </c>
      <c r="D67" s="178" t="s">
        <v>897</v>
      </c>
      <c r="E67" s="178" t="s">
        <v>427</v>
      </c>
      <c r="F67" s="179" t="n">
        <v>91525</v>
      </c>
      <c r="G67" s="179" t="n">
        <v>16475</v>
      </c>
      <c r="H67" s="179" t="n">
        <v>108000</v>
      </c>
      <c r="I67" s="178" t="s">
        <v>900</v>
      </c>
    </row>
    <row r="68" customFormat="false" ht="12" hidden="false" customHeight="false" outlineLevel="0" collapsed="false">
      <c r="A68" s="180" t="n">
        <v>45689</v>
      </c>
      <c r="B68" s="181" t="n">
        <v>45699</v>
      </c>
      <c r="C68" s="178" t="s">
        <v>956</v>
      </c>
      <c r="D68" s="178" t="s">
        <v>897</v>
      </c>
      <c r="E68" s="178" t="s">
        <v>281</v>
      </c>
      <c r="F68" s="179" t="n">
        <v>4237</v>
      </c>
      <c r="G68" s="179" t="n">
        <v>763</v>
      </c>
      <c r="H68" s="179" t="n">
        <v>5000</v>
      </c>
      <c r="I68" s="178" t="s">
        <v>900</v>
      </c>
    </row>
    <row r="69" customFormat="false" ht="12" hidden="false" customHeight="false" outlineLevel="0" collapsed="false">
      <c r="A69" s="180" t="n">
        <v>45689</v>
      </c>
      <c r="B69" s="181" t="n">
        <v>45705</v>
      </c>
      <c r="C69" s="178" t="s">
        <v>957</v>
      </c>
      <c r="D69" s="178" t="s">
        <v>897</v>
      </c>
      <c r="E69" s="178" t="s">
        <v>898</v>
      </c>
      <c r="F69" s="179" t="n">
        <v>6753</v>
      </c>
      <c r="G69" s="179" t="n">
        <v>1216</v>
      </c>
      <c r="H69" s="179" t="n">
        <v>7969</v>
      </c>
      <c r="I69" s="178" t="s">
        <v>898</v>
      </c>
    </row>
    <row r="70" customFormat="false" ht="12" hidden="false" customHeight="false" outlineLevel="0" collapsed="false">
      <c r="A70" s="180" t="n">
        <v>45689</v>
      </c>
      <c r="B70" s="181" t="n">
        <v>45705</v>
      </c>
      <c r="C70" s="178" t="s">
        <v>385</v>
      </c>
      <c r="D70" s="178" t="s">
        <v>897</v>
      </c>
      <c r="E70" s="178" t="s">
        <v>341</v>
      </c>
      <c r="F70" s="179" t="n">
        <v>255000</v>
      </c>
      <c r="G70" s="179" t="n">
        <v>45900</v>
      </c>
      <c r="H70" s="179" t="n">
        <v>300900</v>
      </c>
      <c r="I70" s="178" t="s">
        <v>900</v>
      </c>
    </row>
    <row r="71" customFormat="false" ht="12" hidden="false" customHeight="false" outlineLevel="0" collapsed="false">
      <c r="A71" s="180" t="n">
        <v>45689</v>
      </c>
      <c r="B71" s="181" t="n">
        <v>45711</v>
      </c>
      <c r="C71" s="178" t="s">
        <v>958</v>
      </c>
      <c r="D71" s="178" t="s">
        <v>897</v>
      </c>
      <c r="E71" s="178" t="s">
        <v>898</v>
      </c>
      <c r="F71" s="179" t="n">
        <v>2114</v>
      </c>
      <c r="G71" s="179" t="n">
        <v>380</v>
      </c>
      <c r="H71" s="179" t="n">
        <v>2495</v>
      </c>
      <c r="I71" s="178" t="s">
        <v>898</v>
      </c>
    </row>
    <row r="72" customFormat="false" ht="12" hidden="false" customHeight="false" outlineLevel="0" collapsed="false">
      <c r="A72" s="180" t="n">
        <v>45689</v>
      </c>
      <c r="B72" s="181" t="n">
        <v>45711</v>
      </c>
      <c r="C72" s="178" t="s">
        <v>387</v>
      </c>
      <c r="D72" s="178" t="s">
        <v>947</v>
      </c>
      <c r="E72" s="178" t="s">
        <v>959</v>
      </c>
      <c r="F72" s="179" t="n">
        <v>137288</v>
      </c>
      <c r="G72" s="179" t="n">
        <v>24712</v>
      </c>
      <c r="H72" s="179" t="n">
        <v>162000</v>
      </c>
      <c r="I72" s="178" t="s">
        <v>900</v>
      </c>
    </row>
    <row r="73" customFormat="false" ht="12" hidden="false" customHeight="false" outlineLevel="0" collapsed="false">
      <c r="A73" s="180" t="n">
        <v>45689</v>
      </c>
      <c r="B73" s="181" t="n">
        <v>45711</v>
      </c>
      <c r="C73" s="178" t="s">
        <v>484</v>
      </c>
      <c r="D73" s="178" t="s">
        <v>897</v>
      </c>
      <c r="E73" s="178" t="s">
        <v>483</v>
      </c>
      <c r="F73" s="179" t="n">
        <v>19068</v>
      </c>
      <c r="G73" s="179" t="n">
        <v>3432</v>
      </c>
      <c r="H73" s="179" t="n">
        <v>22500</v>
      </c>
      <c r="I73" s="178" t="s">
        <v>900</v>
      </c>
    </row>
    <row r="74" customFormat="false" ht="12" hidden="false" customHeight="false" outlineLevel="0" collapsed="false">
      <c r="A74" s="180" t="n">
        <v>45689</v>
      </c>
      <c r="B74" s="181" t="n">
        <v>45712</v>
      </c>
      <c r="C74" s="178" t="s">
        <v>485</v>
      </c>
      <c r="D74" s="178" t="s">
        <v>897</v>
      </c>
      <c r="E74" s="178" t="s">
        <v>403</v>
      </c>
      <c r="F74" s="179" t="n">
        <v>9999</v>
      </c>
      <c r="G74" s="179" t="n">
        <v>1800</v>
      </c>
      <c r="H74" s="179" t="n">
        <v>11799</v>
      </c>
      <c r="I74" s="178" t="s">
        <v>900</v>
      </c>
    </row>
    <row r="75" customFormat="false" ht="12" hidden="false" customHeight="false" outlineLevel="0" collapsed="false">
      <c r="A75" s="180" t="n">
        <v>45689</v>
      </c>
      <c r="B75" s="181" t="n">
        <v>45712</v>
      </c>
      <c r="C75" s="178" t="s">
        <v>395</v>
      </c>
      <c r="D75" s="178" t="s">
        <v>897</v>
      </c>
      <c r="E75" s="178" t="s">
        <v>236</v>
      </c>
      <c r="F75" s="179" t="n">
        <v>133650</v>
      </c>
      <c r="G75" s="179" t="n">
        <v>24057</v>
      </c>
      <c r="H75" s="179" t="n">
        <v>157707</v>
      </c>
      <c r="I75" s="178" t="s">
        <v>900</v>
      </c>
    </row>
    <row r="76" customFormat="false" ht="12" hidden="false" customHeight="false" outlineLevel="0" collapsed="false">
      <c r="A76" s="180" t="n">
        <v>45689</v>
      </c>
      <c r="B76" s="181" t="n">
        <v>45712</v>
      </c>
      <c r="C76" s="178" t="s">
        <v>461</v>
      </c>
      <c r="D76" s="178" t="s">
        <v>897</v>
      </c>
      <c r="E76" s="178" t="s">
        <v>460</v>
      </c>
      <c r="F76" s="179" t="n">
        <v>33864</v>
      </c>
      <c r="G76" s="179" t="n">
        <v>6096</v>
      </c>
      <c r="H76" s="179" t="n">
        <v>39960</v>
      </c>
      <c r="I76" s="178" t="s">
        <v>900</v>
      </c>
    </row>
    <row r="77" customFormat="false" ht="12" hidden="false" customHeight="false" outlineLevel="0" collapsed="false">
      <c r="A77" s="180" t="n">
        <v>45689</v>
      </c>
      <c r="B77" s="181" t="n">
        <v>45713</v>
      </c>
      <c r="C77" s="178" t="s">
        <v>960</v>
      </c>
      <c r="D77" s="178" t="s">
        <v>897</v>
      </c>
      <c r="E77" s="178" t="s">
        <v>898</v>
      </c>
      <c r="F77" s="179" t="n">
        <v>846</v>
      </c>
      <c r="G77" s="179" t="n">
        <v>152</v>
      </c>
      <c r="H77" s="179" t="n">
        <v>998</v>
      </c>
      <c r="I77" s="178" t="s">
        <v>898</v>
      </c>
    </row>
    <row r="78" customFormat="false" ht="12" hidden="false" customHeight="false" outlineLevel="0" collapsed="false">
      <c r="A78" s="180" t="n">
        <v>45689</v>
      </c>
      <c r="B78" s="181" t="n">
        <v>45713</v>
      </c>
      <c r="C78" s="178" t="s">
        <v>426</v>
      </c>
      <c r="D78" s="178" t="s">
        <v>897</v>
      </c>
      <c r="E78" s="178" t="s">
        <v>961</v>
      </c>
      <c r="F78" s="179" t="n">
        <v>240000</v>
      </c>
      <c r="G78" s="179" t="n">
        <v>43200</v>
      </c>
      <c r="H78" s="179" t="n">
        <v>283200</v>
      </c>
      <c r="I78" s="178" t="s">
        <v>900</v>
      </c>
    </row>
    <row r="79" customFormat="false" ht="12" hidden="false" customHeight="false" outlineLevel="0" collapsed="false">
      <c r="A79" s="180" t="n">
        <v>45689</v>
      </c>
      <c r="B79" s="181" t="n">
        <v>45713</v>
      </c>
      <c r="C79" s="178" t="s">
        <v>464</v>
      </c>
      <c r="D79" s="178" t="s">
        <v>897</v>
      </c>
      <c r="E79" s="178" t="s">
        <v>189</v>
      </c>
      <c r="F79" s="179" t="n">
        <v>15000</v>
      </c>
      <c r="G79" s="179" t="n">
        <v>2700</v>
      </c>
      <c r="H79" s="179" t="n">
        <v>17700</v>
      </c>
      <c r="I79" s="178" t="s">
        <v>900</v>
      </c>
    </row>
    <row r="80" customFormat="false" ht="12" hidden="false" customHeight="false" outlineLevel="0" collapsed="false">
      <c r="A80" s="180" t="n">
        <v>45689</v>
      </c>
      <c r="B80" s="181" t="n">
        <v>45714</v>
      </c>
      <c r="C80" s="178" t="s">
        <v>962</v>
      </c>
      <c r="D80" s="178" t="s">
        <v>897</v>
      </c>
      <c r="E80" s="178" t="s">
        <v>937</v>
      </c>
      <c r="F80" s="179" t="n">
        <v>22881</v>
      </c>
      <c r="G80" s="179" t="n">
        <v>4119</v>
      </c>
      <c r="H80" s="179" t="n">
        <v>27000</v>
      </c>
      <c r="I80" s="178" t="s">
        <v>900</v>
      </c>
    </row>
    <row r="81" customFormat="false" ht="12" hidden="false" customHeight="false" outlineLevel="0" collapsed="false">
      <c r="A81" s="180" t="n">
        <v>45689</v>
      </c>
      <c r="B81" s="181" t="n">
        <v>45715</v>
      </c>
      <c r="C81" s="178" t="s">
        <v>963</v>
      </c>
      <c r="D81" s="178" t="s">
        <v>897</v>
      </c>
      <c r="E81" s="178" t="s">
        <v>898</v>
      </c>
      <c r="F81" s="179" t="n">
        <v>7846</v>
      </c>
      <c r="G81" s="179" t="n">
        <v>1412</v>
      </c>
      <c r="H81" s="179" t="n">
        <v>9258</v>
      </c>
      <c r="I81" s="178" t="s">
        <v>898</v>
      </c>
    </row>
    <row r="82" customFormat="false" ht="12" hidden="false" customHeight="false" outlineLevel="0" collapsed="false">
      <c r="A82" s="180" t="n">
        <v>45689</v>
      </c>
      <c r="B82" s="181" t="n">
        <v>45715</v>
      </c>
      <c r="C82" s="178" t="s">
        <v>415</v>
      </c>
      <c r="D82" s="178" t="s">
        <v>897</v>
      </c>
      <c r="E82" s="178" t="s">
        <v>414</v>
      </c>
      <c r="F82" s="179" t="n">
        <v>60000</v>
      </c>
      <c r="G82" s="179" t="n">
        <v>10800</v>
      </c>
      <c r="H82" s="179" t="n">
        <v>70800</v>
      </c>
      <c r="I82" s="178" t="s">
        <v>900</v>
      </c>
    </row>
    <row r="83" customFormat="false" ht="12" hidden="false" customHeight="false" outlineLevel="0" collapsed="false">
      <c r="A83" s="180" t="n">
        <v>45689</v>
      </c>
      <c r="B83" s="181" t="n">
        <v>45716</v>
      </c>
      <c r="C83" s="178" t="s">
        <v>964</v>
      </c>
      <c r="D83" s="178" t="s">
        <v>897</v>
      </c>
      <c r="E83" s="178" t="s">
        <v>284</v>
      </c>
      <c r="F83" s="179" t="n">
        <v>6780</v>
      </c>
      <c r="G83" s="179" t="n">
        <v>1220</v>
      </c>
      <c r="H83" s="179" t="n">
        <v>8000</v>
      </c>
      <c r="I83" s="178" t="s">
        <v>900</v>
      </c>
    </row>
    <row r="84" customFormat="false" ht="12" hidden="false" customHeight="false" outlineLevel="0" collapsed="false">
      <c r="A84" s="180" t="n">
        <v>45689</v>
      </c>
      <c r="B84" s="181" t="n">
        <v>45716</v>
      </c>
      <c r="C84" s="178" t="s">
        <v>965</v>
      </c>
      <c r="D84" s="178" t="s">
        <v>897</v>
      </c>
      <c r="E84" s="178" t="s">
        <v>898</v>
      </c>
      <c r="F84" s="179" t="n">
        <v>3386</v>
      </c>
      <c r="G84" s="179" t="n">
        <v>610</v>
      </c>
      <c r="H84" s="179" t="n">
        <v>3996</v>
      </c>
      <c r="I84" s="178" t="s">
        <v>898</v>
      </c>
    </row>
    <row r="85" customFormat="false" ht="12" hidden="false" customHeight="false" outlineLevel="0" collapsed="false">
      <c r="A85" s="180" t="n">
        <v>45717</v>
      </c>
      <c r="B85" s="181" t="n">
        <v>45719</v>
      </c>
      <c r="C85" s="178" t="s">
        <v>966</v>
      </c>
      <c r="D85" s="178" t="s">
        <v>897</v>
      </c>
      <c r="E85" s="178" t="s">
        <v>898</v>
      </c>
      <c r="F85" s="179" t="n">
        <v>2537</v>
      </c>
      <c r="G85" s="179" t="n">
        <v>456</v>
      </c>
      <c r="H85" s="179" t="n">
        <v>2994</v>
      </c>
      <c r="I85" s="178" t="s">
        <v>898</v>
      </c>
    </row>
    <row r="86" customFormat="false" ht="12" hidden="false" customHeight="false" outlineLevel="0" collapsed="false">
      <c r="A86" s="180" t="n">
        <v>45717</v>
      </c>
      <c r="B86" s="181" t="n">
        <v>45721</v>
      </c>
      <c r="C86" s="178" t="s">
        <v>469</v>
      </c>
      <c r="D86" s="178" t="s">
        <v>897</v>
      </c>
      <c r="E86" s="178" t="s">
        <v>468</v>
      </c>
      <c r="F86" s="179" t="n">
        <v>16000</v>
      </c>
      <c r="G86" s="179" t="n">
        <v>2880</v>
      </c>
      <c r="H86" s="179" t="n">
        <v>18880</v>
      </c>
      <c r="I86" s="178" t="s">
        <v>900</v>
      </c>
    </row>
    <row r="87" customFormat="false" ht="12" hidden="false" customHeight="false" outlineLevel="0" collapsed="false">
      <c r="A87" s="180" t="n">
        <v>45717</v>
      </c>
      <c r="B87" s="181" t="n">
        <v>45724</v>
      </c>
      <c r="C87" s="178" t="s">
        <v>967</v>
      </c>
      <c r="D87" s="178" t="s">
        <v>897</v>
      </c>
      <c r="E87" s="178" t="s">
        <v>898</v>
      </c>
      <c r="F87" s="179" t="n">
        <v>3039</v>
      </c>
      <c r="G87" s="179" t="n">
        <v>548</v>
      </c>
      <c r="H87" s="179" t="n">
        <v>3586</v>
      </c>
      <c r="I87" s="178" t="s">
        <v>898</v>
      </c>
    </row>
    <row r="88" customFormat="false" ht="12" hidden="false" customHeight="false" outlineLevel="0" collapsed="false">
      <c r="A88" s="180" t="n">
        <v>45717</v>
      </c>
      <c r="B88" s="181" t="n">
        <v>45725</v>
      </c>
      <c r="C88" s="178" t="s">
        <v>968</v>
      </c>
      <c r="D88" s="178" t="s">
        <v>897</v>
      </c>
      <c r="E88" s="178" t="s">
        <v>152</v>
      </c>
      <c r="F88" s="179" t="n">
        <v>10000</v>
      </c>
      <c r="G88" s="179" t="n">
        <v>1800</v>
      </c>
      <c r="H88" s="179" t="n">
        <v>11800</v>
      </c>
      <c r="I88" s="178" t="s">
        <v>900</v>
      </c>
    </row>
    <row r="89" customFormat="false" ht="12" hidden="false" customHeight="false" outlineLevel="0" collapsed="false">
      <c r="A89" s="180" t="n">
        <v>45717</v>
      </c>
      <c r="B89" s="181" t="n">
        <v>45725</v>
      </c>
      <c r="C89" s="178" t="s">
        <v>969</v>
      </c>
      <c r="D89" s="178" t="s">
        <v>897</v>
      </c>
      <c r="E89" s="178" t="s">
        <v>278</v>
      </c>
      <c r="F89" s="179" t="n">
        <v>3389</v>
      </c>
      <c r="G89" s="179" t="n">
        <v>610</v>
      </c>
      <c r="H89" s="179" t="n">
        <v>3999</v>
      </c>
      <c r="I89" s="178" t="s">
        <v>900</v>
      </c>
    </row>
    <row r="90" customFormat="false" ht="12" hidden="false" customHeight="false" outlineLevel="0" collapsed="false">
      <c r="A90" s="180" t="n">
        <v>45717</v>
      </c>
      <c r="B90" s="181" t="n">
        <v>45727</v>
      </c>
      <c r="C90" s="178" t="s">
        <v>970</v>
      </c>
      <c r="D90" s="178" t="s">
        <v>897</v>
      </c>
      <c r="E90" s="178" t="s">
        <v>898</v>
      </c>
      <c r="F90" s="179" t="n">
        <v>6692</v>
      </c>
      <c r="G90" s="179" t="n">
        <v>1204</v>
      </c>
      <c r="H90" s="179" t="n">
        <v>7896</v>
      </c>
      <c r="I90" s="178" t="s">
        <v>898</v>
      </c>
    </row>
    <row r="91" customFormat="false" ht="12" hidden="false" customHeight="false" outlineLevel="0" collapsed="false">
      <c r="A91" s="180" t="n">
        <v>45717</v>
      </c>
      <c r="B91" s="181" t="n">
        <v>45727</v>
      </c>
      <c r="C91" s="178" t="s">
        <v>971</v>
      </c>
      <c r="D91" s="178" t="s">
        <v>897</v>
      </c>
      <c r="E91" s="178" t="s">
        <v>281</v>
      </c>
      <c r="F91" s="179" t="n">
        <v>4237</v>
      </c>
      <c r="G91" s="179" t="n">
        <v>762</v>
      </c>
      <c r="H91" s="179" t="n">
        <v>5000</v>
      </c>
      <c r="I91" s="178" t="s">
        <v>900</v>
      </c>
    </row>
    <row r="92" customFormat="false" ht="12" hidden="false" customHeight="false" outlineLevel="0" collapsed="false">
      <c r="A92" s="180" t="n">
        <v>45717</v>
      </c>
      <c r="B92" s="181" t="n">
        <v>45728</v>
      </c>
      <c r="C92" s="178" t="s">
        <v>424</v>
      </c>
      <c r="D92" s="178" t="s">
        <v>897</v>
      </c>
      <c r="E92" s="178" t="s">
        <v>423</v>
      </c>
      <c r="F92" s="179" t="n">
        <v>25000</v>
      </c>
      <c r="G92" s="179" t="n">
        <v>4500</v>
      </c>
      <c r="H92" s="179" t="n">
        <v>29500</v>
      </c>
      <c r="I92" s="178" t="s">
        <v>900</v>
      </c>
    </row>
    <row r="93" customFormat="false" ht="12" hidden="false" customHeight="false" outlineLevel="0" collapsed="false">
      <c r="A93" s="180" t="n">
        <v>45717</v>
      </c>
      <c r="B93" s="181" t="n">
        <v>45728</v>
      </c>
      <c r="C93" s="178" t="s">
        <v>972</v>
      </c>
      <c r="D93" s="178" t="s">
        <v>897</v>
      </c>
      <c r="E93" s="178" t="s">
        <v>451</v>
      </c>
      <c r="F93" s="179" t="n">
        <v>10000</v>
      </c>
      <c r="G93" s="179" t="n">
        <v>1800</v>
      </c>
      <c r="H93" s="179" t="n">
        <v>11800</v>
      </c>
      <c r="I93" s="178" t="s">
        <v>900</v>
      </c>
    </row>
    <row r="94" customFormat="false" ht="12" hidden="false" customHeight="false" outlineLevel="0" collapsed="false">
      <c r="A94" s="180" t="n">
        <v>45717</v>
      </c>
      <c r="B94" s="181" t="n">
        <v>45730</v>
      </c>
      <c r="C94" s="178" t="s">
        <v>973</v>
      </c>
      <c r="D94" s="178" t="s">
        <v>897</v>
      </c>
      <c r="E94" s="178" t="s">
        <v>898</v>
      </c>
      <c r="F94" s="179" t="n">
        <v>2541</v>
      </c>
      <c r="G94" s="179" t="n">
        <v>458</v>
      </c>
      <c r="H94" s="179" t="n">
        <v>2998</v>
      </c>
      <c r="I94" s="178" t="s">
        <v>898</v>
      </c>
    </row>
    <row r="95" customFormat="false" ht="12" hidden="false" customHeight="false" outlineLevel="0" collapsed="false">
      <c r="A95" s="180" t="n">
        <v>45717</v>
      </c>
      <c r="B95" s="181" t="n">
        <v>45730</v>
      </c>
      <c r="C95" s="178" t="s">
        <v>453</v>
      </c>
      <c r="D95" s="178" t="s">
        <v>897</v>
      </c>
      <c r="E95" s="178" t="s">
        <v>187</v>
      </c>
      <c r="F95" s="179" t="n">
        <v>5000</v>
      </c>
      <c r="G95" s="179" t="n">
        <v>900</v>
      </c>
      <c r="H95" s="179" t="n">
        <v>5900</v>
      </c>
      <c r="I95" s="178" t="s">
        <v>900</v>
      </c>
    </row>
    <row r="96" customFormat="false" ht="12" hidden="false" customHeight="false" outlineLevel="0" collapsed="false">
      <c r="A96" s="180" t="n">
        <v>45717</v>
      </c>
      <c r="B96" s="181" t="n">
        <v>45733</v>
      </c>
      <c r="C96" s="178" t="s">
        <v>974</v>
      </c>
      <c r="D96" s="178" t="s">
        <v>897</v>
      </c>
      <c r="E96" s="178" t="s">
        <v>898</v>
      </c>
      <c r="F96" s="179" t="n">
        <v>6773</v>
      </c>
      <c r="G96" s="179" t="n">
        <v>1220</v>
      </c>
      <c r="H96" s="179" t="n">
        <v>7992</v>
      </c>
      <c r="I96" s="178" t="s">
        <v>898</v>
      </c>
    </row>
    <row r="97" customFormat="false" ht="12" hidden="false" customHeight="false" outlineLevel="0" collapsed="false">
      <c r="A97" s="180" t="n">
        <v>45717</v>
      </c>
      <c r="B97" s="181" t="n">
        <v>45733</v>
      </c>
      <c r="C97" s="178" t="s">
        <v>407</v>
      </c>
      <c r="D97" s="178" t="s">
        <v>897</v>
      </c>
      <c r="E97" s="178" t="s">
        <v>341</v>
      </c>
      <c r="F97" s="179" t="n">
        <v>255000</v>
      </c>
      <c r="G97" s="179" t="n">
        <v>45900</v>
      </c>
      <c r="H97" s="179" t="n">
        <v>300900</v>
      </c>
      <c r="I97" s="178" t="s">
        <v>900</v>
      </c>
    </row>
    <row r="98" customFormat="false" ht="12" hidden="false" customHeight="false" outlineLevel="0" collapsed="false">
      <c r="A98" s="180" t="n">
        <v>45717</v>
      </c>
      <c r="B98" s="181" t="n">
        <v>45735</v>
      </c>
      <c r="C98" s="178" t="s">
        <v>472</v>
      </c>
      <c r="D98" s="178" t="s">
        <v>897</v>
      </c>
      <c r="E98" s="178" t="s">
        <v>470</v>
      </c>
      <c r="F98" s="179" t="n">
        <v>31144</v>
      </c>
      <c r="G98" s="179" t="n">
        <v>5606</v>
      </c>
      <c r="H98" s="179" t="n">
        <v>36750</v>
      </c>
      <c r="I98" s="178" t="s">
        <v>900</v>
      </c>
    </row>
    <row r="99" customFormat="false" ht="12" hidden="false" customHeight="false" outlineLevel="0" collapsed="false">
      <c r="A99" s="180" t="n">
        <v>45717</v>
      </c>
      <c r="B99" s="181" t="n">
        <v>45736</v>
      </c>
      <c r="C99" s="178" t="s">
        <v>975</v>
      </c>
      <c r="D99" s="178" t="s">
        <v>897</v>
      </c>
      <c r="E99" s="178" t="s">
        <v>898</v>
      </c>
      <c r="F99" s="179" t="n">
        <v>1264</v>
      </c>
      <c r="G99" s="179" t="n">
        <v>228</v>
      </c>
      <c r="H99" s="179" t="n">
        <v>1492</v>
      </c>
      <c r="I99" s="178" t="s">
        <v>898</v>
      </c>
    </row>
    <row r="100" customFormat="false" ht="12" hidden="false" customHeight="false" outlineLevel="0" collapsed="false">
      <c r="A100" s="180" t="n">
        <v>45717</v>
      </c>
      <c r="B100" s="181" t="n">
        <v>45736</v>
      </c>
      <c r="C100" s="178" t="s">
        <v>441</v>
      </c>
      <c r="D100" s="178" t="s">
        <v>897</v>
      </c>
      <c r="E100" s="178" t="s">
        <v>130</v>
      </c>
      <c r="F100" s="179" t="n">
        <v>45000</v>
      </c>
      <c r="G100" s="179" t="n">
        <v>8100</v>
      </c>
      <c r="H100" s="179" t="n">
        <v>53100</v>
      </c>
      <c r="I100" s="178" t="s">
        <v>900</v>
      </c>
    </row>
    <row r="101" customFormat="false" ht="12" hidden="false" customHeight="false" outlineLevel="0" collapsed="false">
      <c r="A101" s="180" t="n">
        <v>45717</v>
      </c>
      <c r="B101" s="181" t="n">
        <v>45736</v>
      </c>
      <c r="C101" s="178" t="s">
        <v>409</v>
      </c>
      <c r="D101" s="178" t="s">
        <v>897</v>
      </c>
      <c r="E101" s="178" t="s">
        <v>408</v>
      </c>
      <c r="F101" s="179" t="n">
        <v>302400</v>
      </c>
      <c r="G101" s="179" t="n">
        <v>54432</v>
      </c>
      <c r="H101" s="179" t="n">
        <v>356832</v>
      </c>
      <c r="I101" s="178" t="s">
        <v>900</v>
      </c>
    </row>
    <row r="102" customFormat="false" ht="12" hidden="false" customHeight="false" outlineLevel="0" collapsed="false">
      <c r="A102" s="180" t="n">
        <v>45717</v>
      </c>
      <c r="B102" s="181" t="n">
        <v>45736</v>
      </c>
      <c r="C102" s="178" t="s">
        <v>404</v>
      </c>
      <c r="D102" s="178" t="s">
        <v>897</v>
      </c>
      <c r="E102" s="178" t="s">
        <v>403</v>
      </c>
      <c r="F102" s="179" t="n">
        <v>99000</v>
      </c>
      <c r="G102" s="179" t="n">
        <v>17820</v>
      </c>
      <c r="H102" s="179" t="n">
        <v>116820</v>
      </c>
      <c r="I102" s="178" t="s">
        <v>900</v>
      </c>
    </row>
    <row r="103" customFormat="false" ht="12" hidden="false" customHeight="false" outlineLevel="0" collapsed="false">
      <c r="A103" s="180" t="n">
        <v>45717</v>
      </c>
      <c r="B103" s="181" t="n">
        <v>45737</v>
      </c>
      <c r="C103" s="178" t="s">
        <v>413</v>
      </c>
      <c r="D103" s="178" t="s">
        <v>897</v>
      </c>
      <c r="E103" s="178" t="s">
        <v>412</v>
      </c>
      <c r="F103" s="179" t="n">
        <v>40000</v>
      </c>
      <c r="G103" s="179" t="n">
        <v>7200</v>
      </c>
      <c r="H103" s="179" t="n">
        <v>47200</v>
      </c>
      <c r="I103" s="178" t="s">
        <v>900</v>
      </c>
    </row>
    <row r="104" customFormat="false" ht="12" hidden="false" customHeight="false" outlineLevel="0" collapsed="false">
      <c r="A104" s="180" t="n">
        <v>45717</v>
      </c>
      <c r="B104" s="181" t="n">
        <v>45738</v>
      </c>
      <c r="C104" s="178" t="s">
        <v>422</v>
      </c>
      <c r="D104" s="178" t="s">
        <v>897</v>
      </c>
      <c r="E104" s="178" t="s">
        <v>207</v>
      </c>
      <c r="F104" s="179" t="n">
        <v>12500</v>
      </c>
      <c r="G104" s="179" t="n">
        <v>2250</v>
      </c>
      <c r="H104" s="179" t="n">
        <v>14750</v>
      </c>
      <c r="I104" s="178" t="s">
        <v>900</v>
      </c>
    </row>
    <row r="105" customFormat="false" ht="12" hidden="false" customHeight="false" outlineLevel="0" collapsed="false">
      <c r="A105" s="180" t="n">
        <v>45717</v>
      </c>
      <c r="B105" s="181" t="n">
        <v>45738</v>
      </c>
      <c r="C105" s="178" t="s">
        <v>394</v>
      </c>
      <c r="D105" s="178" t="s">
        <v>897</v>
      </c>
      <c r="E105" s="178" t="s">
        <v>906</v>
      </c>
      <c r="F105" s="179" t="n">
        <v>150000</v>
      </c>
      <c r="G105" s="179" t="n">
        <v>27000</v>
      </c>
      <c r="H105" s="179" t="n">
        <v>177000</v>
      </c>
      <c r="I105" s="178" t="s">
        <v>900</v>
      </c>
    </row>
    <row r="106" customFormat="false" ht="12" hidden="false" customHeight="false" outlineLevel="0" collapsed="false">
      <c r="A106" s="180" t="n">
        <v>45717</v>
      </c>
      <c r="B106" s="181" t="n">
        <v>45739</v>
      </c>
      <c r="C106" s="178" t="s">
        <v>487</v>
      </c>
      <c r="D106" s="178" t="s">
        <v>897</v>
      </c>
      <c r="E106" s="178" t="s">
        <v>882</v>
      </c>
      <c r="F106" s="179" t="n">
        <v>10000</v>
      </c>
      <c r="G106" s="179" t="n">
        <v>1800</v>
      </c>
      <c r="H106" s="179" t="n">
        <v>11800</v>
      </c>
      <c r="I106" s="178" t="s">
        <v>900</v>
      </c>
    </row>
    <row r="107" customFormat="false" ht="12" hidden="false" customHeight="false" outlineLevel="0" collapsed="false">
      <c r="A107" s="180" t="n">
        <v>45717</v>
      </c>
      <c r="B107" s="181" t="n">
        <v>45740</v>
      </c>
      <c r="C107" s="178" t="s">
        <v>976</v>
      </c>
      <c r="D107" s="178" t="s">
        <v>897</v>
      </c>
      <c r="E107" s="178" t="s">
        <v>898</v>
      </c>
      <c r="F107" s="179" t="n">
        <v>2106</v>
      </c>
      <c r="G107" s="179" t="n">
        <v>380</v>
      </c>
      <c r="H107" s="179" t="n">
        <v>2485</v>
      </c>
      <c r="I107" s="178" t="s">
        <v>898</v>
      </c>
    </row>
    <row r="108" customFormat="false" ht="12" hidden="false" customHeight="false" outlineLevel="0" collapsed="false">
      <c r="A108" s="180" t="n">
        <v>45717</v>
      </c>
      <c r="B108" s="181" t="n">
        <v>45740</v>
      </c>
      <c r="C108" s="178" t="s">
        <v>411</v>
      </c>
      <c r="D108" s="178" t="s">
        <v>897</v>
      </c>
      <c r="E108" s="178" t="s">
        <v>410</v>
      </c>
      <c r="F108" s="179" t="n">
        <v>255000</v>
      </c>
      <c r="G108" s="179" t="n">
        <v>45900</v>
      </c>
      <c r="H108" s="179" t="n">
        <v>300900</v>
      </c>
      <c r="I108" s="178" t="s">
        <v>900</v>
      </c>
    </row>
    <row r="109" customFormat="false" ht="12" hidden="false" customHeight="false" outlineLevel="0" collapsed="false">
      <c r="A109" s="180" t="n">
        <v>45717</v>
      </c>
      <c r="B109" s="181" t="n">
        <v>45740</v>
      </c>
      <c r="C109" s="178" t="s">
        <v>465</v>
      </c>
      <c r="D109" s="178" t="s">
        <v>947</v>
      </c>
      <c r="E109" s="178" t="s">
        <v>236</v>
      </c>
      <c r="F109" s="179" t="n">
        <v>3000</v>
      </c>
      <c r="G109" s="179" t="n">
        <v>540</v>
      </c>
      <c r="H109" s="179" t="n">
        <v>3540</v>
      </c>
      <c r="I109" s="178" t="s">
        <v>900</v>
      </c>
    </row>
    <row r="110" customFormat="false" ht="12" hidden="false" customHeight="false" outlineLevel="0" collapsed="false">
      <c r="A110" s="180" t="n">
        <v>45717</v>
      </c>
      <c r="B110" s="181" t="n">
        <v>45741</v>
      </c>
      <c r="C110" s="178" t="s">
        <v>977</v>
      </c>
      <c r="D110" s="178" t="s">
        <v>897</v>
      </c>
      <c r="E110" s="178" t="s">
        <v>898</v>
      </c>
      <c r="F110" s="179" t="n">
        <v>850</v>
      </c>
      <c r="G110" s="179" t="n">
        <v>154</v>
      </c>
      <c r="H110" s="179" t="n">
        <v>1003</v>
      </c>
      <c r="I110" s="178" t="s">
        <v>898</v>
      </c>
    </row>
    <row r="111" customFormat="false" ht="12" hidden="false" customHeight="false" outlineLevel="0" collapsed="false">
      <c r="A111" s="180" t="n">
        <v>45717</v>
      </c>
      <c r="B111" s="181" t="n">
        <v>45741</v>
      </c>
      <c r="C111" s="178" t="s">
        <v>389</v>
      </c>
      <c r="D111" s="178" t="s">
        <v>897</v>
      </c>
      <c r="E111" s="178" t="s">
        <v>388</v>
      </c>
      <c r="F111" s="179" t="n">
        <v>150000</v>
      </c>
      <c r="G111" s="179" t="n">
        <v>27000</v>
      </c>
      <c r="H111" s="179" t="n">
        <v>177000</v>
      </c>
      <c r="I111" s="178" t="s">
        <v>900</v>
      </c>
    </row>
    <row r="112" customFormat="false" ht="12" hidden="false" customHeight="false" outlineLevel="0" collapsed="false">
      <c r="A112" s="180" t="n">
        <v>45717</v>
      </c>
      <c r="B112" s="181" t="n">
        <v>45741</v>
      </c>
      <c r="C112" s="178" t="s">
        <v>402</v>
      </c>
      <c r="D112" s="178" t="s">
        <v>897</v>
      </c>
      <c r="E112" s="178" t="s">
        <v>401</v>
      </c>
      <c r="F112" s="179" t="n">
        <v>67500</v>
      </c>
      <c r="G112" s="179" t="n">
        <v>12150</v>
      </c>
      <c r="H112" s="179" t="n">
        <v>79650</v>
      </c>
      <c r="I112" s="178" t="s">
        <v>900</v>
      </c>
    </row>
    <row r="113" customFormat="false" ht="12" hidden="false" customHeight="false" outlineLevel="0" collapsed="false">
      <c r="A113" s="180" t="n">
        <v>45717</v>
      </c>
      <c r="B113" s="181" t="n">
        <v>45742</v>
      </c>
      <c r="C113" s="178" t="s">
        <v>419</v>
      </c>
      <c r="D113" s="178" t="s">
        <v>897</v>
      </c>
      <c r="E113" s="178" t="s">
        <v>418</v>
      </c>
      <c r="F113" s="179" t="n">
        <v>15000</v>
      </c>
      <c r="G113" s="179" t="n">
        <v>2700</v>
      </c>
      <c r="H113" s="179" t="n">
        <v>17700</v>
      </c>
      <c r="I113" s="178" t="s">
        <v>900</v>
      </c>
    </row>
    <row r="114" customFormat="false" ht="12" hidden="false" customHeight="false" outlineLevel="0" collapsed="false">
      <c r="A114" s="180" t="n">
        <v>45717</v>
      </c>
      <c r="B114" s="181" t="n">
        <v>45742</v>
      </c>
      <c r="C114" s="178" t="s">
        <v>978</v>
      </c>
      <c r="D114" s="178" t="s">
        <v>897</v>
      </c>
      <c r="E114" s="178" t="s">
        <v>396</v>
      </c>
      <c r="F114" s="179" t="n">
        <v>129600</v>
      </c>
      <c r="G114" s="179" t="n">
        <v>23328</v>
      </c>
      <c r="H114" s="179" t="n">
        <v>152928</v>
      </c>
      <c r="I114" s="178" t="s">
        <v>900</v>
      </c>
    </row>
    <row r="115" customFormat="false" ht="12" hidden="false" customHeight="false" outlineLevel="0" collapsed="false">
      <c r="A115" s="180" t="n">
        <v>45717</v>
      </c>
      <c r="B115" s="181" t="n">
        <v>45742</v>
      </c>
      <c r="C115" s="178" t="s">
        <v>489</v>
      </c>
      <c r="D115" s="178" t="s">
        <v>897</v>
      </c>
      <c r="E115" s="178" t="s">
        <v>979</v>
      </c>
      <c r="F115" s="179" t="n">
        <v>5000</v>
      </c>
      <c r="G115" s="179" t="n">
        <v>900</v>
      </c>
      <c r="H115" s="179" t="n">
        <v>5900</v>
      </c>
      <c r="I115" s="178" t="s">
        <v>900</v>
      </c>
    </row>
    <row r="116" customFormat="false" ht="12" hidden="false" customHeight="false" outlineLevel="0" collapsed="false">
      <c r="A116" s="180" t="n">
        <v>45717</v>
      </c>
      <c r="B116" s="181" t="n">
        <v>45742</v>
      </c>
      <c r="C116" s="178" t="s">
        <v>406</v>
      </c>
      <c r="D116" s="178" t="s">
        <v>897</v>
      </c>
      <c r="E116" s="178" t="s">
        <v>405</v>
      </c>
      <c r="F116" s="179" t="n">
        <v>161017</v>
      </c>
      <c r="G116" s="179" t="n">
        <v>28983</v>
      </c>
      <c r="H116" s="179" t="n">
        <v>190000</v>
      </c>
      <c r="I116" s="178" t="s">
        <v>900</v>
      </c>
    </row>
    <row r="117" customFormat="false" ht="12" hidden="false" customHeight="false" outlineLevel="0" collapsed="false">
      <c r="A117" s="180" t="n">
        <v>45717</v>
      </c>
      <c r="B117" s="181" t="n">
        <v>45743</v>
      </c>
      <c r="C117" s="178" t="s">
        <v>980</v>
      </c>
      <c r="D117" s="178" t="s">
        <v>897</v>
      </c>
      <c r="E117" s="178" t="s">
        <v>898</v>
      </c>
      <c r="F117" s="179" t="n">
        <v>2964</v>
      </c>
      <c r="G117" s="179" t="n">
        <v>534</v>
      </c>
      <c r="H117" s="179" t="n">
        <v>3497</v>
      </c>
      <c r="I117" s="178" t="s">
        <v>898</v>
      </c>
    </row>
    <row r="118" customFormat="false" ht="12" hidden="false" customHeight="false" outlineLevel="0" collapsed="false">
      <c r="A118" s="180" t="n">
        <v>45717</v>
      </c>
      <c r="B118" s="181" t="n">
        <v>45743</v>
      </c>
      <c r="C118" s="178" t="s">
        <v>398</v>
      </c>
      <c r="D118" s="178" t="s">
        <v>897</v>
      </c>
      <c r="E118" s="178" t="s">
        <v>981</v>
      </c>
      <c r="F118" s="179" t="n">
        <v>45000</v>
      </c>
      <c r="G118" s="179" t="n">
        <v>8100</v>
      </c>
      <c r="H118" s="179" t="n">
        <v>53100</v>
      </c>
      <c r="I118" s="178" t="s">
        <v>900</v>
      </c>
    </row>
    <row r="119" customFormat="false" ht="12" hidden="false" customHeight="false" outlineLevel="0" collapsed="false">
      <c r="A119" s="180" t="n">
        <v>45717</v>
      </c>
      <c r="B119" s="181" t="n">
        <v>45744</v>
      </c>
      <c r="C119" s="178" t="s">
        <v>467</v>
      </c>
      <c r="D119" s="178" t="s">
        <v>897</v>
      </c>
      <c r="E119" s="178" t="s">
        <v>466</v>
      </c>
      <c r="F119" s="179" t="n">
        <v>50000</v>
      </c>
      <c r="G119" s="179" t="n">
        <v>9000</v>
      </c>
      <c r="H119" s="179" t="n">
        <v>59000</v>
      </c>
      <c r="I119" s="178" t="s">
        <v>900</v>
      </c>
    </row>
    <row r="120" customFormat="false" ht="12" hidden="false" customHeight="false" outlineLevel="0" collapsed="false">
      <c r="A120" s="180" t="n">
        <v>45717</v>
      </c>
      <c r="B120" s="181" t="n">
        <v>45745</v>
      </c>
      <c r="C120" s="178" t="s">
        <v>982</v>
      </c>
      <c r="D120" s="178" t="s">
        <v>897</v>
      </c>
      <c r="E120" s="178" t="s">
        <v>898</v>
      </c>
      <c r="F120" s="179" t="n">
        <v>2541</v>
      </c>
      <c r="G120" s="179" t="n">
        <v>458</v>
      </c>
      <c r="H120" s="179" t="n">
        <v>2998</v>
      </c>
      <c r="I120" s="178" t="s">
        <v>898</v>
      </c>
    </row>
    <row r="121" customFormat="false" ht="12" hidden="false" customHeight="false" outlineLevel="0" collapsed="false">
      <c r="A121" s="180" t="n">
        <v>45717</v>
      </c>
      <c r="B121" s="181" t="n">
        <v>45745</v>
      </c>
      <c r="C121" s="178" t="s">
        <v>400</v>
      </c>
      <c r="D121" s="178" t="s">
        <v>897</v>
      </c>
      <c r="E121" s="178" t="s">
        <v>399</v>
      </c>
      <c r="F121" s="179" t="n">
        <v>2592000</v>
      </c>
      <c r="G121" s="179" t="n">
        <v>466560</v>
      </c>
      <c r="H121" s="179" t="n">
        <v>3058560</v>
      </c>
      <c r="I121" s="178" t="s">
        <v>900</v>
      </c>
    </row>
    <row r="122" customFormat="false" ht="12" hidden="false" customHeight="false" outlineLevel="0" collapsed="false">
      <c r="A122" s="180" t="n">
        <v>45717</v>
      </c>
      <c r="B122" s="181" t="n">
        <v>45745</v>
      </c>
      <c r="C122" s="178" t="s">
        <v>983</v>
      </c>
      <c r="D122" s="178" t="s">
        <v>897</v>
      </c>
      <c r="E122" s="178" t="s">
        <v>284</v>
      </c>
      <c r="F122" s="179" t="n">
        <v>6780</v>
      </c>
      <c r="G122" s="179" t="n">
        <v>1220</v>
      </c>
      <c r="H122" s="179" t="n">
        <v>8000</v>
      </c>
      <c r="I122" s="178" t="s">
        <v>900</v>
      </c>
    </row>
    <row r="123" customFormat="false" ht="12" hidden="false" customHeight="false" outlineLevel="0" collapsed="false">
      <c r="A123" s="180" t="n">
        <v>45717</v>
      </c>
      <c r="B123" s="181" t="n">
        <v>45747</v>
      </c>
      <c r="C123" s="178" t="s">
        <v>984</v>
      </c>
      <c r="D123" s="178" t="s">
        <v>897</v>
      </c>
      <c r="E123" s="178" t="s">
        <v>937</v>
      </c>
      <c r="F123" s="179" t="n">
        <v>22881</v>
      </c>
      <c r="G123" s="179" t="n">
        <v>4119</v>
      </c>
      <c r="H123" s="179" t="n">
        <v>27000</v>
      </c>
      <c r="I123" s="178" t="s">
        <v>900</v>
      </c>
    </row>
    <row r="124" customFormat="false" ht="12" hidden="false" customHeight="false" outlineLevel="0" collapsed="false">
      <c r="A124" s="180" t="n">
        <v>45717</v>
      </c>
      <c r="B124" s="181" t="n">
        <v>45747</v>
      </c>
      <c r="C124" s="178" t="s">
        <v>985</v>
      </c>
      <c r="D124" s="178" t="s">
        <v>897</v>
      </c>
      <c r="E124" s="178" t="s">
        <v>986</v>
      </c>
      <c r="F124" s="179" t="n">
        <v>35000</v>
      </c>
      <c r="G124" s="179" t="n">
        <v>6300</v>
      </c>
      <c r="H124" s="179" t="n">
        <v>41300</v>
      </c>
      <c r="I124" s="178" t="s">
        <v>900</v>
      </c>
    </row>
    <row r="125" customFormat="false" ht="12" hidden="false" customHeight="false" outlineLevel="0" collapsed="false">
      <c r="A125" s="180" t="n">
        <v>45717</v>
      </c>
      <c r="B125" s="181" t="n">
        <v>45747</v>
      </c>
      <c r="C125" s="178" t="s">
        <v>491</v>
      </c>
      <c r="D125" s="178" t="s">
        <v>897</v>
      </c>
      <c r="E125" s="178" t="s">
        <v>987</v>
      </c>
      <c r="F125" s="179" t="n">
        <v>8475</v>
      </c>
      <c r="G125" s="179" t="n">
        <v>1526</v>
      </c>
      <c r="H125" s="179" t="n">
        <v>10000</v>
      </c>
      <c r="I125" s="178" t="s">
        <v>900</v>
      </c>
    </row>
    <row r="126" customFormat="false" ht="12" hidden="false" customHeight="false" outlineLevel="0" collapsed="false">
      <c r="A126" s="180" t="n">
        <v>45717</v>
      </c>
      <c r="B126" s="181" t="n">
        <v>45747</v>
      </c>
      <c r="C126" s="178" t="s">
        <v>493</v>
      </c>
      <c r="D126" s="178" t="s">
        <v>897</v>
      </c>
      <c r="E126" s="178" t="s">
        <v>492</v>
      </c>
      <c r="F126" s="179" t="n">
        <v>5000</v>
      </c>
      <c r="G126" s="179" t="n">
        <v>900</v>
      </c>
      <c r="H126" s="179" t="n">
        <v>5900</v>
      </c>
      <c r="I126" s="178" t="s">
        <v>900</v>
      </c>
    </row>
    <row r="127" customFormat="false" ht="12" hidden="false" customHeight="false" outlineLevel="0" collapsed="false">
      <c r="A127" s="180" t="n">
        <v>45717</v>
      </c>
      <c r="B127" s="181" t="n">
        <v>45747</v>
      </c>
      <c r="C127" s="178" t="s">
        <v>988</v>
      </c>
      <c r="D127" s="178" t="s">
        <v>897</v>
      </c>
      <c r="E127" s="178" t="s">
        <v>898</v>
      </c>
      <c r="F127" s="179" t="n">
        <v>19236</v>
      </c>
      <c r="G127" s="179" t="n">
        <v>3462</v>
      </c>
      <c r="H127" s="179" t="n">
        <v>22698</v>
      </c>
      <c r="I127" s="178" t="s">
        <v>898</v>
      </c>
    </row>
    <row r="128" customFormat="false" ht="12" hidden="false" customHeight="false" outlineLevel="0" collapsed="false">
      <c r="A128" s="180" t="n">
        <v>45748</v>
      </c>
      <c r="B128" s="181" t="n">
        <v>45748</v>
      </c>
      <c r="C128" s="178" t="s">
        <v>117</v>
      </c>
      <c r="D128" s="178" t="s">
        <v>897</v>
      </c>
      <c r="E128" s="178" t="s">
        <v>116</v>
      </c>
      <c r="F128" s="179" t="n">
        <v>60000</v>
      </c>
      <c r="G128" s="179" t="n">
        <v>10800</v>
      </c>
      <c r="H128" s="179" t="n">
        <v>70800</v>
      </c>
      <c r="I128" s="178" t="s">
        <v>900</v>
      </c>
    </row>
    <row r="129" customFormat="false" ht="12" hidden="false" customHeight="false" outlineLevel="0" collapsed="false">
      <c r="A129" s="180" t="n">
        <v>45748</v>
      </c>
      <c r="B129" s="181" t="n">
        <v>45748</v>
      </c>
      <c r="C129" s="178" t="s">
        <v>121</v>
      </c>
      <c r="D129" s="178" t="s">
        <v>897</v>
      </c>
      <c r="E129" s="178" t="s">
        <v>120</v>
      </c>
      <c r="F129" s="179" t="n">
        <v>30000</v>
      </c>
      <c r="G129" s="179" t="n">
        <v>5400</v>
      </c>
      <c r="H129" s="179" t="n">
        <v>35400</v>
      </c>
      <c r="I129" s="178" t="s">
        <v>900</v>
      </c>
    </row>
    <row r="130" customFormat="false" ht="12" hidden="false" customHeight="false" outlineLevel="0" collapsed="false">
      <c r="A130" s="180" t="n">
        <v>45748</v>
      </c>
      <c r="B130" s="181" t="n">
        <v>45749</v>
      </c>
      <c r="C130" s="178" t="s">
        <v>123</v>
      </c>
      <c r="D130" s="178" t="s">
        <v>897</v>
      </c>
      <c r="E130" s="178" t="s">
        <v>122</v>
      </c>
      <c r="F130" s="179" t="n">
        <v>993600</v>
      </c>
      <c r="G130" s="179" t="n">
        <v>178848</v>
      </c>
      <c r="H130" s="179" t="n">
        <v>1172448</v>
      </c>
      <c r="I130" s="178" t="s">
        <v>900</v>
      </c>
    </row>
    <row r="131" customFormat="false" ht="12" hidden="false" customHeight="false" outlineLevel="0" collapsed="false">
      <c r="A131" s="180" t="n">
        <v>45748</v>
      </c>
      <c r="B131" s="181" t="n">
        <v>45749</v>
      </c>
      <c r="C131" s="178" t="s">
        <v>989</v>
      </c>
      <c r="D131" s="178" t="s">
        <v>897</v>
      </c>
      <c r="E131" s="178" t="s">
        <v>125</v>
      </c>
      <c r="F131" s="179" t="n">
        <v>30000</v>
      </c>
      <c r="G131" s="179" t="n">
        <v>5400</v>
      </c>
      <c r="H131" s="179" t="n">
        <v>35400</v>
      </c>
      <c r="I131" s="178" t="s">
        <v>900</v>
      </c>
    </row>
    <row r="132" customFormat="false" ht="12" hidden="false" customHeight="false" outlineLevel="0" collapsed="false">
      <c r="A132" s="180" t="n">
        <v>45748</v>
      </c>
      <c r="B132" s="181" t="n">
        <v>45750</v>
      </c>
      <c r="C132" s="178" t="s">
        <v>128</v>
      </c>
      <c r="D132" s="178" t="s">
        <v>947</v>
      </c>
      <c r="E132" s="178" t="s">
        <v>127</v>
      </c>
      <c r="F132" s="179" t="n">
        <v>99000</v>
      </c>
      <c r="G132" s="179" t="n">
        <v>17820</v>
      </c>
      <c r="H132" s="179" t="n">
        <v>116820</v>
      </c>
      <c r="I132" s="178" t="s">
        <v>900</v>
      </c>
    </row>
    <row r="133" customFormat="false" ht="12" hidden="false" customHeight="false" outlineLevel="0" collapsed="false">
      <c r="A133" s="180" t="n">
        <v>45748</v>
      </c>
      <c r="B133" s="181" t="n">
        <v>45752</v>
      </c>
      <c r="C133" s="178" t="s">
        <v>131</v>
      </c>
      <c r="D133" s="178" t="s">
        <v>897</v>
      </c>
      <c r="E133" s="178" t="s">
        <v>130</v>
      </c>
      <c r="F133" s="179" t="n">
        <v>2000</v>
      </c>
      <c r="G133" s="179" t="n">
        <v>360</v>
      </c>
      <c r="H133" s="179" t="n">
        <v>2360</v>
      </c>
      <c r="I133" s="178" t="s">
        <v>900</v>
      </c>
    </row>
    <row r="134" customFormat="false" ht="12" hidden="false" customHeight="false" outlineLevel="0" collapsed="false">
      <c r="A134" s="180" t="n">
        <v>45748</v>
      </c>
      <c r="B134" s="181" t="n">
        <v>45754</v>
      </c>
      <c r="C134" s="178" t="s">
        <v>134</v>
      </c>
      <c r="D134" s="178" t="s">
        <v>897</v>
      </c>
      <c r="E134" s="178" t="s">
        <v>133</v>
      </c>
      <c r="F134" s="179" t="n">
        <v>8000</v>
      </c>
      <c r="G134" s="179" t="n">
        <v>1440</v>
      </c>
      <c r="H134" s="179" t="n">
        <v>9440</v>
      </c>
      <c r="I134" s="178" t="s">
        <v>900</v>
      </c>
    </row>
    <row r="135" customFormat="false" ht="12" hidden="false" customHeight="false" outlineLevel="0" collapsed="false">
      <c r="A135" s="180" t="n">
        <v>45748</v>
      </c>
      <c r="B135" s="181" t="n">
        <v>45754</v>
      </c>
      <c r="C135" s="178" t="s">
        <v>990</v>
      </c>
      <c r="D135" s="178" t="s">
        <v>897</v>
      </c>
      <c r="E135" s="178" t="s">
        <v>898</v>
      </c>
      <c r="F135" s="179" t="n">
        <v>12277</v>
      </c>
      <c r="G135" s="179" t="n">
        <v>2210</v>
      </c>
      <c r="H135" s="179" t="n">
        <v>14487</v>
      </c>
      <c r="I135" s="178" t="s">
        <v>898</v>
      </c>
    </row>
    <row r="136" customFormat="false" ht="12" hidden="false" customHeight="false" outlineLevel="0" collapsed="false">
      <c r="A136" s="180" t="n">
        <v>45748</v>
      </c>
      <c r="B136" s="181" t="n">
        <v>45754</v>
      </c>
      <c r="C136" s="178" t="s">
        <v>991</v>
      </c>
      <c r="D136" s="178" t="s">
        <v>897</v>
      </c>
      <c r="E136" s="178" t="s">
        <v>136</v>
      </c>
      <c r="F136" s="179" t="n">
        <v>5000</v>
      </c>
      <c r="G136" s="179" t="n">
        <v>900</v>
      </c>
      <c r="H136" s="179" t="n">
        <v>5900</v>
      </c>
      <c r="I136" s="178" t="s">
        <v>900</v>
      </c>
    </row>
    <row r="137" customFormat="false" ht="12" hidden="false" customHeight="false" outlineLevel="0" collapsed="false">
      <c r="A137" s="180" t="n">
        <v>45748</v>
      </c>
      <c r="B137" s="181" t="n">
        <v>45755</v>
      </c>
      <c r="C137" s="178" t="s">
        <v>139</v>
      </c>
      <c r="D137" s="178" t="s">
        <v>947</v>
      </c>
      <c r="E137" s="178" t="s">
        <v>138</v>
      </c>
      <c r="F137" s="179" t="n">
        <v>60004</v>
      </c>
      <c r="G137" s="179" t="n">
        <v>10801</v>
      </c>
      <c r="H137" s="179" t="n">
        <v>70805</v>
      </c>
      <c r="I137" s="178" t="s">
        <v>900</v>
      </c>
    </row>
    <row r="138" customFormat="false" ht="12" hidden="false" customHeight="false" outlineLevel="0" collapsed="false">
      <c r="A138" s="180" t="n">
        <v>45748</v>
      </c>
      <c r="B138" s="181" t="n">
        <v>45755</v>
      </c>
      <c r="C138" s="178" t="s">
        <v>141</v>
      </c>
      <c r="D138" s="178" t="s">
        <v>897</v>
      </c>
      <c r="E138" s="178" t="s">
        <v>140</v>
      </c>
      <c r="F138" s="179" t="n">
        <v>6000</v>
      </c>
      <c r="G138" s="179" t="n">
        <v>1080</v>
      </c>
      <c r="H138" s="179" t="n">
        <v>7080</v>
      </c>
      <c r="I138" s="178" t="s">
        <v>900</v>
      </c>
    </row>
    <row r="139" customFormat="false" ht="12" hidden="false" customHeight="false" outlineLevel="0" collapsed="false">
      <c r="A139" s="180" t="n">
        <v>45748</v>
      </c>
      <c r="B139" s="181" t="n">
        <v>45755</v>
      </c>
      <c r="C139" s="178" t="s">
        <v>143</v>
      </c>
      <c r="D139" s="178" t="s">
        <v>897</v>
      </c>
      <c r="E139" s="178" t="s">
        <v>142</v>
      </c>
      <c r="F139" s="179" t="n">
        <v>4000</v>
      </c>
      <c r="G139" s="179" t="n">
        <v>720</v>
      </c>
      <c r="H139" s="179" t="n">
        <v>4720</v>
      </c>
      <c r="I139" s="178" t="s">
        <v>900</v>
      </c>
    </row>
    <row r="140" customFormat="false" ht="12" hidden="false" customHeight="false" outlineLevel="0" collapsed="false">
      <c r="A140" s="180" t="n">
        <v>45748</v>
      </c>
      <c r="B140" s="181" t="n">
        <v>45755</v>
      </c>
      <c r="C140" s="178" t="s">
        <v>992</v>
      </c>
      <c r="D140" s="178" t="s">
        <v>947</v>
      </c>
      <c r="E140" s="178" t="s">
        <v>145</v>
      </c>
      <c r="F140" s="179" t="n">
        <v>67797</v>
      </c>
      <c r="G140" s="179" t="n">
        <v>12203</v>
      </c>
      <c r="H140" s="179" t="n">
        <v>80000</v>
      </c>
      <c r="I140" s="178" t="s">
        <v>900</v>
      </c>
    </row>
    <row r="141" customFormat="false" ht="12" hidden="false" customHeight="false" outlineLevel="0" collapsed="false">
      <c r="A141" s="180" t="n">
        <v>45748</v>
      </c>
      <c r="B141" s="181" t="n">
        <v>45755</v>
      </c>
      <c r="C141" s="178" t="s">
        <v>148</v>
      </c>
      <c r="D141" s="178" t="s">
        <v>897</v>
      </c>
      <c r="E141" s="178" t="s">
        <v>147</v>
      </c>
      <c r="F141" s="179" t="n">
        <v>21000</v>
      </c>
      <c r="G141" s="179" t="n">
        <v>3780</v>
      </c>
      <c r="H141" s="179" t="n">
        <v>24780</v>
      </c>
      <c r="I141" s="178" t="s">
        <v>900</v>
      </c>
    </row>
    <row r="142" customFormat="false" ht="12" hidden="false" customHeight="false" outlineLevel="0" collapsed="false">
      <c r="A142" s="180" t="n">
        <v>45748</v>
      </c>
      <c r="B142" s="181" t="n">
        <v>45756</v>
      </c>
      <c r="C142" s="178" t="s">
        <v>150</v>
      </c>
      <c r="D142" s="178" t="s">
        <v>897</v>
      </c>
      <c r="E142" s="178" t="s">
        <v>149</v>
      </c>
      <c r="F142" s="179" t="n">
        <v>85500</v>
      </c>
      <c r="G142" s="179" t="n">
        <v>15390</v>
      </c>
      <c r="H142" s="179" t="n">
        <v>100890</v>
      </c>
      <c r="I142" s="178" t="s">
        <v>900</v>
      </c>
    </row>
    <row r="143" customFormat="false" ht="12" hidden="false" customHeight="false" outlineLevel="0" collapsed="false">
      <c r="A143" s="180" t="n">
        <v>45748</v>
      </c>
      <c r="B143" s="181" t="n">
        <v>45756</v>
      </c>
      <c r="C143" s="178" t="s">
        <v>993</v>
      </c>
      <c r="D143" s="178" t="s">
        <v>897</v>
      </c>
      <c r="E143" s="178" t="s">
        <v>152</v>
      </c>
      <c r="F143" s="179" t="n">
        <v>10000</v>
      </c>
      <c r="G143" s="179" t="n">
        <v>1800</v>
      </c>
      <c r="H143" s="179" t="n">
        <v>11800</v>
      </c>
      <c r="I143" s="178" t="s">
        <v>900</v>
      </c>
    </row>
    <row r="144" customFormat="false" ht="12" hidden="false" customHeight="false" outlineLevel="0" collapsed="false">
      <c r="A144" s="180" t="n">
        <v>45748</v>
      </c>
      <c r="B144" s="181" t="n">
        <v>45757</v>
      </c>
      <c r="C144" s="178" t="s">
        <v>155</v>
      </c>
      <c r="D144" s="178" t="s">
        <v>897</v>
      </c>
      <c r="E144" s="178" t="s">
        <v>154</v>
      </c>
      <c r="F144" s="179" t="n">
        <v>150012</v>
      </c>
      <c r="G144" s="179" t="n">
        <v>27002</v>
      </c>
      <c r="H144" s="179" t="n">
        <v>177014</v>
      </c>
      <c r="I144" s="178" t="s">
        <v>900</v>
      </c>
    </row>
    <row r="145" customFormat="false" ht="12" hidden="false" customHeight="false" outlineLevel="0" collapsed="false">
      <c r="A145" s="180" t="n">
        <v>45748</v>
      </c>
      <c r="B145" s="181" t="n">
        <v>45757</v>
      </c>
      <c r="C145" s="178" t="s">
        <v>994</v>
      </c>
      <c r="D145" s="178" t="s">
        <v>897</v>
      </c>
      <c r="E145" s="178" t="s">
        <v>157</v>
      </c>
      <c r="F145" s="179" t="n">
        <v>10000</v>
      </c>
      <c r="G145" s="179" t="n">
        <v>1800</v>
      </c>
      <c r="H145" s="179" t="n">
        <v>11800</v>
      </c>
      <c r="I145" s="178" t="s">
        <v>900</v>
      </c>
    </row>
    <row r="146" customFormat="false" ht="12" hidden="false" customHeight="false" outlineLevel="0" collapsed="false">
      <c r="A146" s="180" t="n">
        <v>45748</v>
      </c>
      <c r="B146" s="181" t="n">
        <v>45758</v>
      </c>
      <c r="C146" s="178" t="s">
        <v>160</v>
      </c>
      <c r="D146" s="178" t="s">
        <v>897</v>
      </c>
      <c r="E146" s="178" t="s">
        <v>995</v>
      </c>
      <c r="F146" s="179" t="n">
        <v>30000</v>
      </c>
      <c r="G146" s="179" t="n">
        <v>5400</v>
      </c>
      <c r="H146" s="179" t="n">
        <v>35400</v>
      </c>
      <c r="I146" s="178" t="s">
        <v>900</v>
      </c>
    </row>
    <row r="147" customFormat="false" ht="12" hidden="false" customHeight="false" outlineLevel="0" collapsed="false">
      <c r="A147" s="180" t="n">
        <v>45748</v>
      </c>
      <c r="B147" s="181" t="n">
        <v>45758</v>
      </c>
      <c r="C147" s="178" t="s">
        <v>996</v>
      </c>
      <c r="D147" s="178" t="s">
        <v>947</v>
      </c>
      <c r="E147" s="178" t="s">
        <v>162</v>
      </c>
      <c r="F147" s="179" t="n">
        <v>16949</v>
      </c>
      <c r="G147" s="179" t="n">
        <v>3051</v>
      </c>
      <c r="H147" s="179" t="n">
        <v>20000</v>
      </c>
      <c r="I147" s="178" t="s">
        <v>900</v>
      </c>
    </row>
    <row r="148" customFormat="false" ht="12" hidden="false" customHeight="false" outlineLevel="0" collapsed="false">
      <c r="A148" s="180" t="n">
        <v>45748</v>
      </c>
      <c r="B148" s="181" t="n">
        <v>45758</v>
      </c>
      <c r="C148" s="178" t="s">
        <v>997</v>
      </c>
      <c r="D148" s="178" t="s">
        <v>947</v>
      </c>
      <c r="E148" s="178" t="s">
        <v>162</v>
      </c>
      <c r="F148" s="179" t="n">
        <v>16949</v>
      </c>
      <c r="G148" s="179" t="n">
        <v>3051</v>
      </c>
      <c r="H148" s="179" t="n">
        <v>20000</v>
      </c>
      <c r="I148" s="178" t="s">
        <v>900</v>
      </c>
    </row>
    <row r="149" customFormat="false" ht="12" hidden="false" customHeight="false" outlineLevel="0" collapsed="false">
      <c r="A149" s="180" t="n">
        <v>45748</v>
      </c>
      <c r="B149" s="181" t="n">
        <v>45758</v>
      </c>
      <c r="C149" s="178" t="s">
        <v>165</v>
      </c>
      <c r="D149" s="178" t="s">
        <v>897</v>
      </c>
      <c r="E149" s="178" t="s">
        <v>164</v>
      </c>
      <c r="F149" s="179" t="n">
        <v>15000</v>
      </c>
      <c r="G149" s="179" t="n">
        <v>2700</v>
      </c>
      <c r="H149" s="179" t="n">
        <v>17700</v>
      </c>
      <c r="I149" s="178" t="s">
        <v>900</v>
      </c>
    </row>
    <row r="150" customFormat="false" ht="12" hidden="false" customHeight="false" outlineLevel="0" collapsed="false">
      <c r="A150" s="180" t="n">
        <v>45748</v>
      </c>
      <c r="B150" s="181" t="n">
        <v>45759</v>
      </c>
      <c r="C150" s="178" t="s">
        <v>167</v>
      </c>
      <c r="D150" s="178" t="s">
        <v>897</v>
      </c>
      <c r="E150" s="178" t="s">
        <v>166</v>
      </c>
      <c r="F150" s="179" t="n">
        <v>5000</v>
      </c>
      <c r="G150" s="179" t="n">
        <v>900</v>
      </c>
      <c r="H150" s="179" t="n">
        <v>5900</v>
      </c>
      <c r="I150" s="178" t="s">
        <v>900</v>
      </c>
    </row>
    <row r="151" customFormat="false" ht="12" hidden="false" customHeight="false" outlineLevel="0" collapsed="false">
      <c r="A151" s="180" t="n">
        <v>45748</v>
      </c>
      <c r="B151" s="181" t="n">
        <v>45759</v>
      </c>
      <c r="C151" s="178" t="s">
        <v>169</v>
      </c>
      <c r="D151" s="178" t="s">
        <v>897</v>
      </c>
      <c r="E151" s="178" t="s">
        <v>168</v>
      </c>
      <c r="F151" s="179" t="n">
        <v>6000</v>
      </c>
      <c r="G151" s="179" t="n">
        <v>1080</v>
      </c>
      <c r="H151" s="179" t="n">
        <v>7080</v>
      </c>
      <c r="I151" s="178" t="s">
        <v>900</v>
      </c>
    </row>
    <row r="152" customFormat="false" ht="12" hidden="false" customHeight="false" outlineLevel="0" collapsed="false">
      <c r="A152" s="180" t="n">
        <v>45748</v>
      </c>
      <c r="B152" s="181" t="n">
        <v>45759</v>
      </c>
      <c r="C152" s="178" t="s">
        <v>171</v>
      </c>
      <c r="D152" s="178" t="s">
        <v>897</v>
      </c>
      <c r="E152" s="178" t="s">
        <v>170</v>
      </c>
      <c r="F152" s="179" t="n">
        <v>5000</v>
      </c>
      <c r="G152" s="179" t="n">
        <v>900</v>
      </c>
      <c r="H152" s="179" t="n">
        <v>5900</v>
      </c>
      <c r="I152" s="178" t="s">
        <v>900</v>
      </c>
    </row>
    <row r="153" customFormat="false" ht="12" hidden="false" customHeight="false" outlineLevel="0" collapsed="false">
      <c r="A153" s="180" t="n">
        <v>45748</v>
      </c>
      <c r="B153" s="181" t="n">
        <v>45760</v>
      </c>
      <c r="C153" s="178" t="s">
        <v>173</v>
      </c>
      <c r="D153" s="178" t="s">
        <v>947</v>
      </c>
      <c r="E153" s="178" t="s">
        <v>172</v>
      </c>
      <c r="F153" s="179" t="n">
        <v>5000</v>
      </c>
      <c r="G153" s="179" t="n">
        <v>900</v>
      </c>
      <c r="H153" s="179" t="n">
        <v>5900</v>
      </c>
      <c r="I153" s="178" t="s">
        <v>900</v>
      </c>
    </row>
    <row r="154" customFormat="false" ht="12" hidden="false" customHeight="false" outlineLevel="0" collapsed="false">
      <c r="A154" s="180" t="n">
        <v>45748</v>
      </c>
      <c r="B154" s="181" t="n">
        <v>45761</v>
      </c>
      <c r="C154" s="178" t="s">
        <v>175</v>
      </c>
      <c r="D154" s="178" t="s">
        <v>897</v>
      </c>
      <c r="E154" s="178" t="s">
        <v>174</v>
      </c>
      <c r="F154" s="179" t="n">
        <v>150720</v>
      </c>
      <c r="G154" s="179" t="n">
        <v>27130</v>
      </c>
      <c r="H154" s="179" t="n">
        <v>177850</v>
      </c>
      <c r="I154" s="178" t="s">
        <v>900</v>
      </c>
    </row>
    <row r="155" customFormat="false" ht="12" hidden="false" customHeight="false" outlineLevel="0" collapsed="false">
      <c r="A155" s="180" t="n">
        <v>45748</v>
      </c>
      <c r="B155" s="181" t="n">
        <v>45761</v>
      </c>
      <c r="C155" s="178" t="s">
        <v>175</v>
      </c>
      <c r="D155" s="178" t="s">
        <v>897</v>
      </c>
      <c r="E155" s="178" t="s">
        <v>174</v>
      </c>
      <c r="F155" s="179" t="n">
        <v>69281</v>
      </c>
      <c r="G155" s="179" t="n">
        <v>12471</v>
      </c>
      <c r="H155" s="179" t="n">
        <v>81752</v>
      </c>
      <c r="I155" s="178" t="s">
        <v>900</v>
      </c>
    </row>
    <row r="156" customFormat="false" ht="12" hidden="false" customHeight="false" outlineLevel="0" collapsed="false">
      <c r="A156" s="180" t="n">
        <v>45748</v>
      </c>
      <c r="B156" s="181" t="n">
        <v>45762</v>
      </c>
      <c r="C156" s="178" t="s">
        <v>998</v>
      </c>
      <c r="D156" s="178" t="s">
        <v>897</v>
      </c>
      <c r="E156" s="178" t="s">
        <v>999</v>
      </c>
      <c r="F156" s="179" t="n">
        <v>150000</v>
      </c>
      <c r="G156" s="179" t="n">
        <v>27000</v>
      </c>
      <c r="H156" s="179" t="n">
        <v>177000</v>
      </c>
      <c r="I156" s="178" t="s">
        <v>900</v>
      </c>
    </row>
    <row r="157" customFormat="false" ht="12" hidden="false" customHeight="false" outlineLevel="0" collapsed="false">
      <c r="A157" s="180" t="n">
        <v>45748</v>
      </c>
      <c r="B157" s="181" t="n">
        <v>45762</v>
      </c>
      <c r="C157" s="178" t="s">
        <v>1000</v>
      </c>
      <c r="D157" s="178" t="s">
        <v>897</v>
      </c>
      <c r="E157" s="178" t="s">
        <v>898</v>
      </c>
      <c r="F157" s="179" t="n">
        <v>4652</v>
      </c>
      <c r="G157" s="179" t="n">
        <v>838</v>
      </c>
      <c r="H157" s="179" t="n">
        <v>5489</v>
      </c>
      <c r="I157" s="178" t="s">
        <v>898</v>
      </c>
    </row>
    <row r="158" customFormat="false" ht="12" hidden="false" customHeight="false" outlineLevel="0" collapsed="false">
      <c r="A158" s="180" t="n">
        <v>45748</v>
      </c>
      <c r="B158" s="181" t="n">
        <v>45762</v>
      </c>
      <c r="C158" s="178" t="s">
        <v>180</v>
      </c>
      <c r="D158" s="178" t="s">
        <v>897</v>
      </c>
      <c r="E158" s="178" t="s">
        <v>179</v>
      </c>
      <c r="F158" s="179" t="n">
        <v>36000</v>
      </c>
      <c r="G158" s="179" t="n">
        <v>6480</v>
      </c>
      <c r="H158" s="179" t="n">
        <v>42480</v>
      </c>
      <c r="I158" s="178" t="s">
        <v>900</v>
      </c>
    </row>
    <row r="159" customFormat="false" ht="12" hidden="false" customHeight="false" outlineLevel="0" collapsed="false">
      <c r="A159" s="180" t="n">
        <v>45748</v>
      </c>
      <c r="B159" s="181" t="n">
        <v>45762</v>
      </c>
      <c r="C159" s="178" t="s">
        <v>182</v>
      </c>
      <c r="D159" s="178" t="s">
        <v>897</v>
      </c>
      <c r="E159" s="178" t="s">
        <v>181</v>
      </c>
      <c r="F159" s="179" t="n">
        <v>20000</v>
      </c>
      <c r="G159" s="179" t="n">
        <v>3600</v>
      </c>
      <c r="H159" s="179" t="n">
        <v>23600</v>
      </c>
      <c r="I159" s="178" t="s">
        <v>900</v>
      </c>
    </row>
    <row r="160" customFormat="false" ht="12" hidden="false" customHeight="false" outlineLevel="0" collapsed="false">
      <c r="A160" s="180" t="n">
        <v>45748</v>
      </c>
      <c r="B160" s="181" t="n">
        <v>45762</v>
      </c>
      <c r="C160" s="178" t="s">
        <v>1001</v>
      </c>
      <c r="D160" s="178" t="s">
        <v>897</v>
      </c>
      <c r="E160" s="178" t="s">
        <v>1002</v>
      </c>
      <c r="F160" s="179" t="n">
        <v>16950</v>
      </c>
      <c r="G160" s="179" t="n">
        <v>3051</v>
      </c>
      <c r="H160" s="179" t="n">
        <v>20001</v>
      </c>
      <c r="I160" s="178" t="s">
        <v>900</v>
      </c>
    </row>
    <row r="161" customFormat="false" ht="12" hidden="false" customHeight="false" outlineLevel="0" collapsed="false">
      <c r="A161" s="180" t="n">
        <v>45748</v>
      </c>
      <c r="B161" s="181" t="n">
        <v>45763</v>
      </c>
      <c r="C161" s="178" t="s">
        <v>1003</v>
      </c>
      <c r="D161" s="178" t="s">
        <v>897</v>
      </c>
      <c r="E161" s="178" t="s">
        <v>187</v>
      </c>
      <c r="F161" s="179" t="n">
        <v>10000</v>
      </c>
      <c r="G161" s="179" t="n">
        <v>1800</v>
      </c>
      <c r="H161" s="179" t="n">
        <v>11800</v>
      </c>
      <c r="I161" s="178" t="s">
        <v>900</v>
      </c>
    </row>
    <row r="162" customFormat="false" ht="12" hidden="false" customHeight="false" outlineLevel="0" collapsed="false">
      <c r="A162" s="180" t="n">
        <v>45748</v>
      </c>
      <c r="B162" s="181" t="n">
        <v>45763</v>
      </c>
      <c r="C162" s="178" t="s">
        <v>190</v>
      </c>
      <c r="D162" s="178" t="s">
        <v>897</v>
      </c>
      <c r="E162" s="178" t="s">
        <v>189</v>
      </c>
      <c r="F162" s="179" t="n">
        <v>15000</v>
      </c>
      <c r="G162" s="179" t="n">
        <v>2700</v>
      </c>
      <c r="H162" s="179" t="n">
        <v>17700</v>
      </c>
      <c r="I162" s="178" t="s">
        <v>900</v>
      </c>
    </row>
    <row r="163" customFormat="false" ht="12" hidden="false" customHeight="false" outlineLevel="0" collapsed="false">
      <c r="A163" s="180" t="n">
        <v>45748</v>
      </c>
      <c r="B163" s="181" t="n">
        <v>45763</v>
      </c>
      <c r="C163" s="178" t="s">
        <v>192</v>
      </c>
      <c r="D163" s="178" t="s">
        <v>897</v>
      </c>
      <c r="E163" s="178" t="s">
        <v>191</v>
      </c>
      <c r="F163" s="179" t="n">
        <v>68000</v>
      </c>
      <c r="G163" s="179" t="n">
        <v>12240</v>
      </c>
      <c r="H163" s="179" t="n">
        <v>80240</v>
      </c>
      <c r="I163" s="178" t="s">
        <v>900</v>
      </c>
    </row>
    <row r="164" customFormat="false" ht="12" hidden="false" customHeight="false" outlineLevel="0" collapsed="false">
      <c r="A164" s="180" t="n">
        <v>45748</v>
      </c>
      <c r="B164" s="181" t="n">
        <v>45765</v>
      </c>
      <c r="C164" s="178" t="s">
        <v>194</v>
      </c>
      <c r="D164" s="178" t="s">
        <v>897</v>
      </c>
      <c r="E164" s="178" t="s">
        <v>193</v>
      </c>
      <c r="F164" s="179" t="n">
        <v>5000</v>
      </c>
      <c r="G164" s="179" t="n">
        <v>900</v>
      </c>
      <c r="H164" s="179" t="n">
        <v>5900</v>
      </c>
      <c r="I164" s="178" t="s">
        <v>900</v>
      </c>
    </row>
    <row r="165" customFormat="false" ht="12" hidden="false" customHeight="false" outlineLevel="0" collapsed="false">
      <c r="A165" s="180" t="n">
        <v>45748</v>
      </c>
      <c r="B165" s="181" t="n">
        <v>45768</v>
      </c>
      <c r="C165" s="178" t="s">
        <v>196</v>
      </c>
      <c r="D165" s="178" t="s">
        <v>897</v>
      </c>
      <c r="E165" s="178" t="s">
        <v>749</v>
      </c>
      <c r="F165" s="179" t="n">
        <v>20000</v>
      </c>
      <c r="G165" s="179" t="n">
        <v>3600</v>
      </c>
      <c r="H165" s="179" t="n">
        <v>23600</v>
      </c>
      <c r="I165" s="178" t="s">
        <v>900</v>
      </c>
    </row>
    <row r="166" customFormat="false" ht="12" hidden="false" customHeight="false" outlineLevel="0" collapsed="false">
      <c r="A166" s="180" t="n">
        <v>45748</v>
      </c>
      <c r="B166" s="181" t="n">
        <v>45769</v>
      </c>
      <c r="C166" s="178" t="s">
        <v>198</v>
      </c>
      <c r="D166" s="178" t="s">
        <v>897</v>
      </c>
      <c r="E166" s="178" t="s">
        <v>197</v>
      </c>
      <c r="F166" s="179" t="n">
        <v>148305</v>
      </c>
      <c r="G166" s="179" t="n">
        <v>26695</v>
      </c>
      <c r="H166" s="179" t="n">
        <v>175000</v>
      </c>
      <c r="I166" s="178" t="s">
        <v>900</v>
      </c>
    </row>
    <row r="167" customFormat="false" ht="12" hidden="false" customHeight="false" outlineLevel="0" collapsed="false">
      <c r="A167" s="180" t="n">
        <v>45748</v>
      </c>
      <c r="B167" s="181" t="n">
        <v>45770</v>
      </c>
      <c r="C167" s="178" t="s">
        <v>200</v>
      </c>
      <c r="D167" s="178" t="s">
        <v>947</v>
      </c>
      <c r="E167" s="178" t="s">
        <v>1004</v>
      </c>
      <c r="F167" s="179" t="n">
        <v>24000</v>
      </c>
      <c r="G167" s="179" t="n">
        <v>4320</v>
      </c>
      <c r="H167" s="179" t="n">
        <v>28320</v>
      </c>
      <c r="I167" s="178" t="s">
        <v>900</v>
      </c>
    </row>
    <row r="168" customFormat="false" ht="12" hidden="false" customHeight="false" outlineLevel="0" collapsed="false">
      <c r="A168" s="180" t="n">
        <v>45748</v>
      </c>
      <c r="B168" s="181" t="n">
        <v>45770</v>
      </c>
      <c r="C168" s="178" t="s">
        <v>1005</v>
      </c>
      <c r="D168" s="178" t="s">
        <v>897</v>
      </c>
      <c r="E168" s="178" t="s">
        <v>201</v>
      </c>
      <c r="F168" s="179" t="n">
        <v>15000</v>
      </c>
      <c r="G168" s="179" t="n">
        <v>2700</v>
      </c>
      <c r="H168" s="179" t="n">
        <v>17700</v>
      </c>
      <c r="I168" s="178" t="s">
        <v>900</v>
      </c>
    </row>
    <row r="169" customFormat="false" ht="12" hidden="false" customHeight="false" outlineLevel="0" collapsed="false">
      <c r="A169" s="180" t="n">
        <v>45748</v>
      </c>
      <c r="B169" s="181" t="n">
        <v>45771</v>
      </c>
      <c r="C169" s="178" t="s">
        <v>204</v>
      </c>
      <c r="D169" s="178" t="s">
        <v>947</v>
      </c>
      <c r="E169" s="178" t="s">
        <v>203</v>
      </c>
      <c r="F169" s="179" t="n">
        <v>10000</v>
      </c>
      <c r="G169" s="179" t="n">
        <v>1800</v>
      </c>
      <c r="H169" s="179" t="n">
        <v>11800</v>
      </c>
      <c r="I169" s="178" t="s">
        <v>900</v>
      </c>
    </row>
    <row r="170" customFormat="false" ht="12" hidden="false" customHeight="false" outlineLevel="0" collapsed="false">
      <c r="A170" s="180" t="n">
        <v>45748</v>
      </c>
      <c r="B170" s="181" t="n">
        <v>45771</v>
      </c>
      <c r="C170" s="178" t="s">
        <v>206</v>
      </c>
      <c r="D170" s="178" t="s">
        <v>947</v>
      </c>
      <c r="E170" s="178" t="s">
        <v>205</v>
      </c>
      <c r="F170" s="179" t="n">
        <v>30000</v>
      </c>
      <c r="G170" s="179" t="n">
        <v>5400</v>
      </c>
      <c r="H170" s="179" t="n">
        <v>35400</v>
      </c>
      <c r="I170" s="178" t="s">
        <v>900</v>
      </c>
    </row>
    <row r="171" customFormat="false" ht="12" hidden="false" customHeight="false" outlineLevel="0" collapsed="false">
      <c r="A171" s="180" t="n">
        <v>45748</v>
      </c>
      <c r="B171" s="181" t="n">
        <v>45771</v>
      </c>
      <c r="C171" s="178" t="s">
        <v>208</v>
      </c>
      <c r="D171" s="178" t="s">
        <v>897</v>
      </c>
      <c r="E171" s="178" t="s">
        <v>207</v>
      </c>
      <c r="F171" s="179" t="n">
        <v>150000</v>
      </c>
      <c r="G171" s="179" t="n">
        <v>27000</v>
      </c>
      <c r="H171" s="179" t="n">
        <v>177000</v>
      </c>
      <c r="I171" s="178" t="s">
        <v>900</v>
      </c>
    </row>
    <row r="172" customFormat="false" ht="12" hidden="false" customHeight="false" outlineLevel="0" collapsed="false">
      <c r="A172" s="180" t="n">
        <v>45748</v>
      </c>
      <c r="B172" s="181" t="n">
        <v>45771</v>
      </c>
      <c r="C172" s="178" t="s">
        <v>210</v>
      </c>
      <c r="D172" s="178" t="s">
        <v>897</v>
      </c>
      <c r="E172" s="178" t="s">
        <v>1006</v>
      </c>
      <c r="F172" s="179" t="n">
        <v>172800</v>
      </c>
      <c r="G172" s="179" t="n">
        <v>31104</v>
      </c>
      <c r="H172" s="179" t="n">
        <v>203904</v>
      </c>
      <c r="I172" s="178" t="s">
        <v>900</v>
      </c>
    </row>
    <row r="173" customFormat="false" ht="12" hidden="false" customHeight="false" outlineLevel="0" collapsed="false">
      <c r="A173" s="180" t="n">
        <v>45748</v>
      </c>
      <c r="B173" s="181" t="n">
        <v>45772</v>
      </c>
      <c r="C173" s="178" t="s">
        <v>212</v>
      </c>
      <c r="D173" s="178" t="s">
        <v>897</v>
      </c>
      <c r="E173" s="178" t="s">
        <v>211</v>
      </c>
      <c r="F173" s="179" t="n">
        <v>21600</v>
      </c>
      <c r="G173" s="179" t="n">
        <v>3888</v>
      </c>
      <c r="H173" s="179" t="n">
        <v>25488</v>
      </c>
      <c r="I173" s="178" t="s">
        <v>900</v>
      </c>
    </row>
    <row r="174" customFormat="false" ht="12" hidden="false" customHeight="false" outlineLevel="0" collapsed="false">
      <c r="A174" s="180" t="n">
        <v>45748</v>
      </c>
      <c r="B174" s="181" t="n">
        <v>45772</v>
      </c>
      <c r="C174" s="178" t="s">
        <v>214</v>
      </c>
      <c r="D174" s="178" t="s">
        <v>897</v>
      </c>
      <c r="E174" s="178" t="s">
        <v>213</v>
      </c>
      <c r="F174" s="179" t="n">
        <v>21600</v>
      </c>
      <c r="G174" s="179" t="n">
        <v>3888</v>
      </c>
      <c r="H174" s="179" t="n">
        <v>25488</v>
      </c>
      <c r="I174" s="178" t="s">
        <v>900</v>
      </c>
    </row>
    <row r="175" customFormat="false" ht="12" hidden="false" customHeight="false" outlineLevel="0" collapsed="false">
      <c r="A175" s="180" t="n">
        <v>45748</v>
      </c>
      <c r="B175" s="181" t="n">
        <v>45772</v>
      </c>
      <c r="C175" s="178" t="s">
        <v>216</v>
      </c>
      <c r="D175" s="178" t="s">
        <v>897</v>
      </c>
      <c r="E175" s="178" t="s">
        <v>215</v>
      </c>
      <c r="F175" s="179" t="n">
        <v>21600</v>
      </c>
      <c r="G175" s="179" t="n">
        <v>3888</v>
      </c>
      <c r="H175" s="179" t="n">
        <v>25488</v>
      </c>
      <c r="I175" s="178" t="s">
        <v>900</v>
      </c>
    </row>
    <row r="176" customFormat="false" ht="12" hidden="false" customHeight="false" outlineLevel="0" collapsed="false">
      <c r="A176" s="180" t="n">
        <v>45748</v>
      </c>
      <c r="B176" s="181" t="n">
        <v>45772</v>
      </c>
      <c r="C176" s="178" t="s">
        <v>218</v>
      </c>
      <c r="D176" s="178" t="s">
        <v>897</v>
      </c>
      <c r="E176" s="178" t="s">
        <v>217</v>
      </c>
      <c r="F176" s="179" t="n">
        <v>21600</v>
      </c>
      <c r="G176" s="179" t="n">
        <v>3888</v>
      </c>
      <c r="H176" s="179" t="n">
        <v>25488</v>
      </c>
      <c r="I176" s="178" t="s">
        <v>900</v>
      </c>
    </row>
    <row r="177" customFormat="false" ht="12" hidden="false" customHeight="false" outlineLevel="0" collapsed="false">
      <c r="A177" s="180" t="n">
        <v>45748</v>
      </c>
      <c r="B177" s="181" t="n">
        <v>45772</v>
      </c>
      <c r="C177" s="178" t="s">
        <v>220</v>
      </c>
      <c r="D177" s="178" t="s">
        <v>897</v>
      </c>
      <c r="E177" s="178" t="s">
        <v>219</v>
      </c>
      <c r="F177" s="179" t="n">
        <v>21600</v>
      </c>
      <c r="G177" s="179" t="n">
        <v>3888</v>
      </c>
      <c r="H177" s="179" t="n">
        <v>25488</v>
      </c>
      <c r="I177" s="178" t="s">
        <v>900</v>
      </c>
    </row>
    <row r="178" customFormat="false" ht="12" hidden="false" customHeight="false" outlineLevel="0" collapsed="false">
      <c r="A178" s="180" t="n">
        <v>45748</v>
      </c>
      <c r="B178" s="181" t="n">
        <v>45772</v>
      </c>
      <c r="C178" s="178" t="s">
        <v>222</v>
      </c>
      <c r="D178" s="178" t="s">
        <v>897</v>
      </c>
      <c r="E178" s="178" t="s">
        <v>221</v>
      </c>
      <c r="F178" s="179" t="n">
        <v>21600</v>
      </c>
      <c r="G178" s="179" t="n">
        <v>3888</v>
      </c>
      <c r="H178" s="179" t="n">
        <v>25488</v>
      </c>
      <c r="I178" s="178" t="s">
        <v>900</v>
      </c>
    </row>
    <row r="179" customFormat="false" ht="12" hidden="false" customHeight="false" outlineLevel="0" collapsed="false">
      <c r="A179" s="180" t="n">
        <v>45748</v>
      </c>
      <c r="B179" s="181" t="n">
        <v>45772</v>
      </c>
      <c r="C179" s="178" t="s">
        <v>224</v>
      </c>
      <c r="D179" s="178" t="s">
        <v>897</v>
      </c>
      <c r="E179" s="178" t="s">
        <v>223</v>
      </c>
      <c r="F179" s="179" t="n">
        <v>21600</v>
      </c>
      <c r="G179" s="179" t="n">
        <v>3888</v>
      </c>
      <c r="H179" s="179" t="n">
        <v>25488</v>
      </c>
      <c r="I179" s="178" t="s">
        <v>900</v>
      </c>
    </row>
    <row r="180" customFormat="false" ht="12" hidden="false" customHeight="false" outlineLevel="0" collapsed="false">
      <c r="A180" s="180" t="n">
        <v>45748</v>
      </c>
      <c r="B180" s="181" t="n">
        <v>45772</v>
      </c>
      <c r="C180" s="178" t="s">
        <v>226</v>
      </c>
      <c r="D180" s="178" t="s">
        <v>897</v>
      </c>
      <c r="E180" s="178" t="s">
        <v>225</v>
      </c>
      <c r="F180" s="179" t="n">
        <v>21600</v>
      </c>
      <c r="G180" s="179" t="n">
        <v>3888</v>
      </c>
      <c r="H180" s="179" t="n">
        <v>25488</v>
      </c>
      <c r="I180" s="178" t="s">
        <v>900</v>
      </c>
    </row>
    <row r="181" customFormat="false" ht="12" hidden="false" customHeight="false" outlineLevel="0" collapsed="false">
      <c r="A181" s="180" t="n">
        <v>45748</v>
      </c>
      <c r="B181" s="181" t="n">
        <v>45772</v>
      </c>
      <c r="C181" s="178" t="s">
        <v>228</v>
      </c>
      <c r="D181" s="178" t="s">
        <v>897</v>
      </c>
      <c r="E181" s="178" t="s">
        <v>227</v>
      </c>
      <c r="F181" s="179" t="n">
        <v>21600</v>
      </c>
      <c r="G181" s="179" t="n">
        <v>3888</v>
      </c>
      <c r="H181" s="179" t="n">
        <v>25488</v>
      </c>
      <c r="I181" s="178" t="s">
        <v>900</v>
      </c>
    </row>
    <row r="182" customFormat="false" ht="12" hidden="false" customHeight="false" outlineLevel="0" collapsed="false">
      <c r="A182" s="180" t="n">
        <v>45748</v>
      </c>
      <c r="B182" s="181" t="n">
        <v>45772</v>
      </c>
      <c r="C182" s="178" t="s">
        <v>1007</v>
      </c>
      <c r="D182" s="178" t="s">
        <v>947</v>
      </c>
      <c r="E182" s="178" t="s">
        <v>230</v>
      </c>
      <c r="F182" s="179" t="n">
        <v>21600</v>
      </c>
      <c r="G182" s="179" t="n">
        <v>3888</v>
      </c>
      <c r="H182" s="179" t="n">
        <v>25488</v>
      </c>
      <c r="I182" s="178" t="s">
        <v>900</v>
      </c>
    </row>
    <row r="183" customFormat="false" ht="12" hidden="false" customHeight="false" outlineLevel="0" collapsed="false">
      <c r="A183" s="180" t="n">
        <v>45748</v>
      </c>
      <c r="B183" s="181" t="n">
        <v>45772</v>
      </c>
      <c r="C183" s="178" t="s">
        <v>233</v>
      </c>
      <c r="D183" s="178" t="s">
        <v>897</v>
      </c>
      <c r="E183" s="178" t="s">
        <v>232</v>
      </c>
      <c r="F183" s="179" t="n">
        <v>75000</v>
      </c>
      <c r="G183" s="179" t="n">
        <v>13500</v>
      </c>
      <c r="H183" s="179" t="n">
        <v>88500</v>
      </c>
      <c r="I183" s="178" t="s">
        <v>900</v>
      </c>
    </row>
    <row r="184" customFormat="false" ht="12" hidden="false" customHeight="false" outlineLevel="0" collapsed="false">
      <c r="A184" s="180" t="n">
        <v>45748</v>
      </c>
      <c r="B184" s="181" t="n">
        <v>45773</v>
      </c>
      <c r="C184" s="178" t="s">
        <v>235</v>
      </c>
      <c r="D184" s="178" t="s">
        <v>947</v>
      </c>
      <c r="E184" s="178" t="s">
        <v>1008</v>
      </c>
      <c r="F184" s="179" t="n">
        <v>40000</v>
      </c>
      <c r="G184" s="179" t="n">
        <v>7200</v>
      </c>
      <c r="H184" s="179" t="n">
        <v>47200</v>
      </c>
      <c r="I184" s="178" t="s">
        <v>900</v>
      </c>
    </row>
    <row r="185" customFormat="false" ht="12" hidden="false" customHeight="false" outlineLevel="0" collapsed="false">
      <c r="A185" s="180" t="n">
        <v>45748</v>
      </c>
      <c r="B185" s="181" t="n">
        <v>45773</v>
      </c>
      <c r="C185" s="178" t="s">
        <v>237</v>
      </c>
      <c r="D185" s="178" t="s">
        <v>947</v>
      </c>
      <c r="E185" s="178" t="s">
        <v>236</v>
      </c>
      <c r="F185" s="179" t="n">
        <v>10000</v>
      </c>
      <c r="G185" s="179" t="n">
        <v>1800</v>
      </c>
      <c r="H185" s="179" t="n">
        <v>11800</v>
      </c>
      <c r="I185" s="178" t="s">
        <v>900</v>
      </c>
    </row>
    <row r="186" customFormat="false" ht="12" hidden="false" customHeight="false" outlineLevel="0" collapsed="false">
      <c r="A186" s="180" t="n">
        <v>45748</v>
      </c>
      <c r="B186" s="181" t="n">
        <v>45773</v>
      </c>
      <c r="C186" s="178" t="s">
        <v>1009</v>
      </c>
      <c r="D186" s="178" t="s">
        <v>897</v>
      </c>
      <c r="E186" s="178" t="s">
        <v>238</v>
      </c>
      <c r="F186" s="179" t="n">
        <v>12000</v>
      </c>
      <c r="G186" s="179" t="n">
        <v>2160</v>
      </c>
      <c r="H186" s="179" t="n">
        <v>14160</v>
      </c>
      <c r="I186" s="178" t="s">
        <v>900</v>
      </c>
    </row>
    <row r="187" customFormat="false" ht="12" hidden="false" customHeight="false" outlineLevel="0" collapsed="false">
      <c r="A187" s="180" t="n">
        <v>45748</v>
      </c>
      <c r="B187" s="181" t="n">
        <v>45775</v>
      </c>
      <c r="C187" s="178" t="s">
        <v>1010</v>
      </c>
      <c r="D187" s="178" t="s">
        <v>897</v>
      </c>
      <c r="E187" s="178" t="s">
        <v>241</v>
      </c>
      <c r="F187" s="179" t="n">
        <v>44916</v>
      </c>
      <c r="G187" s="179" t="n">
        <v>8085</v>
      </c>
      <c r="H187" s="179" t="n">
        <v>53000</v>
      </c>
      <c r="I187" s="178" t="s">
        <v>900</v>
      </c>
    </row>
    <row r="188" customFormat="false" ht="12" hidden="false" customHeight="false" outlineLevel="0" collapsed="false">
      <c r="A188" s="180" t="n">
        <v>45748</v>
      </c>
      <c r="B188" s="181" t="n">
        <v>45775</v>
      </c>
      <c r="C188" s="178" t="s">
        <v>244</v>
      </c>
      <c r="D188" s="178" t="s">
        <v>897</v>
      </c>
      <c r="E188" s="178" t="s">
        <v>243</v>
      </c>
      <c r="F188" s="179" t="n">
        <v>172800</v>
      </c>
      <c r="G188" s="179" t="n">
        <v>31104</v>
      </c>
      <c r="H188" s="179" t="n">
        <v>203904</v>
      </c>
      <c r="I188" s="178" t="s">
        <v>900</v>
      </c>
    </row>
    <row r="189" customFormat="false" ht="12" hidden="false" customHeight="false" outlineLevel="0" collapsed="false">
      <c r="A189" s="180" t="n">
        <v>45748</v>
      </c>
      <c r="B189" s="181" t="n">
        <v>45775</v>
      </c>
      <c r="C189" s="178" t="s">
        <v>246</v>
      </c>
      <c r="D189" s="178" t="s">
        <v>897</v>
      </c>
      <c r="E189" s="178" t="s">
        <v>245</v>
      </c>
      <c r="F189" s="179" t="n">
        <v>270000</v>
      </c>
      <c r="G189" s="179" t="n">
        <v>48600</v>
      </c>
      <c r="H189" s="179" t="n">
        <v>318600</v>
      </c>
      <c r="I189" s="178" t="s">
        <v>900</v>
      </c>
    </row>
    <row r="190" customFormat="false" ht="12" hidden="false" customHeight="false" outlineLevel="0" collapsed="false">
      <c r="A190" s="180" t="n">
        <v>45748</v>
      </c>
      <c r="B190" s="181" t="n">
        <v>45775</v>
      </c>
      <c r="C190" s="178" t="s">
        <v>248</v>
      </c>
      <c r="D190" s="178" t="s">
        <v>897</v>
      </c>
      <c r="E190" s="178" t="s">
        <v>247</v>
      </c>
      <c r="F190" s="179" t="n">
        <v>4000</v>
      </c>
      <c r="G190" s="179" t="n">
        <v>720</v>
      </c>
      <c r="H190" s="179" t="n">
        <v>4720</v>
      </c>
      <c r="I190" s="178" t="s">
        <v>900</v>
      </c>
    </row>
    <row r="191" customFormat="false" ht="12" hidden="false" customHeight="false" outlineLevel="0" collapsed="false">
      <c r="A191" s="180" t="n">
        <v>45748</v>
      </c>
      <c r="B191" s="181" t="n">
        <v>45775</v>
      </c>
      <c r="C191" s="178" t="s">
        <v>1011</v>
      </c>
      <c r="D191" s="178" t="s">
        <v>897</v>
      </c>
      <c r="E191" s="178" t="s">
        <v>249</v>
      </c>
      <c r="F191" s="179" t="n">
        <v>8729</v>
      </c>
      <c r="G191" s="179" t="n">
        <v>1571</v>
      </c>
      <c r="H191" s="179" t="n">
        <v>10300</v>
      </c>
      <c r="I191" s="178" t="s">
        <v>900</v>
      </c>
    </row>
    <row r="192" customFormat="false" ht="12" hidden="false" customHeight="false" outlineLevel="0" collapsed="false">
      <c r="A192" s="180" t="n">
        <v>45748</v>
      </c>
      <c r="B192" s="181" t="n">
        <v>45776</v>
      </c>
      <c r="C192" s="178" t="s">
        <v>1012</v>
      </c>
      <c r="D192" s="178" t="s">
        <v>897</v>
      </c>
      <c r="E192" s="178" t="s">
        <v>252</v>
      </c>
      <c r="F192" s="179" t="n">
        <v>33898</v>
      </c>
      <c r="G192" s="179" t="n">
        <v>6102</v>
      </c>
      <c r="H192" s="179" t="n">
        <v>40000</v>
      </c>
      <c r="I192" s="178" t="s">
        <v>900</v>
      </c>
    </row>
    <row r="193" customFormat="false" ht="12" hidden="false" customHeight="false" outlineLevel="0" collapsed="false">
      <c r="A193" s="180" t="n">
        <v>45748</v>
      </c>
      <c r="B193" s="181" t="n">
        <v>45776</v>
      </c>
      <c r="C193" s="178" t="s">
        <v>255</v>
      </c>
      <c r="D193" s="178" t="s">
        <v>897</v>
      </c>
      <c r="E193" s="178" t="s">
        <v>254</v>
      </c>
      <c r="F193" s="179" t="n">
        <v>22034</v>
      </c>
      <c r="G193" s="179" t="n">
        <v>3966</v>
      </c>
      <c r="H193" s="179" t="n">
        <v>26000</v>
      </c>
      <c r="I193" s="178" t="s">
        <v>900</v>
      </c>
    </row>
    <row r="194" customFormat="false" ht="12" hidden="false" customHeight="false" outlineLevel="0" collapsed="false">
      <c r="A194" s="180" t="n">
        <v>45748</v>
      </c>
      <c r="B194" s="181" t="n">
        <v>45776</v>
      </c>
      <c r="C194" s="178" t="s">
        <v>257</v>
      </c>
      <c r="D194" s="178" t="s">
        <v>897</v>
      </c>
      <c r="E194" s="178" t="s">
        <v>1013</v>
      </c>
      <c r="F194" s="179" t="n">
        <v>22034</v>
      </c>
      <c r="G194" s="179" t="n">
        <v>3966</v>
      </c>
      <c r="H194" s="179" t="n">
        <v>26000</v>
      </c>
      <c r="I194" s="178" t="s">
        <v>900</v>
      </c>
    </row>
    <row r="195" customFormat="false" ht="12" hidden="false" customHeight="false" outlineLevel="0" collapsed="false">
      <c r="A195" s="180" t="n">
        <v>45748</v>
      </c>
      <c r="B195" s="181" t="n">
        <v>45776</v>
      </c>
      <c r="C195" s="178" t="s">
        <v>259</v>
      </c>
      <c r="D195" s="178" t="s">
        <v>897</v>
      </c>
      <c r="E195" s="178" t="s">
        <v>258</v>
      </c>
      <c r="F195" s="179" t="n">
        <v>22034</v>
      </c>
      <c r="G195" s="179" t="n">
        <v>3966</v>
      </c>
      <c r="H195" s="179" t="n">
        <v>26000</v>
      </c>
      <c r="I195" s="178" t="s">
        <v>900</v>
      </c>
    </row>
    <row r="196" customFormat="false" ht="12" hidden="false" customHeight="false" outlineLevel="0" collapsed="false">
      <c r="A196" s="180" t="n">
        <v>45748</v>
      </c>
      <c r="B196" s="181" t="n">
        <v>45776</v>
      </c>
      <c r="C196" s="178" t="s">
        <v>261</v>
      </c>
      <c r="D196" s="178" t="s">
        <v>897</v>
      </c>
      <c r="E196" s="178" t="s">
        <v>260</v>
      </c>
      <c r="F196" s="179" t="n">
        <v>22034</v>
      </c>
      <c r="G196" s="179" t="n">
        <v>3966</v>
      </c>
      <c r="H196" s="179" t="n">
        <v>26000</v>
      </c>
      <c r="I196" s="178" t="s">
        <v>900</v>
      </c>
    </row>
    <row r="197" customFormat="false" ht="12" hidden="false" customHeight="false" outlineLevel="0" collapsed="false">
      <c r="A197" s="180" t="n">
        <v>45748</v>
      </c>
      <c r="B197" s="181" t="n">
        <v>45776</v>
      </c>
      <c r="C197" s="178" t="s">
        <v>263</v>
      </c>
      <c r="D197" s="178" t="s">
        <v>897</v>
      </c>
      <c r="E197" s="178" t="s">
        <v>262</v>
      </c>
      <c r="F197" s="179" t="n">
        <v>22034</v>
      </c>
      <c r="G197" s="179" t="n">
        <v>3966</v>
      </c>
      <c r="H197" s="179" t="n">
        <v>26000</v>
      </c>
      <c r="I197" s="178" t="s">
        <v>900</v>
      </c>
    </row>
    <row r="198" customFormat="false" ht="12" hidden="false" customHeight="false" outlineLevel="0" collapsed="false">
      <c r="A198" s="180" t="n">
        <v>45748</v>
      </c>
      <c r="B198" s="181" t="n">
        <v>45776</v>
      </c>
      <c r="C198" s="178" t="s">
        <v>265</v>
      </c>
      <c r="D198" s="178" t="s">
        <v>897</v>
      </c>
      <c r="E198" s="178" t="s">
        <v>264</v>
      </c>
      <c r="F198" s="179" t="n">
        <v>22034</v>
      </c>
      <c r="G198" s="179" t="n">
        <v>3966</v>
      </c>
      <c r="H198" s="179" t="n">
        <v>26000</v>
      </c>
      <c r="I198" s="178" t="s">
        <v>900</v>
      </c>
    </row>
    <row r="199" customFormat="false" ht="12" hidden="false" customHeight="false" outlineLevel="0" collapsed="false">
      <c r="A199" s="180" t="n">
        <v>45748</v>
      </c>
      <c r="B199" s="181" t="n">
        <v>45776</v>
      </c>
      <c r="C199" s="178" t="s">
        <v>268</v>
      </c>
      <c r="D199" s="178" t="s">
        <v>897</v>
      </c>
      <c r="E199" s="178" t="s">
        <v>267</v>
      </c>
      <c r="F199" s="179" t="n">
        <v>44068</v>
      </c>
      <c r="G199" s="179" t="n">
        <v>7932</v>
      </c>
      <c r="H199" s="179" t="n">
        <v>52000</v>
      </c>
      <c r="I199" s="178" t="s">
        <v>900</v>
      </c>
    </row>
    <row r="200" customFormat="false" ht="12" hidden="false" customHeight="false" outlineLevel="0" collapsed="false">
      <c r="A200" s="180" t="n">
        <v>45748</v>
      </c>
      <c r="B200" s="181" t="n">
        <v>45777</v>
      </c>
      <c r="C200" s="178" t="s">
        <v>270</v>
      </c>
      <c r="D200" s="178" t="s">
        <v>897</v>
      </c>
      <c r="E200" s="178" t="s">
        <v>269</v>
      </c>
      <c r="F200" s="179" t="n">
        <v>36000</v>
      </c>
      <c r="G200" s="179" t="n">
        <v>6480</v>
      </c>
      <c r="H200" s="179" t="n">
        <v>42480</v>
      </c>
      <c r="I200" s="178" t="s">
        <v>900</v>
      </c>
    </row>
    <row r="201" customFormat="false" ht="12" hidden="false" customHeight="false" outlineLevel="0" collapsed="false">
      <c r="A201" s="180" t="n">
        <v>45748</v>
      </c>
      <c r="B201" s="181" t="n">
        <v>45777</v>
      </c>
      <c r="C201" s="178" t="s">
        <v>272</v>
      </c>
      <c r="D201" s="178" t="s">
        <v>897</v>
      </c>
      <c r="E201" s="178" t="s">
        <v>271</v>
      </c>
      <c r="F201" s="179" t="n">
        <v>42500</v>
      </c>
      <c r="G201" s="179" t="n">
        <v>7650</v>
      </c>
      <c r="H201" s="179" t="n">
        <v>50150</v>
      </c>
      <c r="I201" s="178" t="s">
        <v>900</v>
      </c>
    </row>
    <row r="202" customFormat="false" ht="12" hidden="false" customHeight="false" outlineLevel="0" collapsed="false">
      <c r="A202" s="180" t="n">
        <v>45748</v>
      </c>
      <c r="B202" s="181" t="n">
        <v>45777</v>
      </c>
      <c r="C202" s="178" t="s">
        <v>274</v>
      </c>
      <c r="D202" s="178" t="s">
        <v>947</v>
      </c>
      <c r="E202" s="178" t="s">
        <v>273</v>
      </c>
      <c r="F202" s="179" t="n">
        <v>15000</v>
      </c>
      <c r="G202" s="179" t="n">
        <v>2700</v>
      </c>
      <c r="H202" s="179" t="n">
        <v>17700</v>
      </c>
      <c r="I202" s="178" t="s">
        <v>900</v>
      </c>
    </row>
    <row r="203" customFormat="false" ht="12" hidden="false" customHeight="false" outlineLevel="0" collapsed="false">
      <c r="A203" s="180" t="n">
        <v>45748</v>
      </c>
      <c r="B203" s="181" t="n">
        <v>45777</v>
      </c>
      <c r="C203" s="178" t="s">
        <v>276</v>
      </c>
      <c r="D203" s="178" t="s">
        <v>947</v>
      </c>
      <c r="E203" s="178" t="s">
        <v>275</v>
      </c>
      <c r="F203" s="179" t="n">
        <v>16000</v>
      </c>
      <c r="G203" s="179" t="n">
        <v>2880</v>
      </c>
      <c r="H203" s="179" t="n">
        <v>18880</v>
      </c>
      <c r="I203" s="178" t="s">
        <v>900</v>
      </c>
    </row>
    <row r="204" customFormat="false" ht="12" hidden="false" customHeight="false" outlineLevel="0" collapsed="false">
      <c r="A204" s="180" t="n">
        <v>45748</v>
      </c>
      <c r="B204" s="181" t="n">
        <v>45777</v>
      </c>
      <c r="C204" s="178" t="s">
        <v>1014</v>
      </c>
      <c r="D204" s="178" t="s">
        <v>897</v>
      </c>
      <c r="E204" s="178" t="s">
        <v>278</v>
      </c>
      <c r="F204" s="179" t="n">
        <v>3389</v>
      </c>
      <c r="G204" s="179" t="n">
        <v>610</v>
      </c>
      <c r="H204" s="179" t="n">
        <v>3999</v>
      </c>
      <c r="I204" s="178" t="s">
        <v>900</v>
      </c>
    </row>
    <row r="205" customFormat="false" ht="12" hidden="false" customHeight="false" outlineLevel="0" collapsed="false">
      <c r="A205" s="180" t="n">
        <v>45748</v>
      </c>
      <c r="B205" s="181" t="n">
        <v>45777</v>
      </c>
      <c r="C205" s="178" t="s">
        <v>1015</v>
      </c>
      <c r="D205" s="178" t="s">
        <v>897</v>
      </c>
      <c r="E205" s="178" t="s">
        <v>281</v>
      </c>
      <c r="F205" s="179" t="n">
        <v>4237</v>
      </c>
      <c r="G205" s="179" t="n">
        <v>762</v>
      </c>
      <c r="H205" s="179" t="n">
        <v>5000</v>
      </c>
      <c r="I205" s="178" t="s">
        <v>900</v>
      </c>
    </row>
    <row r="206" customFormat="false" ht="12" hidden="false" customHeight="false" outlineLevel="0" collapsed="false">
      <c r="A206" s="180" t="n">
        <v>45748</v>
      </c>
      <c r="B206" s="181" t="n">
        <v>45777</v>
      </c>
      <c r="C206" s="178" t="s">
        <v>1016</v>
      </c>
      <c r="D206" s="178" t="s">
        <v>897</v>
      </c>
      <c r="E206" s="178" t="s">
        <v>284</v>
      </c>
      <c r="F206" s="179" t="n">
        <v>6780</v>
      </c>
      <c r="G206" s="179" t="n">
        <v>1220</v>
      </c>
      <c r="H206" s="179" t="n">
        <v>8000</v>
      </c>
      <c r="I206" s="178" t="s">
        <v>900</v>
      </c>
    </row>
    <row r="207" customFormat="false" ht="12" hidden="false" customHeight="false" outlineLevel="0" collapsed="false">
      <c r="A207" s="180" t="n">
        <v>45748</v>
      </c>
      <c r="B207" s="181" t="n">
        <v>45777</v>
      </c>
      <c r="C207" s="178" t="s">
        <v>1017</v>
      </c>
      <c r="D207" s="178" t="s">
        <v>897</v>
      </c>
      <c r="E207" s="178" t="s">
        <v>898</v>
      </c>
      <c r="F207" s="179" t="n">
        <v>5497</v>
      </c>
      <c r="G207" s="179" t="n">
        <v>990</v>
      </c>
      <c r="H207" s="179" t="n">
        <v>6487</v>
      </c>
      <c r="I207" s="178" t="s">
        <v>898</v>
      </c>
    </row>
    <row r="208" customFormat="false" ht="12" hidden="false" customHeight="false" outlineLevel="0" collapsed="false">
      <c r="A208" s="180" t="n">
        <v>45748</v>
      </c>
      <c r="B208" s="181" t="n">
        <v>45777</v>
      </c>
      <c r="C208" s="178" t="s">
        <v>1018</v>
      </c>
      <c r="D208" s="178" t="s">
        <v>897</v>
      </c>
      <c r="E208" s="178" t="s">
        <v>898</v>
      </c>
      <c r="F208" s="179" t="n">
        <v>5000</v>
      </c>
      <c r="G208" s="179" t="n">
        <v>900</v>
      </c>
      <c r="H208" s="179" t="n">
        <v>5900</v>
      </c>
      <c r="I208" s="178" t="s">
        <v>898</v>
      </c>
    </row>
    <row r="209" customFormat="false" ht="12" hidden="false" customHeight="false" outlineLevel="0" collapsed="false">
      <c r="A209" s="180" t="n">
        <v>45748</v>
      </c>
      <c r="B209" s="181" t="n">
        <v>45777</v>
      </c>
      <c r="C209" s="178" t="s">
        <v>1019</v>
      </c>
      <c r="D209" s="178" t="s">
        <v>897</v>
      </c>
      <c r="E209" s="178" t="s">
        <v>898</v>
      </c>
      <c r="F209" s="179" t="n">
        <v>2118</v>
      </c>
      <c r="G209" s="179" t="n">
        <v>382</v>
      </c>
      <c r="H209" s="179" t="n">
        <v>2499</v>
      </c>
      <c r="I209" s="178" t="s">
        <v>898</v>
      </c>
    </row>
    <row r="210" customFormat="false" ht="12" hidden="false" customHeight="false" outlineLevel="0" collapsed="false">
      <c r="A210" s="180" t="n">
        <v>45748</v>
      </c>
      <c r="B210" s="181" t="n">
        <v>45777</v>
      </c>
      <c r="C210" s="178" t="s">
        <v>1020</v>
      </c>
      <c r="D210" s="178" t="s">
        <v>897</v>
      </c>
      <c r="E210" s="178" t="s">
        <v>898</v>
      </c>
      <c r="F210" s="179" t="n">
        <v>2118</v>
      </c>
      <c r="G210" s="179" t="n">
        <v>382</v>
      </c>
      <c r="H210" s="179" t="n">
        <v>2499</v>
      </c>
      <c r="I210" s="178" t="s">
        <v>898</v>
      </c>
    </row>
    <row r="211" customFormat="false" ht="12" hidden="false" customHeight="false" outlineLevel="0" collapsed="false">
      <c r="A211" s="180" t="n">
        <v>45748</v>
      </c>
      <c r="B211" s="181" t="n">
        <v>45777</v>
      </c>
      <c r="C211" s="178" t="s">
        <v>1021</v>
      </c>
      <c r="D211" s="178" t="s">
        <v>897</v>
      </c>
      <c r="E211" s="178" t="s">
        <v>898</v>
      </c>
      <c r="F211" s="179" t="n">
        <v>2118</v>
      </c>
      <c r="G211" s="179" t="n">
        <v>382</v>
      </c>
      <c r="H211" s="179" t="n">
        <v>2499</v>
      </c>
      <c r="I211" s="178" t="s">
        <v>898</v>
      </c>
    </row>
    <row r="212" customFormat="false" ht="12" hidden="false" customHeight="false" outlineLevel="0" collapsed="false">
      <c r="A212" s="180" t="n">
        <v>45748</v>
      </c>
      <c r="B212" s="181" t="n">
        <v>45777</v>
      </c>
      <c r="C212" s="178" t="s">
        <v>1022</v>
      </c>
      <c r="D212" s="178" t="s">
        <v>897</v>
      </c>
      <c r="E212" s="178" t="s">
        <v>898</v>
      </c>
      <c r="F212" s="179" t="n">
        <v>2118</v>
      </c>
      <c r="G212" s="179" t="n">
        <v>382</v>
      </c>
      <c r="H212" s="179" t="n">
        <v>2499</v>
      </c>
      <c r="I212" s="178" t="s">
        <v>898</v>
      </c>
    </row>
    <row r="213" customFormat="false" ht="12" hidden="false" customHeight="false" outlineLevel="0" collapsed="false">
      <c r="A213" s="180" t="n">
        <v>45748</v>
      </c>
      <c r="B213" s="181" t="n">
        <v>45777</v>
      </c>
      <c r="C213" s="178" t="s">
        <v>1023</v>
      </c>
      <c r="D213" s="178" t="s">
        <v>897</v>
      </c>
      <c r="E213" s="178" t="s">
        <v>898</v>
      </c>
      <c r="F213" s="179" t="n">
        <v>2118</v>
      </c>
      <c r="G213" s="179" t="n">
        <v>382</v>
      </c>
      <c r="H213" s="179" t="n">
        <v>2499</v>
      </c>
      <c r="I213" s="178" t="s">
        <v>898</v>
      </c>
    </row>
    <row r="214" customFormat="false" ht="12" hidden="false" customHeight="false" outlineLevel="0" collapsed="false">
      <c r="A214" s="180" t="n">
        <v>45748</v>
      </c>
      <c r="B214" s="181" t="n">
        <v>45777</v>
      </c>
      <c r="C214" s="178" t="s">
        <v>1024</v>
      </c>
      <c r="D214" s="178" t="s">
        <v>897</v>
      </c>
      <c r="E214" s="178" t="s">
        <v>898</v>
      </c>
      <c r="F214" s="179" t="n">
        <v>2118</v>
      </c>
      <c r="G214" s="179" t="n">
        <v>382</v>
      </c>
      <c r="H214" s="179" t="n">
        <v>2499</v>
      </c>
      <c r="I214" s="178" t="s">
        <v>898</v>
      </c>
    </row>
    <row r="215" customFormat="false" ht="12" hidden="false" customHeight="false" outlineLevel="0" collapsed="false">
      <c r="A215" s="180" t="n">
        <v>45748</v>
      </c>
      <c r="B215" s="181" t="n">
        <v>45777</v>
      </c>
      <c r="C215" s="178" t="s">
        <v>1025</v>
      </c>
      <c r="D215" s="178" t="s">
        <v>897</v>
      </c>
      <c r="E215" s="178" t="s">
        <v>898</v>
      </c>
      <c r="F215" s="179" t="n">
        <v>2118</v>
      </c>
      <c r="G215" s="179" t="n">
        <v>382</v>
      </c>
      <c r="H215" s="179" t="n">
        <v>2499</v>
      </c>
      <c r="I215" s="178" t="s">
        <v>898</v>
      </c>
    </row>
    <row r="216" customFormat="false" ht="12" hidden="false" customHeight="false" outlineLevel="0" collapsed="false">
      <c r="A216" s="180" t="n">
        <v>45778</v>
      </c>
      <c r="B216" s="181" t="n">
        <v>45778</v>
      </c>
      <c r="C216" s="178" t="s">
        <v>287</v>
      </c>
      <c r="D216" s="178" t="s">
        <v>947</v>
      </c>
      <c r="E216" s="178" t="s">
        <v>286</v>
      </c>
      <c r="F216" s="179" t="n">
        <v>10000</v>
      </c>
      <c r="G216" s="179" t="n">
        <v>1800</v>
      </c>
      <c r="H216" s="179" t="n">
        <v>11800</v>
      </c>
      <c r="I216" s="178" t="s">
        <v>900</v>
      </c>
    </row>
    <row r="217" customFormat="false" ht="12" hidden="false" customHeight="false" outlineLevel="0" collapsed="false">
      <c r="A217" s="180" t="n">
        <v>45778</v>
      </c>
      <c r="B217" s="181" t="n">
        <v>45779</v>
      </c>
      <c r="C217" s="178" t="s">
        <v>289</v>
      </c>
      <c r="D217" s="178" t="s">
        <v>897</v>
      </c>
      <c r="E217" s="178" t="s">
        <v>288</v>
      </c>
      <c r="F217" s="179" t="n">
        <v>15000</v>
      </c>
      <c r="G217" s="179" t="n">
        <v>2700</v>
      </c>
      <c r="H217" s="179" t="n">
        <v>17700</v>
      </c>
      <c r="I217" s="178" t="s">
        <v>900</v>
      </c>
    </row>
    <row r="218" customFormat="false" ht="12" hidden="false" customHeight="false" outlineLevel="0" collapsed="false">
      <c r="A218" s="180" t="n">
        <v>45778</v>
      </c>
      <c r="B218" s="181" t="n">
        <v>45779</v>
      </c>
      <c r="C218" s="178" t="s">
        <v>1026</v>
      </c>
      <c r="D218" s="178" t="s">
        <v>897</v>
      </c>
      <c r="E218" s="178" t="s">
        <v>898</v>
      </c>
      <c r="F218" s="179" t="n">
        <v>6347</v>
      </c>
      <c r="G218" s="179" t="n">
        <v>1142</v>
      </c>
      <c r="H218" s="179" t="n">
        <v>7489</v>
      </c>
      <c r="I218" s="178" t="s">
        <v>898</v>
      </c>
    </row>
    <row r="219" customFormat="false" ht="12" hidden="false" customHeight="false" outlineLevel="0" collapsed="false">
      <c r="A219" s="180" t="n">
        <v>45778</v>
      </c>
      <c r="B219" s="181" t="n">
        <v>45779</v>
      </c>
      <c r="C219" s="178" t="s">
        <v>1027</v>
      </c>
      <c r="D219" s="178" t="s">
        <v>897</v>
      </c>
      <c r="E219" s="178" t="s">
        <v>451</v>
      </c>
      <c r="F219" s="179" t="n">
        <v>10000</v>
      </c>
      <c r="G219" s="179" t="n">
        <v>1800</v>
      </c>
      <c r="H219" s="179" t="n">
        <v>11800</v>
      </c>
      <c r="I219" s="178" t="s">
        <v>900</v>
      </c>
    </row>
    <row r="220" customFormat="false" ht="12" hidden="false" customHeight="false" outlineLevel="0" collapsed="false">
      <c r="A220" s="180" t="n">
        <v>45778</v>
      </c>
      <c r="B220" s="181" t="n">
        <v>45779</v>
      </c>
      <c r="C220" s="178" t="s">
        <v>290</v>
      </c>
      <c r="D220" s="178" t="s">
        <v>947</v>
      </c>
      <c r="E220" s="178" t="s">
        <v>271</v>
      </c>
      <c r="F220" s="179" t="n">
        <v>10000</v>
      </c>
      <c r="G220" s="179" t="n">
        <v>1800</v>
      </c>
      <c r="H220" s="179" t="n">
        <v>11800</v>
      </c>
      <c r="I220" s="178" t="s">
        <v>900</v>
      </c>
    </row>
    <row r="221" customFormat="false" ht="12" hidden="false" customHeight="false" outlineLevel="0" collapsed="false">
      <c r="A221" s="180" t="n">
        <v>45778</v>
      </c>
      <c r="B221" s="181" t="n">
        <v>45780</v>
      </c>
      <c r="C221" s="178" t="s">
        <v>292</v>
      </c>
      <c r="D221" s="178" t="s">
        <v>897</v>
      </c>
      <c r="E221" s="178" t="s">
        <v>291</v>
      </c>
      <c r="F221" s="179" t="n">
        <v>40668</v>
      </c>
      <c r="G221" s="179" t="n">
        <v>7320</v>
      </c>
      <c r="H221" s="179" t="n">
        <v>47988</v>
      </c>
      <c r="I221" s="178" t="s">
        <v>900</v>
      </c>
    </row>
    <row r="222" customFormat="false" ht="12" hidden="false" customHeight="false" outlineLevel="0" collapsed="false">
      <c r="A222" s="180" t="n">
        <v>45778</v>
      </c>
      <c r="B222" s="181" t="n">
        <v>45780</v>
      </c>
      <c r="C222" s="178" t="s">
        <v>294</v>
      </c>
      <c r="D222" s="178" t="s">
        <v>897</v>
      </c>
      <c r="E222" s="178" t="s">
        <v>293</v>
      </c>
      <c r="F222" s="179" t="n">
        <v>64800</v>
      </c>
      <c r="G222" s="179" t="n">
        <v>11664</v>
      </c>
      <c r="H222" s="179" t="n">
        <v>76464</v>
      </c>
      <c r="I222" s="178" t="s">
        <v>900</v>
      </c>
    </row>
    <row r="223" customFormat="false" ht="12" hidden="false" customHeight="false" outlineLevel="0" collapsed="false">
      <c r="A223" s="180" t="n">
        <v>45778</v>
      </c>
      <c r="B223" s="181" t="n">
        <v>45782</v>
      </c>
      <c r="C223" s="178" t="s">
        <v>1028</v>
      </c>
      <c r="D223" s="178" t="s">
        <v>897</v>
      </c>
      <c r="E223" s="178" t="s">
        <v>296</v>
      </c>
      <c r="F223" s="179" t="n">
        <v>5000</v>
      </c>
      <c r="G223" s="179" t="n">
        <v>900</v>
      </c>
      <c r="H223" s="179" t="n">
        <v>5900</v>
      </c>
      <c r="I223" s="178" t="s">
        <v>900</v>
      </c>
    </row>
    <row r="224" customFormat="false" ht="12" hidden="false" customHeight="false" outlineLevel="0" collapsed="false">
      <c r="A224" s="180" t="n">
        <v>45778</v>
      </c>
      <c r="B224" s="181" t="n">
        <v>45782</v>
      </c>
      <c r="C224" s="178" t="s">
        <v>1029</v>
      </c>
      <c r="D224" s="178" t="s">
        <v>897</v>
      </c>
      <c r="E224" s="178" t="s">
        <v>125</v>
      </c>
      <c r="F224" s="179" t="n">
        <v>30000</v>
      </c>
      <c r="G224" s="179" t="n">
        <v>5400</v>
      </c>
      <c r="H224" s="179" t="n">
        <v>35400</v>
      </c>
      <c r="I224" s="178" t="s">
        <v>900</v>
      </c>
    </row>
    <row r="225" customFormat="false" ht="12" hidden="false" customHeight="false" outlineLevel="0" collapsed="false">
      <c r="A225" s="180" t="n">
        <v>45778</v>
      </c>
      <c r="B225" s="181" t="n">
        <v>45783</v>
      </c>
      <c r="C225" s="178" t="s">
        <v>1030</v>
      </c>
      <c r="D225" s="178" t="s">
        <v>897</v>
      </c>
      <c r="E225" s="178" t="s">
        <v>299</v>
      </c>
      <c r="F225" s="179" t="n">
        <v>10000</v>
      </c>
      <c r="G225" s="179" t="n">
        <v>1800</v>
      </c>
      <c r="H225" s="179" t="n">
        <v>11800</v>
      </c>
      <c r="I225" s="178" t="s">
        <v>900</v>
      </c>
    </row>
    <row r="226" customFormat="false" ht="12" hidden="false" customHeight="false" outlineLevel="0" collapsed="false">
      <c r="A226" s="180" t="n">
        <v>45778</v>
      </c>
      <c r="B226" s="181" t="n">
        <v>45783</v>
      </c>
      <c r="C226" s="178" t="s">
        <v>302</v>
      </c>
      <c r="D226" s="178" t="s">
        <v>947</v>
      </c>
      <c r="E226" s="178" t="s">
        <v>301</v>
      </c>
      <c r="F226" s="179" t="n">
        <v>14000</v>
      </c>
      <c r="G226" s="179" t="n">
        <v>2520</v>
      </c>
      <c r="H226" s="179" t="n">
        <v>16520</v>
      </c>
      <c r="I226" s="178" t="s">
        <v>900</v>
      </c>
    </row>
    <row r="227" customFormat="false" ht="12" hidden="false" customHeight="false" outlineLevel="0" collapsed="false">
      <c r="A227" s="180" t="n">
        <v>45778</v>
      </c>
      <c r="B227" s="181" t="n">
        <v>45784</v>
      </c>
      <c r="C227" s="178" t="s">
        <v>1031</v>
      </c>
      <c r="D227" s="178" t="s">
        <v>947</v>
      </c>
      <c r="E227" s="178" t="s">
        <v>136</v>
      </c>
      <c r="F227" s="179" t="n">
        <v>5000</v>
      </c>
      <c r="G227" s="179" t="n">
        <v>900</v>
      </c>
      <c r="H227" s="179" t="n">
        <v>5900</v>
      </c>
      <c r="I227" s="178" t="s">
        <v>900</v>
      </c>
    </row>
    <row r="228" customFormat="false" ht="12" hidden="false" customHeight="false" outlineLevel="0" collapsed="false">
      <c r="A228" s="180" t="n">
        <v>45778</v>
      </c>
      <c r="B228" s="181" t="n">
        <v>45784</v>
      </c>
      <c r="C228" s="178" t="s">
        <v>304</v>
      </c>
      <c r="D228" s="178" t="s">
        <v>897</v>
      </c>
      <c r="E228" s="178" t="s">
        <v>303</v>
      </c>
      <c r="F228" s="179" t="n">
        <v>32000</v>
      </c>
      <c r="G228" s="179" t="n">
        <v>5760</v>
      </c>
      <c r="H228" s="179" t="n">
        <v>37760</v>
      </c>
      <c r="I228" s="178" t="s">
        <v>900</v>
      </c>
    </row>
    <row r="229" customFormat="false" ht="12" hidden="false" customHeight="false" outlineLevel="0" collapsed="false">
      <c r="A229" s="180" t="n">
        <v>45778</v>
      </c>
      <c r="B229" s="181" t="n">
        <v>45784</v>
      </c>
      <c r="C229" s="178" t="s">
        <v>1032</v>
      </c>
      <c r="D229" s="178" t="s">
        <v>947</v>
      </c>
      <c r="E229" s="178" t="s">
        <v>152</v>
      </c>
      <c r="F229" s="179" t="n">
        <v>10000</v>
      </c>
      <c r="G229" s="179" t="n">
        <v>1800</v>
      </c>
      <c r="H229" s="179" t="n">
        <v>11800</v>
      </c>
      <c r="I229" s="178" t="s">
        <v>900</v>
      </c>
    </row>
    <row r="230" customFormat="false" ht="12" hidden="false" customHeight="false" outlineLevel="0" collapsed="false">
      <c r="A230" s="180" t="n">
        <v>45778</v>
      </c>
      <c r="B230" s="181" t="n">
        <v>45785</v>
      </c>
      <c r="C230" s="178" t="s">
        <v>306</v>
      </c>
      <c r="D230" s="178" t="s">
        <v>897</v>
      </c>
      <c r="E230" s="178" t="s">
        <v>305</v>
      </c>
      <c r="F230" s="179" t="n">
        <v>4000</v>
      </c>
      <c r="G230" s="179" t="n">
        <v>720</v>
      </c>
      <c r="H230" s="179" t="n">
        <v>4720</v>
      </c>
      <c r="I230" s="178" t="s">
        <v>900</v>
      </c>
    </row>
    <row r="231" customFormat="false" ht="12" hidden="false" customHeight="false" outlineLevel="0" collapsed="false">
      <c r="A231" s="180" t="n">
        <v>45778</v>
      </c>
      <c r="B231" s="181" t="n">
        <v>45786</v>
      </c>
      <c r="C231" s="178" t="s">
        <v>1033</v>
      </c>
      <c r="D231" s="178" t="s">
        <v>897</v>
      </c>
      <c r="E231" s="178" t="s">
        <v>278</v>
      </c>
      <c r="F231" s="179" t="n">
        <v>3389</v>
      </c>
      <c r="G231" s="179" t="n">
        <v>610</v>
      </c>
      <c r="H231" s="179" t="n">
        <v>3999</v>
      </c>
      <c r="I231" s="178" t="s">
        <v>900</v>
      </c>
    </row>
    <row r="232" customFormat="false" ht="12" hidden="false" customHeight="false" outlineLevel="0" collapsed="false">
      <c r="A232" s="180" t="n">
        <v>45778</v>
      </c>
      <c r="B232" s="181" t="n">
        <v>45786</v>
      </c>
      <c r="C232" s="178" t="s">
        <v>308</v>
      </c>
      <c r="D232" s="178" t="s">
        <v>897</v>
      </c>
      <c r="E232" s="178" t="s">
        <v>307</v>
      </c>
      <c r="F232" s="179" t="n">
        <v>216000</v>
      </c>
      <c r="G232" s="179" t="n">
        <v>38880</v>
      </c>
      <c r="H232" s="179" t="n">
        <v>254880</v>
      </c>
      <c r="I232" s="178" t="s">
        <v>900</v>
      </c>
    </row>
    <row r="233" customFormat="false" ht="12" hidden="false" customHeight="false" outlineLevel="0" collapsed="false">
      <c r="A233" s="180" t="n">
        <v>45778</v>
      </c>
      <c r="B233" s="181" t="n">
        <v>45787</v>
      </c>
      <c r="C233" s="178" t="s">
        <v>1034</v>
      </c>
      <c r="D233" s="178" t="s">
        <v>897</v>
      </c>
      <c r="E233" s="178" t="s">
        <v>157</v>
      </c>
      <c r="F233" s="179" t="n">
        <v>10000</v>
      </c>
      <c r="G233" s="179" t="n">
        <v>1800</v>
      </c>
      <c r="H233" s="179" t="n">
        <v>11800</v>
      </c>
      <c r="I233" s="178" t="s">
        <v>900</v>
      </c>
    </row>
    <row r="234" customFormat="false" ht="12" hidden="false" customHeight="false" outlineLevel="0" collapsed="false">
      <c r="A234" s="180" t="n">
        <v>45778</v>
      </c>
      <c r="B234" s="181" t="n">
        <v>45787</v>
      </c>
      <c r="C234" s="178" t="s">
        <v>1035</v>
      </c>
      <c r="D234" s="178" t="s">
        <v>947</v>
      </c>
      <c r="E234" s="178" t="s">
        <v>249</v>
      </c>
      <c r="F234" s="179" t="n">
        <v>8729</v>
      </c>
      <c r="G234" s="179" t="n">
        <v>1571</v>
      </c>
      <c r="H234" s="179" t="n">
        <v>10300</v>
      </c>
      <c r="I234" s="178" t="s">
        <v>900</v>
      </c>
    </row>
    <row r="235" customFormat="false" ht="12" hidden="false" customHeight="false" outlineLevel="0" collapsed="false">
      <c r="A235" s="180" t="n">
        <v>45778</v>
      </c>
      <c r="B235" s="181" t="n">
        <v>45789</v>
      </c>
      <c r="C235" s="178" t="s">
        <v>1036</v>
      </c>
      <c r="D235" s="178" t="s">
        <v>897</v>
      </c>
      <c r="E235" s="178" t="s">
        <v>281</v>
      </c>
      <c r="F235" s="179" t="n">
        <v>4237</v>
      </c>
      <c r="G235" s="179" t="n">
        <v>762</v>
      </c>
      <c r="H235" s="179" t="n">
        <v>5000</v>
      </c>
      <c r="I235" s="178" t="s">
        <v>900</v>
      </c>
    </row>
    <row r="236" customFormat="false" ht="12" hidden="false" customHeight="false" outlineLevel="0" collapsed="false">
      <c r="A236" s="180" t="n">
        <v>45778</v>
      </c>
      <c r="B236" s="181" t="n">
        <v>45789</v>
      </c>
      <c r="C236" s="178" t="s">
        <v>310</v>
      </c>
      <c r="D236" s="178" t="s">
        <v>897</v>
      </c>
      <c r="E236" s="178" t="s">
        <v>309</v>
      </c>
      <c r="F236" s="179" t="n">
        <v>12712</v>
      </c>
      <c r="G236" s="179" t="n">
        <v>2288</v>
      </c>
      <c r="H236" s="179" t="n">
        <v>15000</v>
      </c>
      <c r="I236" s="178" t="s">
        <v>900</v>
      </c>
    </row>
    <row r="237" customFormat="false" ht="12" hidden="false" customHeight="false" outlineLevel="0" collapsed="false">
      <c r="A237" s="180" t="n">
        <v>45778</v>
      </c>
      <c r="B237" s="181" t="n">
        <v>45789</v>
      </c>
      <c r="C237" s="178" t="s">
        <v>312</v>
      </c>
      <c r="D237" s="178" t="s">
        <v>897</v>
      </c>
      <c r="E237" s="178" t="s">
        <v>311</v>
      </c>
      <c r="F237" s="179" t="n">
        <v>12712</v>
      </c>
      <c r="G237" s="179" t="n">
        <v>2288</v>
      </c>
      <c r="H237" s="179" t="n">
        <v>15000</v>
      </c>
      <c r="I237" s="178" t="s">
        <v>900</v>
      </c>
    </row>
    <row r="238" customFormat="false" ht="12" hidden="false" customHeight="false" outlineLevel="0" collapsed="false">
      <c r="A238" s="180" t="n">
        <v>45778</v>
      </c>
      <c r="B238" s="181" t="n">
        <v>45789</v>
      </c>
      <c r="C238" s="178" t="s">
        <v>314</v>
      </c>
      <c r="D238" s="178" t="s">
        <v>947</v>
      </c>
      <c r="E238" s="178" t="s">
        <v>313</v>
      </c>
      <c r="F238" s="179" t="n">
        <v>6000</v>
      </c>
      <c r="G238" s="179" t="n">
        <v>1080</v>
      </c>
      <c r="H238" s="179" t="n">
        <v>7080</v>
      </c>
      <c r="I238" s="178" t="s">
        <v>900</v>
      </c>
    </row>
    <row r="239" customFormat="false" ht="12" hidden="false" customHeight="false" outlineLevel="0" collapsed="false">
      <c r="A239" s="180" t="n">
        <v>45778</v>
      </c>
      <c r="B239" s="181" t="n">
        <v>45790</v>
      </c>
      <c r="C239" s="178" t="s">
        <v>315</v>
      </c>
      <c r="D239" s="178" t="s">
        <v>897</v>
      </c>
      <c r="E239" s="178" t="s">
        <v>1006</v>
      </c>
      <c r="F239" s="179" t="n">
        <v>150000</v>
      </c>
      <c r="G239" s="179" t="n">
        <v>27000</v>
      </c>
      <c r="H239" s="179" t="n">
        <v>177000</v>
      </c>
      <c r="I239" s="178" t="s">
        <v>900</v>
      </c>
    </row>
    <row r="240" customFormat="false" ht="12" hidden="false" customHeight="false" outlineLevel="0" collapsed="false">
      <c r="A240" s="180" t="n">
        <v>45778</v>
      </c>
      <c r="B240" s="181" t="n">
        <v>45790</v>
      </c>
      <c r="C240" s="178" t="s">
        <v>317</v>
      </c>
      <c r="D240" s="178" t="s">
        <v>947</v>
      </c>
      <c r="E240" s="178" t="s">
        <v>316</v>
      </c>
      <c r="F240" s="179" t="n">
        <v>12000</v>
      </c>
      <c r="G240" s="179" t="n">
        <v>2160</v>
      </c>
      <c r="H240" s="179" t="n">
        <v>14160</v>
      </c>
      <c r="I240" s="178" t="s">
        <v>900</v>
      </c>
    </row>
    <row r="241" customFormat="false" ht="12" hidden="false" customHeight="false" outlineLevel="0" collapsed="false">
      <c r="A241" s="180" t="n">
        <v>45778</v>
      </c>
      <c r="B241" s="181" t="n">
        <v>45790</v>
      </c>
      <c r="C241" s="178" t="s">
        <v>319</v>
      </c>
      <c r="D241" s="178" t="s">
        <v>897</v>
      </c>
      <c r="E241" s="178" t="s">
        <v>318</v>
      </c>
      <c r="F241" s="179" t="n">
        <v>19068</v>
      </c>
      <c r="G241" s="179" t="n">
        <v>3432</v>
      </c>
      <c r="H241" s="179" t="n">
        <v>22500</v>
      </c>
      <c r="I241" s="178" t="s">
        <v>900</v>
      </c>
    </row>
    <row r="242" customFormat="false" ht="12" hidden="false" customHeight="false" outlineLevel="0" collapsed="false">
      <c r="A242" s="180" t="n">
        <v>45778</v>
      </c>
      <c r="B242" s="181" t="n">
        <v>45790</v>
      </c>
      <c r="C242" s="178" t="s">
        <v>321</v>
      </c>
      <c r="D242" s="178" t="s">
        <v>897</v>
      </c>
      <c r="E242" s="178" t="s">
        <v>320</v>
      </c>
      <c r="F242" s="179" t="n">
        <v>81000</v>
      </c>
      <c r="G242" s="179" t="n">
        <v>14580</v>
      </c>
      <c r="H242" s="179" t="n">
        <v>95580</v>
      </c>
      <c r="I242" s="178" t="s">
        <v>900</v>
      </c>
    </row>
    <row r="243" customFormat="false" ht="12" hidden="false" customHeight="false" outlineLevel="0" collapsed="false">
      <c r="A243" s="180" t="n">
        <v>45778</v>
      </c>
      <c r="B243" s="181" t="n">
        <v>45791</v>
      </c>
      <c r="C243" s="178" t="s">
        <v>323</v>
      </c>
      <c r="D243" s="178" t="s">
        <v>947</v>
      </c>
      <c r="E243" s="178" t="s">
        <v>322</v>
      </c>
      <c r="F243" s="179" t="n">
        <v>20000</v>
      </c>
      <c r="G243" s="179" t="n">
        <v>3600</v>
      </c>
      <c r="H243" s="179" t="n">
        <v>23600</v>
      </c>
      <c r="I243" s="178" t="s">
        <v>900</v>
      </c>
    </row>
    <row r="244" customFormat="false" ht="12" hidden="false" customHeight="false" outlineLevel="0" collapsed="false">
      <c r="A244" s="180" t="n">
        <v>45778</v>
      </c>
      <c r="B244" s="181" t="n">
        <v>45792</v>
      </c>
      <c r="C244" s="178" t="s">
        <v>1037</v>
      </c>
      <c r="D244" s="178" t="s">
        <v>897</v>
      </c>
      <c r="E244" s="178" t="s">
        <v>999</v>
      </c>
      <c r="F244" s="179" t="n">
        <v>150000</v>
      </c>
      <c r="G244" s="179" t="n">
        <v>27000</v>
      </c>
      <c r="H244" s="179" t="n">
        <v>177000</v>
      </c>
      <c r="I244" s="178" t="s">
        <v>900</v>
      </c>
    </row>
    <row r="245" customFormat="false" ht="12" hidden="false" customHeight="false" outlineLevel="0" collapsed="false">
      <c r="A245" s="180" t="n">
        <v>45778</v>
      </c>
      <c r="B245" s="181" t="n">
        <v>45792</v>
      </c>
      <c r="C245" s="178" t="s">
        <v>1038</v>
      </c>
      <c r="D245" s="178" t="s">
        <v>947</v>
      </c>
      <c r="E245" s="178" t="s">
        <v>1002</v>
      </c>
      <c r="F245" s="179" t="n">
        <v>16950</v>
      </c>
      <c r="G245" s="179" t="n">
        <v>3051</v>
      </c>
      <c r="H245" s="179" t="n">
        <v>20001</v>
      </c>
      <c r="I245" s="178" t="s">
        <v>900</v>
      </c>
    </row>
    <row r="246" customFormat="false" ht="12" hidden="false" customHeight="false" outlineLevel="0" collapsed="false">
      <c r="A246" s="180" t="n">
        <v>45778</v>
      </c>
      <c r="B246" s="181" t="n">
        <v>45792</v>
      </c>
      <c r="C246" s="178" t="s">
        <v>325</v>
      </c>
      <c r="D246" s="178" t="s">
        <v>897</v>
      </c>
      <c r="E246" s="178" t="s">
        <v>324</v>
      </c>
      <c r="F246" s="179" t="n">
        <v>100000</v>
      </c>
      <c r="G246" s="179" t="n">
        <v>18000</v>
      </c>
      <c r="H246" s="179" t="n">
        <v>118000</v>
      </c>
      <c r="I246" s="178" t="s">
        <v>900</v>
      </c>
    </row>
    <row r="247" customFormat="false" ht="12" hidden="false" customHeight="false" outlineLevel="0" collapsed="false">
      <c r="A247" s="180" t="n">
        <v>45778</v>
      </c>
      <c r="B247" s="181" t="n">
        <v>45793</v>
      </c>
      <c r="C247" s="178" t="s">
        <v>1039</v>
      </c>
      <c r="D247" s="178" t="s">
        <v>947</v>
      </c>
      <c r="E247" s="178" t="s">
        <v>187</v>
      </c>
      <c r="F247" s="179" t="n">
        <v>10000</v>
      </c>
      <c r="G247" s="179" t="n">
        <v>1800</v>
      </c>
      <c r="H247" s="179" t="n">
        <v>11800</v>
      </c>
      <c r="I247" s="178" t="s">
        <v>900</v>
      </c>
    </row>
    <row r="248" customFormat="false" ht="12" hidden="false" customHeight="false" outlineLevel="0" collapsed="false">
      <c r="A248" s="180" t="n">
        <v>45778</v>
      </c>
      <c r="B248" s="181" t="n">
        <v>45793</v>
      </c>
      <c r="C248" s="178" t="s">
        <v>327</v>
      </c>
      <c r="D248" s="178" t="s">
        <v>897</v>
      </c>
      <c r="E248" s="178" t="s">
        <v>326</v>
      </c>
      <c r="F248" s="179" t="n">
        <v>55000</v>
      </c>
      <c r="G248" s="179" t="n">
        <v>9900</v>
      </c>
      <c r="H248" s="179" t="n">
        <v>64900</v>
      </c>
      <c r="I248" s="178" t="s">
        <v>900</v>
      </c>
    </row>
    <row r="249" customFormat="false" ht="12" hidden="false" customHeight="false" outlineLevel="0" collapsed="false">
      <c r="A249" s="180" t="n">
        <v>45778</v>
      </c>
      <c r="B249" s="181" t="n">
        <v>45793</v>
      </c>
      <c r="C249" s="178" t="s">
        <v>329</v>
      </c>
      <c r="D249" s="178" t="s">
        <v>897</v>
      </c>
      <c r="E249" s="178" t="s">
        <v>328</v>
      </c>
      <c r="F249" s="179" t="n">
        <v>4000</v>
      </c>
      <c r="G249" s="179" t="n">
        <v>720</v>
      </c>
      <c r="H249" s="179" t="n">
        <v>4720</v>
      </c>
      <c r="I249" s="178" t="s">
        <v>900</v>
      </c>
    </row>
    <row r="250" customFormat="false" ht="12" hidden="false" customHeight="false" outlineLevel="0" collapsed="false">
      <c r="A250" s="180" t="n">
        <v>45778</v>
      </c>
      <c r="B250" s="181" t="n">
        <v>45796</v>
      </c>
      <c r="C250" s="178" t="s">
        <v>1040</v>
      </c>
      <c r="D250" s="178" t="s">
        <v>947</v>
      </c>
      <c r="E250" s="178" t="s">
        <v>331</v>
      </c>
      <c r="F250" s="179" t="n">
        <v>92540</v>
      </c>
      <c r="G250" s="179" t="n">
        <v>16657</v>
      </c>
      <c r="H250" s="179" t="n">
        <v>109197</v>
      </c>
      <c r="I250" s="178" t="s">
        <v>900</v>
      </c>
    </row>
    <row r="251" customFormat="false" ht="12" hidden="false" customHeight="false" outlineLevel="0" collapsed="false">
      <c r="A251" s="180" t="n">
        <v>45778</v>
      </c>
      <c r="B251" s="181" t="n">
        <v>45797</v>
      </c>
      <c r="C251" s="178" t="s">
        <v>334</v>
      </c>
      <c r="D251" s="178" t="s">
        <v>897</v>
      </c>
      <c r="E251" s="178" t="s">
        <v>333</v>
      </c>
      <c r="F251" s="179" t="n">
        <v>36450</v>
      </c>
      <c r="G251" s="179" t="n">
        <v>6561</v>
      </c>
      <c r="H251" s="179" t="n">
        <v>43011</v>
      </c>
      <c r="I251" s="178" t="s">
        <v>900</v>
      </c>
    </row>
    <row r="252" customFormat="false" ht="12" hidden="false" customHeight="false" outlineLevel="0" collapsed="false">
      <c r="A252" s="180" t="n">
        <v>45778</v>
      </c>
      <c r="B252" s="181" t="n">
        <v>45797</v>
      </c>
      <c r="C252" s="178" t="s">
        <v>336</v>
      </c>
      <c r="D252" s="178" t="s">
        <v>897</v>
      </c>
      <c r="E252" s="178" t="s">
        <v>335</v>
      </c>
      <c r="F252" s="179" t="n">
        <v>36450</v>
      </c>
      <c r="G252" s="179" t="n">
        <v>6561</v>
      </c>
      <c r="H252" s="179" t="n">
        <v>43011</v>
      </c>
      <c r="I252" s="178" t="s">
        <v>900</v>
      </c>
    </row>
    <row r="253" customFormat="false" ht="12" hidden="false" customHeight="false" outlineLevel="0" collapsed="false">
      <c r="A253" s="180" t="n">
        <v>45778</v>
      </c>
      <c r="B253" s="181" t="n">
        <v>45797</v>
      </c>
      <c r="C253" s="178" t="s">
        <v>338</v>
      </c>
      <c r="D253" s="178" t="s">
        <v>897</v>
      </c>
      <c r="E253" s="178" t="s">
        <v>337</v>
      </c>
      <c r="F253" s="179" t="n">
        <v>36450</v>
      </c>
      <c r="G253" s="179" t="n">
        <v>6561</v>
      </c>
      <c r="H253" s="179" t="n">
        <v>43011</v>
      </c>
      <c r="I253" s="178" t="s">
        <v>900</v>
      </c>
    </row>
    <row r="254" customFormat="false" ht="12" hidden="false" customHeight="false" outlineLevel="0" collapsed="false">
      <c r="A254" s="180" t="n">
        <v>45778</v>
      </c>
      <c r="B254" s="181" t="n">
        <v>45797</v>
      </c>
      <c r="C254" s="178" t="s">
        <v>340</v>
      </c>
      <c r="D254" s="178" t="s">
        <v>897</v>
      </c>
      <c r="E254" s="178" t="s">
        <v>1041</v>
      </c>
      <c r="F254" s="179" t="n">
        <v>36450</v>
      </c>
      <c r="G254" s="179" t="n">
        <v>6561</v>
      </c>
      <c r="H254" s="179" t="n">
        <v>43011</v>
      </c>
      <c r="I254" s="178" t="s">
        <v>900</v>
      </c>
    </row>
    <row r="255" customFormat="false" ht="12" hidden="false" customHeight="false" outlineLevel="0" collapsed="false">
      <c r="A255" s="180" t="n">
        <v>45778</v>
      </c>
      <c r="B255" s="181" t="n">
        <v>45797</v>
      </c>
      <c r="C255" s="178" t="s">
        <v>342</v>
      </c>
      <c r="D255" s="178" t="s">
        <v>897</v>
      </c>
      <c r="E255" s="178" t="s">
        <v>341</v>
      </c>
      <c r="F255" s="179" t="n">
        <v>255000</v>
      </c>
      <c r="G255" s="179" t="n">
        <v>45900</v>
      </c>
      <c r="H255" s="179" t="n">
        <v>300900</v>
      </c>
      <c r="I255" s="178" t="s">
        <v>900</v>
      </c>
    </row>
    <row r="256" customFormat="false" ht="12" hidden="false" customHeight="false" outlineLevel="0" collapsed="false">
      <c r="A256" s="180" t="n">
        <v>45778</v>
      </c>
      <c r="B256" s="181" t="n">
        <v>45798</v>
      </c>
      <c r="C256" s="178" t="s">
        <v>1042</v>
      </c>
      <c r="D256" s="178" t="s">
        <v>897</v>
      </c>
      <c r="E256" s="178" t="s">
        <v>344</v>
      </c>
      <c r="F256" s="179" t="n">
        <v>10000</v>
      </c>
      <c r="G256" s="179" t="n">
        <v>1800</v>
      </c>
      <c r="H256" s="179" t="n">
        <v>11800</v>
      </c>
      <c r="I256" s="178" t="s">
        <v>900</v>
      </c>
    </row>
    <row r="257" customFormat="false" ht="12" hidden="false" customHeight="false" outlineLevel="0" collapsed="false">
      <c r="A257" s="180" t="n">
        <v>45778</v>
      </c>
      <c r="B257" s="181" t="n">
        <v>45800</v>
      </c>
      <c r="C257" s="178" t="s">
        <v>1043</v>
      </c>
      <c r="D257" s="178" t="s">
        <v>947</v>
      </c>
      <c r="E257" s="178" t="s">
        <v>201</v>
      </c>
      <c r="F257" s="179" t="n">
        <v>15000</v>
      </c>
      <c r="G257" s="179" t="n">
        <v>2700</v>
      </c>
      <c r="H257" s="179" t="n">
        <v>17700</v>
      </c>
      <c r="I257" s="178" t="s">
        <v>900</v>
      </c>
    </row>
    <row r="258" customFormat="false" ht="12" hidden="false" customHeight="false" outlineLevel="0" collapsed="false">
      <c r="A258" s="180" t="n">
        <v>45778</v>
      </c>
      <c r="B258" s="181" t="n">
        <v>45800</v>
      </c>
      <c r="C258" s="178" t="s">
        <v>347</v>
      </c>
      <c r="D258" s="178" t="s">
        <v>897</v>
      </c>
      <c r="E258" s="178" t="s">
        <v>346</v>
      </c>
      <c r="F258" s="179" t="n">
        <v>5000</v>
      </c>
      <c r="G258" s="179" t="n">
        <v>900</v>
      </c>
      <c r="H258" s="179" t="n">
        <v>5900</v>
      </c>
      <c r="I258" s="178" t="s">
        <v>900</v>
      </c>
    </row>
    <row r="259" customFormat="false" ht="12" hidden="false" customHeight="false" outlineLevel="0" collapsed="false">
      <c r="A259" s="180" t="n">
        <v>45778</v>
      </c>
      <c r="B259" s="181" t="n">
        <v>45800</v>
      </c>
      <c r="C259" s="178" t="s">
        <v>348</v>
      </c>
      <c r="D259" s="178" t="s">
        <v>897</v>
      </c>
      <c r="E259" s="178" t="s">
        <v>189</v>
      </c>
      <c r="F259" s="179" t="n">
        <v>144000</v>
      </c>
      <c r="G259" s="179" t="n">
        <v>25920</v>
      </c>
      <c r="H259" s="179" t="n">
        <v>169920</v>
      </c>
      <c r="I259" s="178" t="s">
        <v>900</v>
      </c>
    </row>
    <row r="260" customFormat="false" ht="12" hidden="false" customHeight="false" outlineLevel="0" collapsed="false">
      <c r="A260" s="180" t="n">
        <v>45778</v>
      </c>
      <c r="B260" s="181" t="n">
        <v>45803</v>
      </c>
      <c r="C260" s="178" t="s">
        <v>349</v>
      </c>
      <c r="D260" s="178" t="s">
        <v>947</v>
      </c>
      <c r="E260" s="178" t="s">
        <v>309</v>
      </c>
      <c r="F260" s="179" t="n">
        <v>137288</v>
      </c>
      <c r="G260" s="179" t="n">
        <v>24712</v>
      </c>
      <c r="H260" s="179" t="n">
        <v>162000</v>
      </c>
      <c r="I260" s="178" t="s">
        <v>900</v>
      </c>
    </row>
    <row r="261" customFormat="false" ht="12" hidden="false" customHeight="false" outlineLevel="0" collapsed="false">
      <c r="A261" s="180" t="n">
        <v>45778</v>
      </c>
      <c r="B261" s="181" t="n">
        <v>45803</v>
      </c>
      <c r="C261" s="178" t="s">
        <v>351</v>
      </c>
      <c r="D261" s="178" t="s">
        <v>897</v>
      </c>
      <c r="E261" s="178" t="s">
        <v>350</v>
      </c>
      <c r="F261" s="179" t="n">
        <v>37800</v>
      </c>
      <c r="G261" s="179" t="n">
        <v>6804</v>
      </c>
      <c r="H261" s="179" t="n">
        <v>44604</v>
      </c>
      <c r="I261" s="178" t="s">
        <v>900</v>
      </c>
    </row>
    <row r="262" customFormat="false" ht="12" hidden="false" customHeight="false" outlineLevel="0" collapsed="false">
      <c r="A262" s="180" t="n">
        <v>45778</v>
      </c>
      <c r="B262" s="181" t="n">
        <v>45803</v>
      </c>
      <c r="C262" s="178" t="s">
        <v>353</v>
      </c>
      <c r="D262" s="178" t="s">
        <v>947</v>
      </c>
      <c r="E262" s="178" t="s">
        <v>352</v>
      </c>
      <c r="F262" s="179" t="n">
        <v>70000</v>
      </c>
      <c r="G262" s="179" t="n">
        <v>12600</v>
      </c>
      <c r="H262" s="179" t="n">
        <v>82600</v>
      </c>
      <c r="I262" s="178" t="s">
        <v>900</v>
      </c>
    </row>
    <row r="263" customFormat="false" ht="12" hidden="false" customHeight="false" outlineLevel="0" collapsed="false">
      <c r="A263" s="180" t="n">
        <v>45778</v>
      </c>
      <c r="B263" s="181" t="n">
        <v>45803</v>
      </c>
      <c r="C263" s="178" t="s">
        <v>355</v>
      </c>
      <c r="D263" s="178" t="s">
        <v>897</v>
      </c>
      <c r="E263" s="178" t="s">
        <v>354</v>
      </c>
      <c r="F263" s="179" t="n">
        <v>10000</v>
      </c>
      <c r="G263" s="179" t="n">
        <v>1800</v>
      </c>
      <c r="H263" s="179" t="n">
        <v>11800</v>
      </c>
      <c r="I263" s="178" t="s">
        <v>900</v>
      </c>
    </row>
    <row r="264" customFormat="false" ht="12" hidden="false" customHeight="false" outlineLevel="0" collapsed="false">
      <c r="A264" s="180" t="n">
        <v>45778</v>
      </c>
      <c r="B264" s="181" t="n">
        <v>45803</v>
      </c>
      <c r="C264" s="178" t="s">
        <v>1044</v>
      </c>
      <c r="D264" s="178" t="s">
        <v>897</v>
      </c>
      <c r="E264" s="178" t="s">
        <v>238</v>
      </c>
      <c r="F264" s="179" t="n">
        <v>12000</v>
      </c>
      <c r="G264" s="179" t="n">
        <v>2160</v>
      </c>
      <c r="H264" s="179" t="n">
        <v>14160</v>
      </c>
      <c r="I264" s="178" t="s">
        <v>900</v>
      </c>
    </row>
    <row r="265" customFormat="false" ht="12" hidden="false" customHeight="false" outlineLevel="0" collapsed="false">
      <c r="A265" s="180" t="n">
        <v>45778</v>
      </c>
      <c r="B265" s="181" t="n">
        <v>45803</v>
      </c>
      <c r="C265" s="178" t="s">
        <v>1045</v>
      </c>
      <c r="D265" s="178" t="s">
        <v>947</v>
      </c>
      <c r="E265" s="178" t="s">
        <v>241</v>
      </c>
      <c r="F265" s="179" t="n">
        <v>44916</v>
      </c>
      <c r="G265" s="179" t="n">
        <v>8085</v>
      </c>
      <c r="H265" s="179" t="n">
        <v>53000</v>
      </c>
      <c r="I265" s="178" t="s">
        <v>900</v>
      </c>
    </row>
    <row r="266" customFormat="false" ht="12" hidden="false" customHeight="false" outlineLevel="0" collapsed="false">
      <c r="A266" s="180" t="n">
        <v>45778</v>
      </c>
      <c r="B266" s="181" t="n">
        <v>45803</v>
      </c>
      <c r="C266" s="178" t="s">
        <v>357</v>
      </c>
      <c r="D266" s="178" t="s">
        <v>897</v>
      </c>
      <c r="E266" s="178" t="s">
        <v>356</v>
      </c>
      <c r="F266" s="179" t="n">
        <v>59322</v>
      </c>
      <c r="G266" s="179" t="n">
        <v>10678</v>
      </c>
      <c r="H266" s="179" t="n">
        <v>70000</v>
      </c>
      <c r="I266" s="178" t="s">
        <v>900</v>
      </c>
    </row>
    <row r="267" customFormat="false" ht="12" hidden="false" customHeight="false" outlineLevel="0" collapsed="false">
      <c r="A267" s="180" t="n">
        <v>45778</v>
      </c>
      <c r="B267" s="181" t="n">
        <v>45805</v>
      </c>
      <c r="C267" s="178" t="s">
        <v>359</v>
      </c>
      <c r="D267" s="178" t="s">
        <v>897</v>
      </c>
      <c r="E267" s="178" t="s">
        <v>358</v>
      </c>
      <c r="F267" s="179" t="n">
        <v>20000</v>
      </c>
      <c r="G267" s="179" t="n">
        <v>3600</v>
      </c>
      <c r="H267" s="179" t="n">
        <v>23600</v>
      </c>
      <c r="I267" s="178" t="s">
        <v>900</v>
      </c>
    </row>
    <row r="268" customFormat="false" ht="12" hidden="false" customHeight="false" outlineLevel="0" collapsed="false">
      <c r="A268" s="180" t="n">
        <v>45778</v>
      </c>
      <c r="B268" s="181" t="n">
        <v>45805</v>
      </c>
      <c r="C268" s="178" t="s">
        <v>1046</v>
      </c>
      <c r="D268" s="178" t="s">
        <v>947</v>
      </c>
      <c r="E268" s="178" t="s">
        <v>162</v>
      </c>
      <c r="F268" s="179" t="n">
        <v>16949</v>
      </c>
      <c r="G268" s="179" t="n">
        <v>3051</v>
      </c>
      <c r="H268" s="179" t="n">
        <v>20000</v>
      </c>
      <c r="I268" s="178" t="s">
        <v>900</v>
      </c>
    </row>
    <row r="269" customFormat="false" ht="12" hidden="false" customHeight="false" outlineLevel="0" collapsed="false">
      <c r="A269" s="180" t="n">
        <v>45778</v>
      </c>
      <c r="B269" s="181" t="n">
        <v>45806</v>
      </c>
      <c r="C269" s="178" t="s">
        <v>1047</v>
      </c>
      <c r="D269" s="178" t="s">
        <v>897</v>
      </c>
      <c r="E269" s="178" t="s">
        <v>284</v>
      </c>
      <c r="F269" s="179" t="n">
        <v>6780</v>
      </c>
      <c r="G269" s="179" t="n">
        <v>1220</v>
      </c>
      <c r="H269" s="179" t="n">
        <v>8000</v>
      </c>
      <c r="I269" s="178" t="s">
        <v>900</v>
      </c>
    </row>
    <row r="270" customFormat="false" ht="12" hidden="false" customHeight="false" outlineLevel="0" collapsed="false">
      <c r="A270" s="180" t="n">
        <v>45778</v>
      </c>
      <c r="B270" s="181" t="n">
        <v>45806</v>
      </c>
      <c r="C270" s="178" t="s">
        <v>361</v>
      </c>
      <c r="D270" s="178" t="s">
        <v>897</v>
      </c>
      <c r="E270" s="178" t="s">
        <v>360</v>
      </c>
      <c r="F270" s="179" t="n">
        <v>5000</v>
      </c>
      <c r="G270" s="179" t="n">
        <v>900</v>
      </c>
      <c r="H270" s="179" t="n">
        <v>5900</v>
      </c>
      <c r="I270" s="178" t="s">
        <v>900</v>
      </c>
    </row>
    <row r="271" customFormat="false" ht="12" hidden="false" customHeight="false" outlineLevel="0" collapsed="false">
      <c r="A271" s="180" t="n">
        <v>45778</v>
      </c>
      <c r="B271" s="181" t="n">
        <v>45806</v>
      </c>
      <c r="C271" s="178" t="s">
        <v>363</v>
      </c>
      <c r="D271" s="178" t="s">
        <v>897</v>
      </c>
      <c r="E271" s="178" t="s">
        <v>362</v>
      </c>
      <c r="F271" s="179" t="n">
        <v>70000</v>
      </c>
      <c r="G271" s="179" t="n">
        <v>12600</v>
      </c>
      <c r="H271" s="179" t="n">
        <v>82600</v>
      </c>
      <c r="I271" s="178" t="s">
        <v>900</v>
      </c>
    </row>
    <row r="272" customFormat="false" ht="12" hidden="false" customHeight="false" outlineLevel="0" collapsed="false">
      <c r="A272" s="180" t="n">
        <v>45778</v>
      </c>
      <c r="B272" s="181" t="n">
        <v>45806</v>
      </c>
      <c r="C272" s="178" t="s">
        <v>365</v>
      </c>
      <c r="D272" s="178" t="s">
        <v>897</v>
      </c>
      <c r="E272" s="178" t="s">
        <v>364</v>
      </c>
      <c r="F272" s="179" t="n">
        <v>20000</v>
      </c>
      <c r="G272" s="179" t="n">
        <v>3600</v>
      </c>
      <c r="H272" s="179" t="n">
        <v>23600</v>
      </c>
      <c r="I272" s="178" t="s">
        <v>900</v>
      </c>
    </row>
    <row r="273" customFormat="false" ht="12" hidden="false" customHeight="false" outlineLevel="0" collapsed="false">
      <c r="A273" s="180" t="n">
        <v>45778</v>
      </c>
      <c r="B273" s="181" t="n">
        <v>45806</v>
      </c>
      <c r="C273" s="178" t="s">
        <v>367</v>
      </c>
      <c r="D273" s="178" t="s">
        <v>897</v>
      </c>
      <c r="E273" s="178" t="s">
        <v>366</v>
      </c>
      <c r="F273" s="179" t="n">
        <v>124200</v>
      </c>
      <c r="G273" s="179" t="n">
        <v>22356</v>
      </c>
      <c r="H273" s="179" t="n">
        <v>146556</v>
      </c>
      <c r="I273" s="178" t="s">
        <v>900</v>
      </c>
    </row>
    <row r="274" customFormat="false" ht="12" hidden="false" customHeight="false" outlineLevel="0" collapsed="false">
      <c r="A274" s="180" t="n">
        <v>45778</v>
      </c>
      <c r="B274" s="181" t="n">
        <v>45806</v>
      </c>
      <c r="C274" s="178" t="s">
        <v>369</v>
      </c>
      <c r="D274" s="178" t="s">
        <v>947</v>
      </c>
      <c r="E274" s="178" t="s">
        <v>1048</v>
      </c>
      <c r="F274" s="179" t="n">
        <v>831384</v>
      </c>
      <c r="G274" s="179" t="n">
        <v>149649</v>
      </c>
      <c r="H274" s="179" t="n">
        <v>981033</v>
      </c>
      <c r="I274" s="178" t="s">
        <v>900</v>
      </c>
    </row>
    <row r="275" customFormat="false" ht="12" hidden="false" customHeight="false" outlineLevel="0" collapsed="false">
      <c r="A275" s="180" t="n">
        <v>45778</v>
      </c>
      <c r="B275" s="181" t="n">
        <v>45806</v>
      </c>
      <c r="C275" s="178" t="s">
        <v>371</v>
      </c>
      <c r="D275" s="178" t="s">
        <v>897</v>
      </c>
      <c r="E275" s="178" t="s">
        <v>370</v>
      </c>
      <c r="F275" s="179" t="n">
        <v>15000</v>
      </c>
      <c r="G275" s="179" t="n">
        <v>2700</v>
      </c>
      <c r="H275" s="179" t="n">
        <v>17700</v>
      </c>
      <c r="I275" s="178" t="s">
        <v>900</v>
      </c>
    </row>
    <row r="276" customFormat="false" ht="12" hidden="false" customHeight="false" outlineLevel="0" collapsed="false">
      <c r="A276" s="180" t="n">
        <v>45778</v>
      </c>
      <c r="B276" s="181" t="n">
        <v>45807</v>
      </c>
      <c r="C276" s="178" t="s">
        <v>373</v>
      </c>
      <c r="D276" s="178" t="s">
        <v>947</v>
      </c>
      <c r="E276" s="178" t="s">
        <v>372</v>
      </c>
      <c r="F276" s="179" t="n">
        <v>1458000</v>
      </c>
      <c r="G276" s="179" t="n">
        <v>262440</v>
      </c>
      <c r="H276" s="179" t="n">
        <v>1720440</v>
      </c>
      <c r="I276" s="178" t="s">
        <v>900</v>
      </c>
    </row>
    <row r="277" customFormat="false" ht="12" hidden="false" customHeight="false" outlineLevel="0" collapsed="false">
      <c r="A277" s="180" t="n">
        <v>45778</v>
      </c>
      <c r="B277" s="181" t="n">
        <v>45807</v>
      </c>
      <c r="C277" s="178" t="s">
        <v>1049</v>
      </c>
      <c r="D277" s="178" t="s">
        <v>897</v>
      </c>
      <c r="E277" s="178" t="s">
        <v>375</v>
      </c>
      <c r="F277" s="179" t="n">
        <v>9000</v>
      </c>
      <c r="G277" s="179" t="n">
        <v>1620</v>
      </c>
      <c r="H277" s="179" t="n">
        <v>10620</v>
      </c>
      <c r="I277" s="178" t="s">
        <v>900</v>
      </c>
    </row>
    <row r="278" customFormat="false" ht="12" hidden="false" customHeight="false" outlineLevel="0" collapsed="false">
      <c r="A278" s="180" t="n">
        <v>45778</v>
      </c>
      <c r="B278" s="181" t="n">
        <v>45807</v>
      </c>
      <c r="C278" s="178" t="s">
        <v>380</v>
      </c>
      <c r="D278" s="178" t="s">
        <v>897</v>
      </c>
      <c r="E278" s="178" t="s">
        <v>247</v>
      </c>
      <c r="F278" s="179" t="n">
        <v>27000</v>
      </c>
      <c r="G278" s="179" t="n">
        <v>4860</v>
      </c>
      <c r="H278" s="179" t="n">
        <v>31860</v>
      </c>
      <c r="I278" s="178" t="s">
        <v>900</v>
      </c>
    </row>
    <row r="279" customFormat="false" ht="12" hidden="false" customHeight="false" outlineLevel="0" collapsed="false">
      <c r="A279" s="180" t="n">
        <v>45778</v>
      </c>
      <c r="B279" s="181" t="n">
        <v>45808</v>
      </c>
      <c r="C279" s="178" t="s">
        <v>1050</v>
      </c>
      <c r="D279" s="178" t="s">
        <v>897</v>
      </c>
      <c r="E279" s="178" t="s">
        <v>898</v>
      </c>
      <c r="F279" s="179" t="n">
        <v>17781</v>
      </c>
      <c r="G279" s="179" t="n">
        <v>3200</v>
      </c>
      <c r="H279" s="179" t="n">
        <v>20982</v>
      </c>
      <c r="I279" s="178" t="s">
        <v>898</v>
      </c>
    </row>
    <row r="280" customFormat="false" ht="12" hidden="false" customHeight="false" outlineLevel="0" collapsed="false">
      <c r="A280" s="180" t="n">
        <v>45778</v>
      </c>
      <c r="B280" s="181" t="n">
        <v>45808</v>
      </c>
      <c r="C280" s="178" t="s">
        <v>1051</v>
      </c>
      <c r="D280" s="178" t="s">
        <v>897</v>
      </c>
      <c r="E280" s="178" t="s">
        <v>388</v>
      </c>
      <c r="F280" s="179" t="n">
        <v>-22881</v>
      </c>
      <c r="G280" s="179" t="n">
        <v>-4119</v>
      </c>
      <c r="H280" s="179" t="n">
        <v>-27000</v>
      </c>
      <c r="I280" s="178" t="s">
        <v>900</v>
      </c>
    </row>
    <row r="281" customFormat="false" ht="12" hidden="false" customHeight="false" outlineLevel="0" collapsed="false">
      <c r="A281" s="180" t="n">
        <v>45778</v>
      </c>
      <c r="B281" s="181" t="n">
        <v>45808</v>
      </c>
      <c r="C281" s="178" t="s">
        <v>1052</v>
      </c>
      <c r="D281" s="178" t="s">
        <v>897</v>
      </c>
      <c r="E281" s="178" t="s">
        <v>396</v>
      </c>
      <c r="F281" s="179" t="n">
        <v>-129600</v>
      </c>
      <c r="G281" s="179" t="n">
        <v>-23328</v>
      </c>
      <c r="H281" s="179" t="n">
        <v>-152928</v>
      </c>
      <c r="I281" s="178" t="s">
        <v>900</v>
      </c>
    </row>
    <row r="282" customFormat="false" ht="12" hidden="false" customHeight="false" outlineLevel="0" collapsed="false">
      <c r="A282" s="180" t="n">
        <v>45778</v>
      </c>
      <c r="B282" s="181" t="n">
        <v>45808</v>
      </c>
      <c r="C282" s="178" t="s">
        <v>382</v>
      </c>
      <c r="D282" s="178" t="s">
        <v>897</v>
      </c>
      <c r="E282" s="178" t="s">
        <v>381</v>
      </c>
      <c r="F282" s="179" t="n">
        <v>25000</v>
      </c>
      <c r="G282" s="179" t="n">
        <v>4500</v>
      </c>
      <c r="H282" s="179" t="n">
        <v>29500</v>
      </c>
      <c r="I282" s="178" t="s">
        <v>900</v>
      </c>
    </row>
    <row r="283" customFormat="false" ht="12" hidden="false" customHeight="false" outlineLevel="0" collapsed="false">
      <c r="A283" s="180" t="n">
        <v>45536</v>
      </c>
      <c r="B283" s="181" t="n">
        <v>45557</v>
      </c>
      <c r="C283" s="178" t="s">
        <v>1053</v>
      </c>
      <c r="D283" s="178" t="s">
        <v>897</v>
      </c>
      <c r="E283" s="178" t="s">
        <v>898</v>
      </c>
      <c r="F283" s="179" t="n">
        <v>16336</v>
      </c>
      <c r="G283" s="179" t="n">
        <v>0</v>
      </c>
      <c r="H283" s="179" t="n">
        <v>16336</v>
      </c>
      <c r="I283" s="178" t="s">
        <v>898</v>
      </c>
    </row>
    <row r="284" customFormat="false" ht="12" hidden="false" customHeight="false" outlineLevel="0" collapsed="false">
      <c r="A284" s="180" t="n">
        <v>45536</v>
      </c>
      <c r="B284" s="181" t="n">
        <v>45557</v>
      </c>
      <c r="C284" s="178" t="s">
        <v>1054</v>
      </c>
      <c r="D284" s="178" t="s">
        <v>897</v>
      </c>
      <c r="E284" s="178" t="s">
        <v>476</v>
      </c>
      <c r="F284" s="179" t="n">
        <v>3999</v>
      </c>
      <c r="G284" s="179" t="n">
        <v>0</v>
      </c>
      <c r="H284" s="179" t="n">
        <v>3999</v>
      </c>
      <c r="I284" s="178" t="s">
        <v>900</v>
      </c>
    </row>
    <row r="285" customFormat="false" ht="12" hidden="false" customHeight="false" outlineLevel="0" collapsed="false">
      <c r="A285" s="180" t="n">
        <v>45536</v>
      </c>
      <c r="B285" s="181" t="n">
        <v>45565</v>
      </c>
      <c r="C285" s="178" t="s">
        <v>1055</v>
      </c>
      <c r="D285" s="178" t="s">
        <v>897</v>
      </c>
      <c r="E285" s="178" t="s">
        <v>898</v>
      </c>
      <c r="F285" s="179" t="n">
        <v>7473</v>
      </c>
      <c r="G285" s="179" t="n">
        <v>0</v>
      </c>
      <c r="H285" s="179" t="n">
        <v>7473</v>
      </c>
      <c r="I285" s="178" t="s">
        <v>898</v>
      </c>
    </row>
    <row r="286" customFormat="false" ht="12" hidden="false" customHeight="false" outlineLevel="0" collapsed="false">
      <c r="A286" s="180" t="n">
        <v>45566</v>
      </c>
      <c r="B286" s="181" t="n">
        <v>45584</v>
      </c>
      <c r="C286" s="178" t="s">
        <v>1056</v>
      </c>
      <c r="D286" s="178" t="s">
        <v>897</v>
      </c>
      <c r="E286" s="178" t="s">
        <v>898</v>
      </c>
      <c r="F286" s="179" t="n">
        <v>19330</v>
      </c>
      <c r="G286" s="179" t="n">
        <v>0</v>
      </c>
      <c r="H286" s="179" t="n">
        <v>19330</v>
      </c>
      <c r="I286" s="178" t="s">
        <v>898</v>
      </c>
    </row>
    <row r="287" customFormat="false" ht="12" hidden="false" customHeight="false" outlineLevel="0" collapsed="false">
      <c r="A287" s="180" t="n">
        <v>45566</v>
      </c>
      <c r="B287" s="181" t="n">
        <v>45584</v>
      </c>
      <c r="C287" s="178" t="s">
        <v>1057</v>
      </c>
      <c r="D287" s="178" t="s">
        <v>897</v>
      </c>
      <c r="E287" s="178" t="s">
        <v>412</v>
      </c>
      <c r="F287" s="179" t="n">
        <v>3999</v>
      </c>
      <c r="G287" s="179" t="n">
        <v>0</v>
      </c>
      <c r="H287" s="179" t="n">
        <v>3999</v>
      </c>
      <c r="I287" s="178" t="s">
        <v>900</v>
      </c>
    </row>
    <row r="288" customFormat="false" ht="12" hidden="false" customHeight="false" outlineLevel="0" collapsed="false">
      <c r="A288" s="180" t="n">
        <v>45566</v>
      </c>
      <c r="B288" s="181" t="n">
        <v>45586</v>
      </c>
      <c r="C288" s="178" t="s">
        <v>1058</v>
      </c>
      <c r="D288" s="178" t="s">
        <v>897</v>
      </c>
      <c r="E288" s="178" t="s">
        <v>898</v>
      </c>
      <c r="F288" s="179" t="n">
        <v>1489</v>
      </c>
      <c r="G288" s="179" t="n">
        <v>0</v>
      </c>
      <c r="H288" s="179" t="n">
        <v>1489</v>
      </c>
      <c r="I288" s="178" t="s">
        <v>898</v>
      </c>
    </row>
    <row r="289" customFormat="false" ht="12" hidden="false" customHeight="false" outlineLevel="0" collapsed="false">
      <c r="A289" s="180" t="n">
        <v>45566</v>
      </c>
      <c r="B289" s="181" t="n">
        <v>45586</v>
      </c>
      <c r="C289" s="178" t="s">
        <v>497</v>
      </c>
      <c r="D289" s="178" t="s">
        <v>897</v>
      </c>
      <c r="E289" s="178" t="s">
        <v>1059</v>
      </c>
      <c r="F289" s="179" t="n">
        <v>15000</v>
      </c>
      <c r="G289" s="179" t="n">
        <v>0</v>
      </c>
      <c r="H289" s="179" t="n">
        <v>15000</v>
      </c>
      <c r="I289" s="178" t="s">
        <v>900</v>
      </c>
    </row>
    <row r="290" customFormat="false" ht="12" hidden="false" customHeight="false" outlineLevel="0" collapsed="false">
      <c r="A290" s="180" t="n">
        <v>45566</v>
      </c>
      <c r="B290" s="181" t="n">
        <v>45587</v>
      </c>
      <c r="C290" s="178" t="s">
        <v>1060</v>
      </c>
      <c r="D290" s="178" t="s">
        <v>897</v>
      </c>
      <c r="E290" s="178" t="s">
        <v>501</v>
      </c>
      <c r="F290" s="179" t="n">
        <v>15000</v>
      </c>
      <c r="G290" s="179" t="n">
        <v>0</v>
      </c>
      <c r="H290" s="179" t="n">
        <v>15000</v>
      </c>
      <c r="I290" s="178" t="s">
        <v>900</v>
      </c>
    </row>
    <row r="291" customFormat="false" ht="12" hidden="false" customHeight="false" outlineLevel="0" collapsed="false">
      <c r="A291" s="180" t="n">
        <v>45566</v>
      </c>
      <c r="B291" s="181" t="n">
        <v>45587</v>
      </c>
      <c r="C291" s="178" t="s">
        <v>1061</v>
      </c>
      <c r="D291" s="178" t="s">
        <v>897</v>
      </c>
      <c r="E291" s="178" t="s">
        <v>476</v>
      </c>
      <c r="F291" s="179" t="n">
        <v>3999</v>
      </c>
      <c r="G291" s="179" t="n">
        <v>0</v>
      </c>
      <c r="H291" s="179" t="n">
        <v>3999</v>
      </c>
      <c r="I291" s="178" t="s">
        <v>900</v>
      </c>
    </row>
    <row r="292" customFormat="false" ht="12" hidden="false" customHeight="false" outlineLevel="0" collapsed="false">
      <c r="A292" s="180" t="n">
        <v>45566</v>
      </c>
      <c r="B292" s="181" t="n">
        <v>45594</v>
      </c>
      <c r="C292" s="178" t="s">
        <v>1062</v>
      </c>
      <c r="D292" s="178" t="s">
        <v>897</v>
      </c>
      <c r="E292" s="178" t="s">
        <v>898</v>
      </c>
      <c r="F292" s="179" t="n">
        <v>8657</v>
      </c>
      <c r="G292" s="179" t="n">
        <v>0</v>
      </c>
      <c r="H292" s="179" t="n">
        <v>8657</v>
      </c>
      <c r="I292" s="178" t="s">
        <v>898</v>
      </c>
    </row>
    <row r="293" customFormat="false" ht="12" hidden="false" customHeight="false" outlineLevel="0" collapsed="false">
      <c r="A293" s="180" t="n">
        <v>45566</v>
      </c>
      <c r="B293" s="181" t="n">
        <v>45594</v>
      </c>
      <c r="C293" s="178" t="s">
        <v>1063</v>
      </c>
      <c r="D293" s="178" t="s">
        <v>897</v>
      </c>
      <c r="E293" s="178" t="s">
        <v>284</v>
      </c>
      <c r="F293" s="179" t="n">
        <v>8000</v>
      </c>
      <c r="G293" s="179" t="n">
        <v>0</v>
      </c>
      <c r="H293" s="179" t="n">
        <v>8000</v>
      </c>
      <c r="I293" s="178" t="s">
        <v>900</v>
      </c>
    </row>
    <row r="294" customFormat="false" ht="12" hidden="false" customHeight="false" outlineLevel="0" collapsed="false">
      <c r="A294" s="180" t="n">
        <v>45566</v>
      </c>
      <c r="B294" s="181" t="n">
        <v>45595</v>
      </c>
      <c r="C294" s="178" t="s">
        <v>1064</v>
      </c>
      <c r="D294" s="178" t="s">
        <v>897</v>
      </c>
      <c r="E294" s="178" t="s">
        <v>898</v>
      </c>
      <c r="F294" s="179" t="n">
        <v>2392</v>
      </c>
      <c r="G294" s="179" t="n">
        <v>0</v>
      </c>
      <c r="H294" s="179" t="n">
        <v>2392</v>
      </c>
      <c r="I294" s="178" t="s">
        <v>898</v>
      </c>
    </row>
    <row r="295" customFormat="false" ht="12" hidden="false" customHeight="false" outlineLevel="0" collapsed="false">
      <c r="A295" s="180" t="n">
        <v>45566</v>
      </c>
      <c r="B295" s="181" t="n">
        <v>45595</v>
      </c>
      <c r="C295" s="178" t="s">
        <v>1065</v>
      </c>
      <c r="D295" s="178" t="s">
        <v>897</v>
      </c>
      <c r="E295" s="178" t="s">
        <v>898</v>
      </c>
      <c r="F295" s="179" t="n">
        <v>9267</v>
      </c>
      <c r="G295" s="179" t="n">
        <v>0</v>
      </c>
      <c r="H295" s="179" t="n">
        <v>9267</v>
      </c>
      <c r="I295" s="178" t="s">
        <v>898</v>
      </c>
    </row>
    <row r="296" customFormat="false" ht="12" hidden="false" customHeight="false" outlineLevel="0" collapsed="false">
      <c r="A296" s="180" t="n">
        <v>45566</v>
      </c>
      <c r="B296" s="181" t="n">
        <v>45595</v>
      </c>
      <c r="C296" s="178" t="s">
        <v>1066</v>
      </c>
      <c r="D296" s="178" t="s">
        <v>897</v>
      </c>
      <c r="E296" s="178" t="s">
        <v>412</v>
      </c>
      <c r="F296" s="179" t="n">
        <v>3999</v>
      </c>
      <c r="G296" s="179" t="n">
        <v>0</v>
      </c>
      <c r="H296" s="179" t="n">
        <v>3999</v>
      </c>
      <c r="I296" s="178" t="s">
        <v>900</v>
      </c>
    </row>
    <row r="297" customFormat="false" ht="12" hidden="false" customHeight="false" outlineLevel="0" collapsed="false">
      <c r="A297" s="180" t="n">
        <v>45597</v>
      </c>
      <c r="B297" s="181" t="n">
        <v>45603</v>
      </c>
      <c r="C297" s="178" t="s">
        <v>1067</v>
      </c>
      <c r="D297" s="178" t="s">
        <v>897</v>
      </c>
      <c r="E297" s="178" t="s">
        <v>898</v>
      </c>
      <c r="F297" s="179" t="n">
        <v>796</v>
      </c>
      <c r="G297" s="179" t="n">
        <v>0</v>
      </c>
      <c r="H297" s="179" t="n">
        <v>796</v>
      </c>
      <c r="I297" s="178" t="s">
        <v>898</v>
      </c>
    </row>
    <row r="298" customFormat="false" ht="12" hidden="false" customHeight="false" outlineLevel="0" collapsed="false">
      <c r="A298" s="180" t="n">
        <v>45597</v>
      </c>
      <c r="B298" s="181" t="n">
        <v>45603</v>
      </c>
      <c r="C298" s="178" t="s">
        <v>1068</v>
      </c>
      <c r="D298" s="178" t="s">
        <v>897</v>
      </c>
      <c r="E298" s="178" t="s">
        <v>476</v>
      </c>
      <c r="F298" s="179" t="n">
        <v>3999</v>
      </c>
      <c r="G298" s="179" t="n">
        <v>0</v>
      </c>
      <c r="H298" s="179" t="n">
        <v>3999</v>
      </c>
      <c r="I298" s="178" t="s">
        <v>900</v>
      </c>
    </row>
    <row r="299" customFormat="false" ht="12" hidden="false" customHeight="false" outlineLevel="0" collapsed="false">
      <c r="A299" s="180" t="n">
        <v>45597</v>
      </c>
      <c r="B299" s="181" t="n">
        <v>45605</v>
      </c>
      <c r="C299" s="178" t="s">
        <v>1069</v>
      </c>
      <c r="D299" s="178" t="s">
        <v>897</v>
      </c>
      <c r="E299" s="178" t="s">
        <v>898</v>
      </c>
      <c r="F299" s="179" t="n">
        <v>9069</v>
      </c>
      <c r="G299" s="179" t="n">
        <v>0</v>
      </c>
      <c r="H299" s="179" t="n">
        <v>9069</v>
      </c>
      <c r="I299" s="178" t="s">
        <v>898</v>
      </c>
    </row>
    <row r="300" customFormat="false" ht="12" hidden="false" customHeight="false" outlineLevel="0" collapsed="false">
      <c r="A300" s="180" t="n">
        <v>45597</v>
      </c>
      <c r="B300" s="181" t="n">
        <v>45605</v>
      </c>
      <c r="C300" s="178" t="s">
        <v>417</v>
      </c>
      <c r="D300" s="178" t="s">
        <v>897</v>
      </c>
      <c r="E300" s="178" t="s">
        <v>416</v>
      </c>
      <c r="F300" s="179" t="n">
        <v>120000</v>
      </c>
      <c r="G300" s="179" t="n">
        <v>0</v>
      </c>
      <c r="H300" s="179" t="n">
        <v>120000</v>
      </c>
      <c r="I300" s="178" t="s">
        <v>900</v>
      </c>
    </row>
    <row r="301" customFormat="false" ht="12" hidden="false" customHeight="false" outlineLevel="0" collapsed="false">
      <c r="A301" s="180" t="n">
        <v>45597</v>
      </c>
      <c r="B301" s="181" t="n">
        <v>45615</v>
      </c>
      <c r="C301" s="178" t="s">
        <v>499</v>
      </c>
      <c r="D301" s="178" t="s">
        <v>897</v>
      </c>
      <c r="E301" s="178" t="s">
        <v>498</v>
      </c>
      <c r="F301" s="179" t="n">
        <v>4999</v>
      </c>
      <c r="G301" s="179" t="n">
        <v>0</v>
      </c>
      <c r="H301" s="179" t="n">
        <v>4999</v>
      </c>
      <c r="I301" s="178" t="s">
        <v>900</v>
      </c>
    </row>
    <row r="302" customFormat="false" ht="12" hidden="false" customHeight="false" outlineLevel="0" collapsed="false">
      <c r="A302" s="180" t="n">
        <v>45597</v>
      </c>
      <c r="B302" s="181" t="n">
        <v>45617</v>
      </c>
      <c r="C302" s="178" t="s">
        <v>1070</v>
      </c>
      <c r="D302" s="178" t="s">
        <v>897</v>
      </c>
      <c r="E302" s="178" t="s">
        <v>898</v>
      </c>
      <c r="F302" s="179" t="n">
        <v>1394</v>
      </c>
      <c r="G302" s="179" t="n">
        <v>0</v>
      </c>
      <c r="H302" s="179" t="n">
        <v>1394</v>
      </c>
      <c r="I302" s="178" t="s">
        <v>898</v>
      </c>
    </row>
    <row r="303" customFormat="false" ht="12" hidden="false" customHeight="false" outlineLevel="0" collapsed="false">
      <c r="A303" s="180" t="n">
        <v>45597</v>
      </c>
      <c r="B303" s="181" t="n">
        <v>45617</v>
      </c>
      <c r="C303" s="178" t="s">
        <v>1071</v>
      </c>
      <c r="D303" s="178" t="s">
        <v>897</v>
      </c>
      <c r="E303" s="178" t="s">
        <v>501</v>
      </c>
      <c r="F303" s="179" t="n">
        <v>15000</v>
      </c>
      <c r="G303" s="179" t="n">
        <v>0</v>
      </c>
      <c r="H303" s="179" t="n">
        <v>15000</v>
      </c>
      <c r="I303" s="178" t="s">
        <v>900</v>
      </c>
    </row>
    <row r="304" customFormat="false" ht="12" hidden="false" customHeight="false" outlineLevel="0" collapsed="false">
      <c r="A304" s="180" t="n">
        <v>45597</v>
      </c>
      <c r="B304" s="181" t="n">
        <v>45618</v>
      </c>
      <c r="C304" s="178" t="s">
        <v>1072</v>
      </c>
      <c r="D304" s="178" t="s">
        <v>897</v>
      </c>
      <c r="E304" s="178" t="s">
        <v>278</v>
      </c>
      <c r="F304" s="179" t="n">
        <v>3999</v>
      </c>
      <c r="G304" s="179" t="n">
        <v>0</v>
      </c>
      <c r="H304" s="179" t="n">
        <v>3999</v>
      </c>
      <c r="I304" s="178" t="s">
        <v>900</v>
      </c>
    </row>
    <row r="305" customFormat="false" ht="12" hidden="false" customHeight="false" outlineLevel="0" collapsed="false">
      <c r="A305" s="180" t="n">
        <v>45597</v>
      </c>
      <c r="B305" s="181" t="n">
        <v>45624</v>
      </c>
      <c r="C305" s="178" t="s">
        <v>1073</v>
      </c>
      <c r="D305" s="178" t="s">
        <v>897</v>
      </c>
      <c r="E305" s="178" t="s">
        <v>898</v>
      </c>
      <c r="F305" s="179" t="n">
        <v>7374</v>
      </c>
      <c r="G305" s="179" t="n">
        <v>0</v>
      </c>
      <c r="H305" s="179" t="n">
        <v>7374</v>
      </c>
      <c r="I305" s="178" t="s">
        <v>898</v>
      </c>
    </row>
    <row r="306" customFormat="false" ht="12" hidden="false" customHeight="false" outlineLevel="0" collapsed="false">
      <c r="A306" s="180" t="n">
        <v>45597</v>
      </c>
      <c r="B306" s="181" t="n">
        <v>45624</v>
      </c>
      <c r="C306" s="178" t="s">
        <v>1074</v>
      </c>
      <c r="D306" s="178" t="s">
        <v>897</v>
      </c>
      <c r="E306" s="178" t="s">
        <v>943</v>
      </c>
      <c r="F306" s="179" t="n">
        <v>2499</v>
      </c>
      <c r="G306" s="179" t="n">
        <v>0</v>
      </c>
      <c r="H306" s="179" t="n">
        <v>2499</v>
      </c>
      <c r="I306" s="178" t="s">
        <v>900</v>
      </c>
    </row>
    <row r="307" customFormat="false" ht="12" hidden="false" customHeight="false" outlineLevel="0" collapsed="false">
      <c r="A307" s="180" t="n">
        <v>45597</v>
      </c>
      <c r="B307" s="181" t="n">
        <v>45625</v>
      </c>
      <c r="C307" s="178" t="s">
        <v>1075</v>
      </c>
      <c r="D307" s="178" t="s">
        <v>897</v>
      </c>
      <c r="E307" s="178" t="s">
        <v>284</v>
      </c>
      <c r="F307" s="179" t="n">
        <v>8000</v>
      </c>
      <c r="G307" s="179" t="n">
        <v>0</v>
      </c>
      <c r="H307" s="179" t="n">
        <v>8000</v>
      </c>
      <c r="I307" s="178" t="s">
        <v>900</v>
      </c>
    </row>
    <row r="308" customFormat="false" ht="12" hidden="false" customHeight="false" outlineLevel="0" collapsed="false">
      <c r="A308" s="180" t="n">
        <v>45597</v>
      </c>
      <c r="B308" s="181" t="n">
        <v>45626</v>
      </c>
      <c r="C308" s="178" t="s">
        <v>1076</v>
      </c>
      <c r="D308" s="178" t="s">
        <v>897</v>
      </c>
      <c r="E308" s="178" t="s">
        <v>898</v>
      </c>
      <c r="F308" s="179" t="n">
        <v>2293</v>
      </c>
      <c r="G308" s="179" t="n">
        <v>0</v>
      </c>
      <c r="H308" s="179" t="n">
        <v>2293</v>
      </c>
      <c r="I308" s="178" t="s">
        <v>898</v>
      </c>
    </row>
    <row r="309" customFormat="false" ht="12" hidden="false" customHeight="false" outlineLevel="0" collapsed="false">
      <c r="A309" s="180" t="n">
        <v>45809</v>
      </c>
      <c r="B309" s="181" t="n">
        <v>45809</v>
      </c>
      <c r="C309" s="181" t="s">
        <v>508</v>
      </c>
      <c r="D309" s="181" t="s">
        <v>947</v>
      </c>
      <c r="E309" s="181" t="s">
        <v>125</v>
      </c>
      <c r="F309" s="179" t="n">
        <v>38000</v>
      </c>
      <c r="G309" s="179" t="n">
        <v>6840</v>
      </c>
      <c r="H309" s="179" t="n">
        <f aca="false">F309+G309</f>
        <v>44840</v>
      </c>
      <c r="I309" s="178" t="s">
        <v>900</v>
      </c>
      <c r="J309" s="181" t="str">
        <f aca="false">VLOOKUP(C309,'FY 25-26-Accrual'!$D$192:$D$233,1,0)</f>
        <v>INV-25-26-000161</v>
      </c>
    </row>
    <row r="310" customFormat="false" ht="12" hidden="false" customHeight="false" outlineLevel="0" collapsed="false">
      <c r="A310" s="180" t="n">
        <v>45809</v>
      </c>
      <c r="B310" s="181" t="n">
        <v>45810</v>
      </c>
      <c r="C310" s="181" t="s">
        <v>1077</v>
      </c>
      <c r="D310" s="181" t="s">
        <v>897</v>
      </c>
      <c r="E310" s="181" t="s">
        <v>898</v>
      </c>
      <c r="F310" s="179" t="n">
        <v>6772.88</v>
      </c>
      <c r="G310" s="179" t="n">
        <v>1219.1184</v>
      </c>
      <c r="H310" s="179" t="n">
        <f aca="false">F310+G310</f>
        <v>7991.9984</v>
      </c>
      <c r="I310" s="178" t="s">
        <v>898</v>
      </c>
      <c r="J310" s="181" t="e">
        <f aca="false">VLOOKUP(C310,'FY 25-26-Accrual'!$D$192:$D$233,1,0)</f>
        <v>#N/A</v>
      </c>
    </row>
    <row r="311" customFormat="false" ht="12" hidden="false" customHeight="false" outlineLevel="0" collapsed="false">
      <c r="A311" s="180" t="n">
        <v>45809</v>
      </c>
      <c r="B311" s="181" t="n">
        <v>45810</v>
      </c>
      <c r="C311" s="181" t="s">
        <v>510</v>
      </c>
      <c r="D311" s="181" t="s">
        <v>897</v>
      </c>
      <c r="E311" s="181" t="s">
        <v>509</v>
      </c>
      <c r="F311" s="179" t="n">
        <v>20000</v>
      </c>
      <c r="G311" s="179" t="n">
        <v>3600</v>
      </c>
      <c r="H311" s="179" t="n">
        <f aca="false">F311+G311</f>
        <v>23600</v>
      </c>
      <c r="I311" s="178" t="s">
        <v>900</v>
      </c>
      <c r="J311" s="181" t="str">
        <f aca="false">VLOOKUP(C311,'FY 25-26-Accrual'!$D$192:$D$233,1,0)</f>
        <v>INV-25-26-000163</v>
      </c>
    </row>
    <row r="312" customFormat="false" ht="12" hidden="false" customHeight="false" outlineLevel="0" collapsed="false">
      <c r="A312" s="180" t="n">
        <v>45809</v>
      </c>
      <c r="B312" s="181" t="n">
        <v>45810</v>
      </c>
      <c r="C312" s="181" t="s">
        <v>512</v>
      </c>
      <c r="D312" s="181" t="s">
        <v>897</v>
      </c>
      <c r="E312" s="181" t="s">
        <v>511</v>
      </c>
      <c r="F312" s="179" t="n">
        <v>20000</v>
      </c>
      <c r="G312" s="179" t="n">
        <v>3600</v>
      </c>
      <c r="H312" s="179" t="n">
        <f aca="false">F312+G312</f>
        <v>23600</v>
      </c>
      <c r="I312" s="178" t="s">
        <v>900</v>
      </c>
      <c r="J312" s="181" t="str">
        <f aca="false">VLOOKUP(C312,'FY 25-26-Accrual'!$D$192:$D$233,1,0)</f>
        <v>INV-25-26-000164</v>
      </c>
    </row>
    <row r="313" customFormat="false" ht="12" hidden="false" customHeight="false" outlineLevel="0" collapsed="false">
      <c r="A313" s="180" t="n">
        <v>45809</v>
      </c>
      <c r="B313" s="181" t="n">
        <v>45811</v>
      </c>
      <c r="C313" s="181" t="s">
        <v>1078</v>
      </c>
      <c r="D313" s="181" t="s">
        <v>947</v>
      </c>
      <c r="E313" s="181" t="s">
        <v>587</v>
      </c>
      <c r="F313" s="179" t="n">
        <v>10000</v>
      </c>
      <c r="G313" s="179" t="n">
        <v>1800</v>
      </c>
      <c r="H313" s="179" t="n">
        <f aca="false">F313+G313</f>
        <v>11800</v>
      </c>
      <c r="I313" s="178" t="s">
        <v>900</v>
      </c>
      <c r="J313" s="181" t="str">
        <f aca="false">'FY 25-26-Accrual'!$D$234</f>
        <v>INV-25-26-000165 &amp; CN-00011</v>
      </c>
    </row>
    <row r="314" customFormat="false" ht="12" hidden="false" customHeight="false" outlineLevel="0" collapsed="false">
      <c r="A314" s="180" t="n">
        <v>45809</v>
      </c>
      <c r="B314" s="181" t="n">
        <v>45812</v>
      </c>
      <c r="C314" s="181" t="s">
        <v>513</v>
      </c>
      <c r="D314" s="181" t="s">
        <v>897</v>
      </c>
      <c r="E314" s="181" t="s">
        <v>288</v>
      </c>
      <c r="F314" s="179" t="n">
        <v>15000</v>
      </c>
      <c r="G314" s="179" t="n">
        <v>2700</v>
      </c>
      <c r="H314" s="179" t="n">
        <f aca="false">F314+G314</f>
        <v>17700</v>
      </c>
      <c r="I314" s="178" t="s">
        <v>900</v>
      </c>
      <c r="J314" s="181" t="str">
        <f aca="false">VLOOKUP(C314,'FY 25-26-Accrual'!$D$192:$D$233,1,0)</f>
        <v>INV-25-26-000166</v>
      </c>
    </row>
    <row r="315" customFormat="false" ht="12" hidden="false" customHeight="false" outlineLevel="0" collapsed="false">
      <c r="A315" s="180" t="n">
        <v>45809</v>
      </c>
      <c r="B315" s="181" t="n">
        <v>45812</v>
      </c>
      <c r="C315" s="181" t="s">
        <v>515</v>
      </c>
      <c r="D315" s="181" t="s">
        <v>947</v>
      </c>
      <c r="E315" s="181" t="s">
        <v>514</v>
      </c>
      <c r="F315" s="179" t="n">
        <v>7000</v>
      </c>
      <c r="G315" s="179" t="n">
        <v>1260</v>
      </c>
      <c r="H315" s="179" t="n">
        <f aca="false">F315+G315</f>
        <v>8260</v>
      </c>
      <c r="I315" s="178" t="s">
        <v>900</v>
      </c>
      <c r="J315" s="181" t="str">
        <f aca="false">VLOOKUP(C315,'FY 25-26-Accrual'!$D$192:$D$233,1,0)</f>
        <v>INV-25-26-000167</v>
      </c>
    </row>
    <row r="316" customFormat="false" ht="12" hidden="false" customHeight="false" outlineLevel="0" collapsed="false">
      <c r="A316" s="180" t="n">
        <v>45809</v>
      </c>
      <c r="B316" s="181" t="n">
        <v>45812</v>
      </c>
      <c r="C316" s="181" t="s">
        <v>517</v>
      </c>
      <c r="D316" s="181" t="s">
        <v>897</v>
      </c>
      <c r="E316" s="181" t="s">
        <v>516</v>
      </c>
      <c r="F316" s="179" t="n">
        <v>216000</v>
      </c>
      <c r="G316" s="179" t="n">
        <v>38880</v>
      </c>
      <c r="H316" s="179" t="n">
        <f aca="false">F316+G316</f>
        <v>254880</v>
      </c>
      <c r="I316" s="178" t="s">
        <v>900</v>
      </c>
      <c r="J316" s="181" t="str">
        <f aca="false">VLOOKUP(C316,'FY 25-26-Accrual'!$D$192:$D$233,1,0)</f>
        <v>INV-25-26-000168</v>
      </c>
    </row>
    <row r="317" customFormat="false" ht="12" hidden="false" customHeight="false" outlineLevel="0" collapsed="false">
      <c r="A317" s="180" t="n">
        <v>45809</v>
      </c>
      <c r="B317" s="181" t="n">
        <v>45812</v>
      </c>
      <c r="C317" s="181" t="s">
        <v>519</v>
      </c>
      <c r="D317" s="181" t="s">
        <v>897</v>
      </c>
      <c r="E317" s="181" t="s">
        <v>518</v>
      </c>
      <c r="F317" s="179" t="n">
        <v>8474.58</v>
      </c>
      <c r="G317" s="179" t="n">
        <v>1525.4244</v>
      </c>
      <c r="H317" s="179" t="n">
        <f aca="false">F317+G317</f>
        <v>10000.0044</v>
      </c>
      <c r="I317" s="178" t="s">
        <v>900</v>
      </c>
      <c r="J317" s="181" t="str">
        <f aca="false">VLOOKUP(C317,'FY 25-26-Accrual'!$D$192:$D$233,1,0)</f>
        <v>INV-25-26-000169</v>
      </c>
    </row>
    <row r="318" customFormat="false" ht="12" hidden="false" customHeight="false" outlineLevel="0" collapsed="false">
      <c r="A318" s="180" t="n">
        <v>45809</v>
      </c>
      <c r="B318" s="181" t="n">
        <v>45813</v>
      </c>
      <c r="C318" s="181" t="s">
        <v>1079</v>
      </c>
      <c r="D318" s="181" t="s">
        <v>897</v>
      </c>
      <c r="E318" s="181" t="s">
        <v>898</v>
      </c>
      <c r="F318" s="179" t="n">
        <v>17781.4</v>
      </c>
      <c r="G318" s="179" t="n">
        <v>3200.652</v>
      </c>
      <c r="H318" s="179" t="n">
        <f aca="false">F318+G318</f>
        <v>20982.052</v>
      </c>
      <c r="I318" s="178" t="s">
        <v>898</v>
      </c>
      <c r="J318" s="181" t="e">
        <f aca="false">VLOOKUP(C318,'FY 25-26-Accrual'!$D$192:$D$233,1,0)</f>
        <v>#N/A</v>
      </c>
    </row>
    <row r="319" customFormat="false" ht="12" hidden="false" customHeight="false" outlineLevel="0" collapsed="false">
      <c r="A319" s="180" t="n">
        <v>45809</v>
      </c>
      <c r="B319" s="181" t="n">
        <v>45814</v>
      </c>
      <c r="C319" s="181" t="s">
        <v>1080</v>
      </c>
      <c r="D319" s="181" t="s">
        <v>897</v>
      </c>
      <c r="E319" s="181" t="s">
        <v>299</v>
      </c>
      <c r="F319" s="179" t="n">
        <v>10000</v>
      </c>
      <c r="G319" s="179" t="n">
        <v>1800</v>
      </c>
      <c r="H319" s="179" t="n">
        <f aca="false">F319+G319</f>
        <v>11800</v>
      </c>
      <c r="I319" s="178" t="s">
        <v>900</v>
      </c>
      <c r="J319" s="181" t="str">
        <f aca="false">'FY 25-26-Accrual'!$D$85</f>
        <v>INV-25-26-000105,0171, 246, 332,415, CN-00029, 496</v>
      </c>
    </row>
    <row r="320" customFormat="false" ht="12" hidden="false" customHeight="false" outlineLevel="0" collapsed="false">
      <c r="A320" s="180" t="n">
        <v>45809</v>
      </c>
      <c r="B320" s="181" t="n">
        <v>45814</v>
      </c>
      <c r="C320" s="181" t="s">
        <v>521</v>
      </c>
      <c r="D320" s="181" t="s">
        <v>897</v>
      </c>
      <c r="E320" s="181" t="s">
        <v>520</v>
      </c>
      <c r="F320" s="179" t="n">
        <v>63000</v>
      </c>
      <c r="G320" s="179" t="n">
        <v>11340</v>
      </c>
      <c r="H320" s="179" t="n">
        <f aca="false">F320+G320</f>
        <v>74340</v>
      </c>
      <c r="I320" s="178" t="s">
        <v>900</v>
      </c>
      <c r="J320" s="181" t="str">
        <f aca="false">VLOOKUP(C320,'FY 25-26-Accrual'!$D$192:$D$233,1,0)</f>
        <v>INV-25-26-000172</v>
      </c>
    </row>
    <row r="321" customFormat="false" ht="12" hidden="false" customHeight="false" outlineLevel="0" collapsed="false">
      <c r="A321" s="180" t="n">
        <v>45809</v>
      </c>
      <c r="B321" s="181" t="n">
        <v>45814</v>
      </c>
      <c r="C321" s="181" t="s">
        <v>523</v>
      </c>
      <c r="D321" s="181" t="s">
        <v>897</v>
      </c>
      <c r="E321" s="181" t="s">
        <v>522</v>
      </c>
      <c r="F321" s="179" t="n">
        <v>8474.58</v>
      </c>
      <c r="G321" s="179" t="n">
        <v>1525.4244</v>
      </c>
      <c r="H321" s="179" t="n">
        <f aca="false">F321+G321</f>
        <v>10000.0044</v>
      </c>
      <c r="I321" s="178" t="s">
        <v>900</v>
      </c>
      <c r="J321" s="181" t="str">
        <f aca="false">VLOOKUP(C321,'FY 25-26-Accrual'!$D$192:$D$233,1,0)</f>
        <v>INV-25-26-000173</v>
      </c>
    </row>
    <row r="322" customFormat="false" ht="12" hidden="false" customHeight="false" outlineLevel="0" collapsed="false">
      <c r="A322" s="180" t="n">
        <v>45809</v>
      </c>
      <c r="B322" s="181" t="n">
        <v>45814</v>
      </c>
      <c r="C322" s="181" t="s">
        <v>525</v>
      </c>
      <c r="D322" s="181" t="s">
        <v>897</v>
      </c>
      <c r="E322" s="181" t="s">
        <v>524</v>
      </c>
      <c r="F322" s="179" t="n">
        <v>7000</v>
      </c>
      <c r="G322" s="179" t="n">
        <v>1260</v>
      </c>
      <c r="H322" s="179" t="n">
        <f aca="false">F322+G322</f>
        <v>8260</v>
      </c>
      <c r="I322" s="178" t="s">
        <v>900</v>
      </c>
      <c r="J322" s="181" t="str">
        <f aca="false">VLOOKUP(C322,'FY 25-26-Accrual'!$D$192:$D$233,1,0)</f>
        <v>INV-25-26-000174</v>
      </c>
    </row>
    <row r="323" customFormat="false" ht="12" hidden="false" customHeight="false" outlineLevel="0" collapsed="false">
      <c r="A323" s="180" t="n">
        <v>45809</v>
      </c>
      <c r="B323" s="181" t="n">
        <v>45814</v>
      </c>
      <c r="C323" s="181" t="s">
        <v>527</v>
      </c>
      <c r="D323" s="181" t="s">
        <v>897</v>
      </c>
      <c r="E323" s="181" t="s">
        <v>526</v>
      </c>
      <c r="F323" s="179" t="n">
        <v>80000</v>
      </c>
      <c r="G323" s="179" t="n">
        <v>14400</v>
      </c>
      <c r="H323" s="179" t="n">
        <f aca="false">F323+G323</f>
        <v>94400</v>
      </c>
      <c r="I323" s="178" t="s">
        <v>900</v>
      </c>
      <c r="J323" s="181" t="str">
        <f aca="false">VLOOKUP(C323,'FY 25-26-Accrual'!$D$192:$D$233,1,0)</f>
        <v>INV-25-26-000175</v>
      </c>
    </row>
    <row r="324" customFormat="false" ht="12" hidden="false" customHeight="false" outlineLevel="0" collapsed="false">
      <c r="A324" s="180" t="n">
        <v>45809</v>
      </c>
      <c r="B324" s="181" t="n">
        <v>45814</v>
      </c>
      <c r="C324" s="181" t="s">
        <v>529</v>
      </c>
      <c r="D324" s="181" t="s">
        <v>897</v>
      </c>
      <c r="E324" s="181" t="s">
        <v>528</v>
      </c>
      <c r="F324" s="179" t="n">
        <v>20000</v>
      </c>
      <c r="G324" s="179" t="n">
        <v>3600</v>
      </c>
      <c r="H324" s="179" t="n">
        <f aca="false">F324+G324</f>
        <v>23600</v>
      </c>
      <c r="I324" s="178" t="s">
        <v>900</v>
      </c>
      <c r="J324" s="181" t="str">
        <f aca="false">VLOOKUP(C324,'FY 25-26-Accrual'!$D$192:$D$233,1,0)</f>
        <v>INV-25-26-000176</v>
      </c>
    </row>
    <row r="325" customFormat="false" ht="12" hidden="false" customHeight="false" outlineLevel="0" collapsed="false">
      <c r="A325" s="180" t="n">
        <v>45809</v>
      </c>
      <c r="B325" s="181" t="n">
        <v>45815</v>
      </c>
      <c r="C325" s="181" t="s">
        <v>1081</v>
      </c>
      <c r="D325" s="181" t="s">
        <v>897</v>
      </c>
      <c r="E325" s="181" t="s">
        <v>136</v>
      </c>
      <c r="F325" s="179" t="n">
        <v>5000</v>
      </c>
      <c r="G325" s="179" t="n">
        <v>900</v>
      </c>
      <c r="H325" s="179" t="n">
        <f aca="false">F325+G325</f>
        <v>5900</v>
      </c>
      <c r="I325" s="178" t="s">
        <v>900</v>
      </c>
      <c r="J325" s="181" t="str">
        <f aca="false">'FY 25-26-Accrual'!$D$11</f>
        <v>INV-25-26-000009,00107,00177</v>
      </c>
    </row>
    <row r="326" customFormat="false" ht="12" hidden="false" customHeight="false" outlineLevel="0" collapsed="false">
      <c r="A326" s="180" t="n">
        <v>45809</v>
      </c>
      <c r="B326" s="181" t="n">
        <v>45815</v>
      </c>
      <c r="C326" s="181" t="s">
        <v>1082</v>
      </c>
      <c r="D326" s="181" t="s">
        <v>947</v>
      </c>
      <c r="E326" s="181" t="s">
        <v>162</v>
      </c>
      <c r="F326" s="179" t="n">
        <v>16949.15</v>
      </c>
      <c r="G326" s="179" t="n">
        <v>3050.847</v>
      </c>
      <c r="H326" s="179" t="n">
        <f aca="false">F326+G326</f>
        <v>19999.997</v>
      </c>
      <c r="I326" s="178" t="s">
        <v>900</v>
      </c>
      <c r="J326" s="181" t="str">
        <f aca="false">'FY 25-26-Accrual'!$D$22</f>
        <v>INV-000085, INV-25-26-000021,INV-25-26-000022, 148,178, 248, 337, 416, 500</v>
      </c>
    </row>
    <row r="327" customFormat="false" ht="12" hidden="false" customHeight="false" outlineLevel="0" collapsed="false">
      <c r="A327" s="180" t="n">
        <v>45809</v>
      </c>
      <c r="B327" s="181" t="n">
        <v>45815</v>
      </c>
      <c r="C327" s="181" t="s">
        <v>1083</v>
      </c>
      <c r="D327" s="181" t="s">
        <v>947</v>
      </c>
      <c r="E327" s="181" t="s">
        <v>152</v>
      </c>
      <c r="F327" s="179" t="n">
        <v>10000</v>
      </c>
      <c r="G327" s="179" t="n">
        <v>1800</v>
      </c>
      <c r="H327" s="179" t="n">
        <f aca="false">F327+G327</f>
        <v>11800</v>
      </c>
      <c r="I327" s="178" t="s">
        <v>900</v>
      </c>
      <c r="J327" s="181" t="str">
        <f aca="false">'FY 25-26-Accrual'!$D$18</f>
        <v>INV-000111, INV-25-26-000016, 0109</v>
      </c>
    </row>
    <row r="328" customFormat="false" ht="12" hidden="false" customHeight="false" outlineLevel="0" collapsed="false">
      <c r="A328" s="180" t="n">
        <v>45809</v>
      </c>
      <c r="B328" s="181" t="n">
        <v>45817</v>
      </c>
      <c r="C328" s="181" t="s">
        <v>1084</v>
      </c>
      <c r="D328" s="181" t="s">
        <v>897</v>
      </c>
      <c r="E328" s="181" t="s">
        <v>278</v>
      </c>
      <c r="F328" s="179" t="n">
        <v>3388.98</v>
      </c>
      <c r="G328" s="179" t="n">
        <v>610.0164</v>
      </c>
      <c r="H328" s="179" t="n">
        <f aca="false">F328+G328</f>
        <v>3998.9964</v>
      </c>
      <c r="I328" s="178" t="s">
        <v>900</v>
      </c>
      <c r="J328" s="181" t="str">
        <f aca="false">'FY 25-26-Accrual'!$D$76</f>
        <v>40, INV-000088, 0112, INV-25-26-000078, 111,0180, 256, 343, 420, 505</v>
      </c>
    </row>
    <row r="329" customFormat="false" ht="12" hidden="false" customHeight="false" outlineLevel="0" collapsed="false">
      <c r="A329" s="180" t="n">
        <v>45809</v>
      </c>
      <c r="B329" s="181" t="n">
        <v>45817</v>
      </c>
      <c r="C329" s="181" t="s">
        <v>531</v>
      </c>
      <c r="D329" s="181" t="s">
        <v>897</v>
      </c>
      <c r="E329" s="181" t="s">
        <v>530</v>
      </c>
      <c r="F329" s="179" t="n">
        <v>420000</v>
      </c>
      <c r="G329" s="179" t="n">
        <v>75600</v>
      </c>
      <c r="H329" s="179" t="n">
        <f aca="false">F329+G329</f>
        <v>495600</v>
      </c>
      <c r="I329" s="178" t="s">
        <v>900</v>
      </c>
      <c r="J329" s="181" t="str">
        <f aca="false">VLOOKUP(C329,'FY 25-26-Accrual'!$D$192:$D$233,1,0)</f>
        <v>INV-25-26-000181</v>
      </c>
    </row>
    <row r="330" customFormat="false" ht="12" hidden="false" customHeight="false" outlineLevel="0" collapsed="false">
      <c r="A330" s="180" t="n">
        <v>45809</v>
      </c>
      <c r="B330" s="181" t="n">
        <v>45817</v>
      </c>
      <c r="C330" s="181" t="s">
        <v>533</v>
      </c>
      <c r="D330" s="181" t="s">
        <v>947</v>
      </c>
      <c r="E330" s="181" t="s">
        <v>532</v>
      </c>
      <c r="F330" s="179" t="n">
        <v>15000</v>
      </c>
      <c r="G330" s="179" t="n">
        <v>2700</v>
      </c>
      <c r="H330" s="179" t="n">
        <f aca="false">F330+G330</f>
        <v>17700</v>
      </c>
      <c r="I330" s="178" t="s">
        <v>900</v>
      </c>
      <c r="J330" s="181" t="str">
        <f aca="false">VLOOKUP(C330,'FY 25-26-Accrual'!$D$192:$D$233,1,0)</f>
        <v>INV-25-26-000182</v>
      </c>
    </row>
    <row r="331" customFormat="false" ht="12" hidden="false" customHeight="false" outlineLevel="0" collapsed="false">
      <c r="A331" s="180" t="n">
        <v>45809</v>
      </c>
      <c r="B331" s="181" t="n">
        <v>45817</v>
      </c>
      <c r="C331" s="181" t="s">
        <v>1085</v>
      </c>
      <c r="D331" s="181" t="s">
        <v>897</v>
      </c>
      <c r="E331" s="181" t="s">
        <v>914</v>
      </c>
      <c r="F331" s="179" t="n">
        <v>31271.19</v>
      </c>
      <c r="G331" s="179" t="n">
        <v>5628.8142</v>
      </c>
      <c r="H331" s="179" t="n">
        <f aca="false">F331+G331</f>
        <v>36900.0042</v>
      </c>
      <c r="I331" s="178" t="s">
        <v>900</v>
      </c>
      <c r="J331" s="181" t="str">
        <f aca="false">'FY 25-26-Accrual'!$D$161</f>
        <v>INV-000042, 000183 000218,421</v>
      </c>
    </row>
    <row r="332" customFormat="false" ht="12" hidden="false" customHeight="false" outlineLevel="0" collapsed="false">
      <c r="A332" s="180" t="n">
        <v>45809</v>
      </c>
      <c r="B332" s="181" t="n">
        <v>45818</v>
      </c>
      <c r="C332" s="181" t="s">
        <v>1086</v>
      </c>
      <c r="D332" s="181" t="s">
        <v>897</v>
      </c>
      <c r="E332" s="181" t="s">
        <v>157</v>
      </c>
      <c r="F332" s="179" t="n">
        <v>10000</v>
      </c>
      <c r="G332" s="179" t="n">
        <v>1800</v>
      </c>
      <c r="H332" s="179" t="n">
        <f aca="false">F332+G332</f>
        <v>11800</v>
      </c>
      <c r="I332" s="178" t="s">
        <v>900</v>
      </c>
      <c r="J332" s="181" t="str">
        <f aca="false">'FY 25-26-Accrual'!$D$20</f>
        <v>INV-25-26-000019, 113, 0184, 259</v>
      </c>
    </row>
    <row r="333" customFormat="false" ht="12" hidden="false" customHeight="false" outlineLevel="0" collapsed="false">
      <c r="A333" s="180" t="n">
        <v>45809</v>
      </c>
      <c r="B333" s="181" t="n">
        <v>45818</v>
      </c>
      <c r="C333" s="181" t="s">
        <v>1087</v>
      </c>
      <c r="D333" s="181" t="s">
        <v>897</v>
      </c>
      <c r="E333" s="181" t="s">
        <v>249</v>
      </c>
      <c r="F333" s="179" t="n">
        <v>8729</v>
      </c>
      <c r="G333" s="179" t="n">
        <v>1571.22</v>
      </c>
      <c r="H333" s="179" t="n">
        <f aca="false">F333+G333</f>
        <v>10300.22</v>
      </c>
      <c r="I333" s="178" t="s">
        <v>900</v>
      </c>
      <c r="J333" s="181" t="str">
        <f aca="false">'FY 25-26-Accrual'!$D$63</f>
        <v>INV-25-26-000065,114,0185, 260, 344, 425, 510</v>
      </c>
    </row>
    <row r="334" customFormat="false" ht="12" hidden="false" customHeight="false" outlineLevel="0" collapsed="false">
      <c r="A334" s="180" t="n">
        <v>45809</v>
      </c>
      <c r="B334" s="181" t="n">
        <v>45818</v>
      </c>
      <c r="C334" s="181" t="s">
        <v>535</v>
      </c>
      <c r="D334" s="181" t="s">
        <v>897</v>
      </c>
      <c r="E334" s="181" t="s">
        <v>534</v>
      </c>
      <c r="F334" s="179" t="n">
        <v>108000</v>
      </c>
      <c r="G334" s="179" t="n">
        <v>19440</v>
      </c>
      <c r="H334" s="179" t="n">
        <f aca="false">F334+G334</f>
        <v>127440</v>
      </c>
      <c r="I334" s="178" t="s">
        <v>900</v>
      </c>
      <c r="J334" s="181" t="str">
        <f aca="false">VLOOKUP(C334,'FY 25-26-Accrual'!$D$192:$D$233,1,0)</f>
        <v>INV-25-26-000186</v>
      </c>
    </row>
    <row r="335" customFormat="false" ht="12" hidden="false" customHeight="false" outlineLevel="0" collapsed="false">
      <c r="A335" s="180" t="n">
        <v>45809</v>
      </c>
      <c r="B335" s="181" t="n">
        <v>45818</v>
      </c>
      <c r="C335" s="181" t="s">
        <v>537</v>
      </c>
      <c r="D335" s="181" t="s">
        <v>947</v>
      </c>
      <c r="E335" s="181" t="s">
        <v>1088</v>
      </c>
      <c r="F335" s="179" t="n">
        <v>108000</v>
      </c>
      <c r="G335" s="179" t="n">
        <v>19440</v>
      </c>
      <c r="H335" s="179" t="n">
        <f aca="false">F335+G335</f>
        <v>127440</v>
      </c>
      <c r="I335" s="178" t="s">
        <v>900</v>
      </c>
      <c r="J335" s="181" t="str">
        <f aca="false">VLOOKUP(C335,'FY 25-26-Accrual'!$D$192:$D$233,1,0)</f>
        <v>INV-25-26-000187</v>
      </c>
    </row>
    <row r="336" customFormat="false" ht="12" hidden="false" customHeight="false" outlineLevel="0" collapsed="false">
      <c r="A336" s="180" t="n">
        <v>45809</v>
      </c>
      <c r="B336" s="181" t="n">
        <v>45818</v>
      </c>
      <c r="C336" s="181" t="s">
        <v>538</v>
      </c>
      <c r="D336" s="181" t="s">
        <v>897</v>
      </c>
      <c r="E336" s="181" t="s">
        <v>483</v>
      </c>
      <c r="F336" s="179" t="n">
        <v>30000</v>
      </c>
      <c r="G336" s="179" t="n">
        <v>5400</v>
      </c>
      <c r="H336" s="179" t="n">
        <f aca="false">F336+G336</f>
        <v>35400</v>
      </c>
      <c r="I336" s="178" t="s">
        <v>900</v>
      </c>
      <c r="J336" s="181" t="str">
        <f aca="false">VLOOKUP(C336,'FY 25-26-Accrual'!$D$192:$D$233,1,0)</f>
        <v>INV-25-26-000188</v>
      </c>
    </row>
    <row r="337" customFormat="false" ht="12" hidden="false" customHeight="false" outlineLevel="0" collapsed="false">
      <c r="A337" s="180" t="n">
        <v>45809</v>
      </c>
      <c r="B337" s="181" t="n">
        <v>45819</v>
      </c>
      <c r="C337" s="181" t="s">
        <v>1089</v>
      </c>
      <c r="D337" s="181" t="s">
        <v>897</v>
      </c>
      <c r="E337" s="181" t="s">
        <v>540</v>
      </c>
      <c r="F337" s="179" t="n">
        <v>8474.58</v>
      </c>
      <c r="G337" s="179" t="n">
        <v>1525.4244</v>
      </c>
      <c r="H337" s="179" t="n">
        <f aca="false">F337+G337</f>
        <v>10000.0044</v>
      </c>
      <c r="I337" s="178" t="s">
        <v>900</v>
      </c>
      <c r="J337" s="181" t="e">
        <f aca="false">VLOOKUP(C337,'FY 25-26-Accrual'!$D$192:$D$233,1,0)</f>
        <v>#N/A</v>
      </c>
    </row>
    <row r="338" customFormat="false" ht="12" hidden="false" customHeight="false" outlineLevel="0" collapsed="false">
      <c r="A338" s="180" t="n">
        <v>45809</v>
      </c>
      <c r="B338" s="181" t="n">
        <v>45819</v>
      </c>
      <c r="C338" s="181" t="s">
        <v>543</v>
      </c>
      <c r="D338" s="181" t="s">
        <v>947</v>
      </c>
      <c r="E338" s="181" t="s">
        <v>542</v>
      </c>
      <c r="F338" s="179" t="n">
        <v>50000</v>
      </c>
      <c r="G338" s="179" t="n">
        <v>9000</v>
      </c>
      <c r="H338" s="179" t="n">
        <f aca="false">F338+G338</f>
        <v>59000</v>
      </c>
      <c r="I338" s="178" t="s">
        <v>900</v>
      </c>
      <c r="J338" s="181" t="str">
        <f aca="false">VLOOKUP(C338,'FY 25-26-Accrual'!$D$192:$D$233,1,0)</f>
        <v>INV-25-26-000190</v>
      </c>
    </row>
    <row r="339" customFormat="false" ht="12" hidden="false" customHeight="false" outlineLevel="0" collapsed="false">
      <c r="A339" s="180" t="n">
        <v>45809</v>
      </c>
      <c r="B339" s="181" t="n">
        <v>45820</v>
      </c>
      <c r="C339" s="181" t="s">
        <v>1090</v>
      </c>
      <c r="D339" s="181" t="s">
        <v>897</v>
      </c>
      <c r="E339" s="181" t="s">
        <v>281</v>
      </c>
      <c r="F339" s="179" t="n">
        <v>4237.29</v>
      </c>
      <c r="G339" s="179" t="n">
        <v>762.7122</v>
      </c>
      <c r="H339" s="179" t="n">
        <f aca="false">F339+G339</f>
        <v>5000.0022</v>
      </c>
      <c r="I339" s="178" t="s">
        <v>900</v>
      </c>
      <c r="J339" s="181" t="str">
        <f aca="false">'FY 25-26-Accrual'!$D$77</f>
        <v>INV-000091, 0114, INV-25-26-000079, 115,191, 263,346, 513</v>
      </c>
    </row>
    <row r="340" customFormat="false" ht="12" hidden="false" customHeight="false" outlineLevel="0" collapsed="false">
      <c r="A340" s="180" t="n">
        <v>45809</v>
      </c>
      <c r="B340" s="181" t="n">
        <v>45820</v>
      </c>
      <c r="C340" s="181" t="s">
        <v>544</v>
      </c>
      <c r="D340" s="181" t="s">
        <v>897</v>
      </c>
      <c r="E340" s="181" t="s">
        <v>147</v>
      </c>
      <c r="F340" s="179" t="n">
        <v>21000</v>
      </c>
      <c r="G340" s="179" t="n">
        <v>3780</v>
      </c>
      <c r="H340" s="179" t="n">
        <f aca="false">F340+G340</f>
        <v>24780</v>
      </c>
      <c r="I340" s="178" t="s">
        <v>900</v>
      </c>
      <c r="J340" s="181" t="str">
        <f aca="false">VLOOKUP(C340,'FY 25-26-Accrual'!$D$192:$D$233,1,0)</f>
        <v>INV-25-26-000192</v>
      </c>
    </row>
    <row r="341" customFormat="false" ht="12" hidden="false" customHeight="false" outlineLevel="0" collapsed="false">
      <c r="A341" s="180" t="n">
        <v>45809</v>
      </c>
      <c r="B341" s="181" t="n">
        <v>45820</v>
      </c>
      <c r="C341" s="181" t="s">
        <v>545</v>
      </c>
      <c r="D341" s="181" t="s">
        <v>897</v>
      </c>
      <c r="E341" s="181" t="s">
        <v>147</v>
      </c>
      <c r="F341" s="179" t="n">
        <v>14000</v>
      </c>
      <c r="G341" s="179" t="n">
        <v>2520</v>
      </c>
      <c r="H341" s="179" t="n">
        <f aca="false">F341+G341</f>
        <v>16520</v>
      </c>
      <c r="I341" s="178" t="s">
        <v>900</v>
      </c>
      <c r="J341" s="181" t="str">
        <f aca="false">VLOOKUP(C341,'FY 25-26-Accrual'!$D$192:$D$233,1,0)</f>
        <v>INV-25-26-000193</v>
      </c>
    </row>
    <row r="342" customFormat="false" ht="12" hidden="false" customHeight="false" outlineLevel="0" collapsed="false">
      <c r="A342" s="180" t="n">
        <v>45809</v>
      </c>
      <c r="B342" s="181" t="n">
        <v>45821</v>
      </c>
      <c r="C342" s="181" t="s">
        <v>547</v>
      </c>
      <c r="D342" s="181" t="s">
        <v>897</v>
      </c>
      <c r="E342" s="181" t="s">
        <v>546</v>
      </c>
      <c r="F342" s="179" t="n">
        <v>60000</v>
      </c>
      <c r="G342" s="179" t="n">
        <v>10800</v>
      </c>
      <c r="H342" s="179" t="n">
        <f aca="false">F342+G342</f>
        <v>70800</v>
      </c>
      <c r="I342" s="178" t="s">
        <v>900</v>
      </c>
      <c r="J342" s="181" t="str">
        <f aca="false">VLOOKUP(C342,'FY 25-26-Accrual'!$D$192:$D$233,1,0)</f>
        <v>INV-25-26-000194</v>
      </c>
    </row>
    <row r="343" customFormat="false" ht="12" hidden="false" customHeight="false" outlineLevel="0" collapsed="false">
      <c r="A343" s="180" t="n">
        <v>45809</v>
      </c>
      <c r="B343" s="181" t="n">
        <v>45821</v>
      </c>
      <c r="C343" s="181" t="s">
        <v>548</v>
      </c>
      <c r="D343" s="181" t="s">
        <v>897</v>
      </c>
      <c r="E343" s="181" t="s">
        <v>164</v>
      </c>
      <c r="F343" s="179" t="n">
        <v>70000</v>
      </c>
      <c r="G343" s="179" t="n">
        <v>12600</v>
      </c>
      <c r="H343" s="179" t="n">
        <f aca="false">F343+G343</f>
        <v>82600</v>
      </c>
      <c r="I343" s="178" t="s">
        <v>900</v>
      </c>
      <c r="J343" s="181" t="str">
        <f aca="false">VLOOKUP(C343,'FY 25-26-Accrual'!$D$192:$D$233,1,0)</f>
        <v>INV-25-26-000195</v>
      </c>
    </row>
    <row r="344" customFormat="false" ht="12" hidden="false" customHeight="false" outlineLevel="0" collapsed="false">
      <c r="A344" s="180" t="n">
        <v>45809</v>
      </c>
      <c r="B344" s="181" t="n">
        <v>45821</v>
      </c>
      <c r="C344" s="181" t="s">
        <v>550</v>
      </c>
      <c r="D344" s="181" t="s">
        <v>897</v>
      </c>
      <c r="E344" s="181" t="s">
        <v>549</v>
      </c>
      <c r="F344" s="179" t="n">
        <v>8000</v>
      </c>
      <c r="G344" s="179" t="n">
        <v>1440</v>
      </c>
      <c r="H344" s="179" t="n">
        <f aca="false">F344+G344</f>
        <v>9440</v>
      </c>
      <c r="I344" s="178" t="s">
        <v>900</v>
      </c>
      <c r="J344" s="181" t="str">
        <f aca="false">VLOOKUP(C344,'FY 25-26-Accrual'!$D$192:$D$233,1,0)</f>
        <v>INV-25-26-000196</v>
      </c>
    </row>
    <row r="345" customFormat="false" ht="12" hidden="false" customHeight="false" outlineLevel="0" collapsed="false">
      <c r="A345" s="180" t="n">
        <v>45809</v>
      </c>
      <c r="B345" s="181" t="n">
        <v>45822</v>
      </c>
      <c r="C345" s="181" t="s">
        <v>1091</v>
      </c>
      <c r="D345" s="181" t="s">
        <v>897</v>
      </c>
      <c r="E345" s="181" t="s">
        <v>451</v>
      </c>
      <c r="F345" s="179" t="n">
        <v>10000</v>
      </c>
      <c r="G345" s="179" t="n">
        <v>1800</v>
      </c>
      <c r="H345" s="179" t="n">
        <f aca="false">F345+G345</f>
        <v>11800</v>
      </c>
      <c r="I345" s="178" t="s">
        <v>900</v>
      </c>
      <c r="J345" s="181" t="str">
        <f aca="false">'FY 25-26-Accrual'!$D$162</f>
        <v>INV-000116, INV-25-26-000099,197,264, 347, 430, 514</v>
      </c>
    </row>
    <row r="346" customFormat="false" ht="12" hidden="false" customHeight="false" outlineLevel="0" collapsed="false">
      <c r="A346" s="180" t="n">
        <v>45809</v>
      </c>
      <c r="B346" s="181" t="n">
        <v>45823</v>
      </c>
      <c r="C346" s="181" t="s">
        <v>1092</v>
      </c>
      <c r="D346" s="181" t="s">
        <v>947</v>
      </c>
      <c r="E346" s="181" t="s">
        <v>177</v>
      </c>
      <c r="F346" s="179" t="n">
        <v>150000</v>
      </c>
      <c r="G346" s="179" t="n">
        <v>27000</v>
      </c>
      <c r="H346" s="179" t="n">
        <f aca="false">F346+G346</f>
        <v>177000</v>
      </c>
      <c r="I346" s="178" t="s">
        <v>900</v>
      </c>
      <c r="J346" s="181" t="str">
        <f aca="false">'FY 25-26-Accrual'!$D$29</f>
        <v>INV-25-26-000030, 124, 198,271</v>
      </c>
    </row>
    <row r="347" customFormat="false" ht="12" hidden="false" customHeight="false" outlineLevel="0" collapsed="false">
      <c r="A347" s="180" t="n">
        <v>45809</v>
      </c>
      <c r="B347" s="181" t="n">
        <v>45823</v>
      </c>
      <c r="C347" s="181" t="s">
        <v>1093</v>
      </c>
      <c r="D347" s="181" t="s">
        <v>897</v>
      </c>
      <c r="E347" s="181" t="s">
        <v>184</v>
      </c>
      <c r="F347" s="179" t="n">
        <v>16950</v>
      </c>
      <c r="G347" s="179" t="n">
        <v>3051</v>
      </c>
      <c r="H347" s="179" t="n">
        <f aca="false">F347+G347</f>
        <v>20001</v>
      </c>
      <c r="I347" s="178" t="s">
        <v>900</v>
      </c>
      <c r="J347" s="181" t="str">
        <f aca="false">'FY 25-26-Accrual'!$D$32</f>
        <v>INV-25-26-000034, 125, 199, 272, 358, 528</v>
      </c>
    </row>
    <row r="348" customFormat="false" ht="12" hidden="false" customHeight="false" outlineLevel="0" collapsed="false">
      <c r="A348" s="180" t="n">
        <v>45809</v>
      </c>
      <c r="B348" s="181" t="n">
        <v>45824</v>
      </c>
      <c r="C348" s="181" t="s">
        <v>1094</v>
      </c>
      <c r="D348" s="181" t="s">
        <v>947</v>
      </c>
      <c r="E348" s="181" t="s">
        <v>187</v>
      </c>
      <c r="F348" s="179" t="n">
        <v>10000</v>
      </c>
      <c r="G348" s="179" t="n">
        <v>1800</v>
      </c>
      <c r="H348" s="179" t="n">
        <f aca="false">F348+G348</f>
        <v>11800</v>
      </c>
      <c r="I348" s="178" t="s">
        <v>900</v>
      </c>
      <c r="J348" s="181" t="str">
        <f aca="false">'FY 25-26-Accrual'!$D$33</f>
        <v>INV-25-26-000035, 0127, 0200</v>
      </c>
    </row>
    <row r="349" customFormat="false" ht="12" hidden="false" customHeight="false" outlineLevel="0" collapsed="false">
      <c r="A349" s="180" t="n">
        <v>45809</v>
      </c>
      <c r="B349" s="181" t="n">
        <v>45824</v>
      </c>
      <c r="C349" s="181" t="s">
        <v>552</v>
      </c>
      <c r="D349" s="181" t="s">
        <v>897</v>
      </c>
      <c r="E349" s="181" t="s">
        <v>551</v>
      </c>
      <c r="F349" s="179" t="n">
        <v>36000</v>
      </c>
      <c r="G349" s="179" t="n">
        <v>6480</v>
      </c>
      <c r="H349" s="179" t="n">
        <f aca="false">F349+G349</f>
        <v>42480</v>
      </c>
      <c r="I349" s="178" t="s">
        <v>900</v>
      </c>
      <c r="J349" s="181" t="str">
        <f aca="false">VLOOKUP(C349,'FY 25-26-Accrual'!$D$192:$D$233,1,0)</f>
        <v>INV-25-26-000201</v>
      </c>
    </row>
    <row r="350" customFormat="false" ht="12" hidden="false" customHeight="false" outlineLevel="0" collapsed="false">
      <c r="A350" s="180" t="n">
        <v>45809</v>
      </c>
      <c r="B350" s="181" t="n">
        <v>45825</v>
      </c>
      <c r="C350" s="181" t="s">
        <v>553</v>
      </c>
      <c r="D350" s="181" t="s">
        <v>897</v>
      </c>
      <c r="E350" s="181" t="s">
        <v>181</v>
      </c>
      <c r="F350" s="179" t="n">
        <v>108000</v>
      </c>
      <c r="G350" s="179" t="n">
        <v>19440</v>
      </c>
      <c r="H350" s="179" t="n">
        <f aca="false">F350+G350</f>
        <v>127440</v>
      </c>
      <c r="I350" s="178" t="s">
        <v>900</v>
      </c>
      <c r="J350" s="181" t="str">
        <f aca="false">VLOOKUP(C350,'FY 25-26-Accrual'!$D$192:$D$233,1,0)</f>
        <v>INV-25-26-000202</v>
      </c>
    </row>
    <row r="351" customFormat="false" ht="12" hidden="false" customHeight="false" outlineLevel="0" collapsed="false">
      <c r="A351" s="180" t="n">
        <v>45809</v>
      </c>
      <c r="B351" s="181" t="n">
        <v>45825</v>
      </c>
      <c r="C351" s="181" t="s">
        <v>555</v>
      </c>
      <c r="D351" s="181" t="s">
        <v>947</v>
      </c>
      <c r="E351" s="181" t="s">
        <v>554</v>
      </c>
      <c r="F351" s="179" t="n">
        <v>205000</v>
      </c>
      <c r="G351" s="179" t="n">
        <v>36900</v>
      </c>
      <c r="H351" s="179" t="n">
        <f aca="false">F351+G351</f>
        <v>241900</v>
      </c>
      <c r="I351" s="178" t="s">
        <v>900</v>
      </c>
      <c r="J351" s="181" t="str">
        <f aca="false">VLOOKUP(C351,'FY 25-26-Accrual'!$D$192:$D$233,1,0)</f>
        <v>INV-25-26-000203</v>
      </c>
    </row>
    <row r="352" customFormat="false" ht="12" hidden="false" customHeight="false" outlineLevel="0" collapsed="false">
      <c r="A352" s="180" t="n">
        <v>45809</v>
      </c>
      <c r="B352" s="181" t="n">
        <v>45826</v>
      </c>
      <c r="C352" s="181" t="s">
        <v>557</v>
      </c>
      <c r="D352" s="181" t="s">
        <v>897</v>
      </c>
      <c r="E352" s="181" t="s">
        <v>556</v>
      </c>
      <c r="F352" s="179" t="n">
        <v>7000</v>
      </c>
      <c r="G352" s="179" t="n">
        <v>1260</v>
      </c>
      <c r="H352" s="179" t="n">
        <f aca="false">F352+G352</f>
        <v>8260</v>
      </c>
      <c r="I352" s="178" t="s">
        <v>900</v>
      </c>
      <c r="J352" s="181" t="str">
        <f aca="false">VLOOKUP(C352,'FY 25-26-Accrual'!$D$192:$D$233,1,0)</f>
        <v>INV-25-26-000204</v>
      </c>
    </row>
    <row r="353" customFormat="false" ht="12" hidden="false" customHeight="false" outlineLevel="0" collapsed="false">
      <c r="A353" s="180" t="n">
        <v>45809</v>
      </c>
      <c r="B353" s="181" t="n">
        <v>45827</v>
      </c>
      <c r="C353" s="181" t="s">
        <v>1095</v>
      </c>
      <c r="D353" s="181" t="s">
        <v>897</v>
      </c>
      <c r="E353" s="181" t="s">
        <v>322</v>
      </c>
      <c r="F353" s="179" t="n">
        <v>126000</v>
      </c>
      <c r="G353" s="179" t="n">
        <v>22680</v>
      </c>
      <c r="H353" s="179" t="n">
        <f aca="false">F353+G353</f>
        <v>148680</v>
      </c>
      <c r="I353" s="178" t="s">
        <v>900</v>
      </c>
      <c r="J353" s="181" t="e">
        <f aca="false">VLOOKUP(C353,'FY 25-26-Accrual'!$D$192:$D$233,1,0)</f>
        <v>#N/A</v>
      </c>
    </row>
    <row r="354" customFormat="false" ht="12" hidden="false" customHeight="false" outlineLevel="0" collapsed="false">
      <c r="A354" s="180" t="n">
        <v>45809</v>
      </c>
      <c r="B354" s="181" t="n">
        <v>45827</v>
      </c>
      <c r="C354" s="181" t="s">
        <v>1096</v>
      </c>
      <c r="D354" s="181" t="s">
        <v>947</v>
      </c>
      <c r="E354" s="181" t="s">
        <v>133</v>
      </c>
      <c r="F354" s="179" t="n">
        <v>18000</v>
      </c>
      <c r="G354" s="179" t="n">
        <v>3240</v>
      </c>
      <c r="H354" s="179" t="n">
        <f aca="false">F354+G354</f>
        <v>21240</v>
      </c>
      <c r="I354" s="178" t="s">
        <v>900</v>
      </c>
      <c r="J354" s="181" t="e">
        <f aca="false">VLOOKUP(C354,'FY 25-26-Accrual'!$D$192:$D$233,1,0)</f>
        <v>#N/A</v>
      </c>
    </row>
    <row r="355" customFormat="false" ht="12" hidden="false" customHeight="false" outlineLevel="0" collapsed="false">
      <c r="A355" s="180" t="n">
        <v>45809</v>
      </c>
      <c r="B355" s="181" t="n">
        <v>45827</v>
      </c>
      <c r="C355" s="181" t="s">
        <v>658</v>
      </c>
      <c r="D355" s="181" t="s">
        <v>897</v>
      </c>
      <c r="E355" s="181" t="s">
        <v>563</v>
      </c>
      <c r="F355" s="179" t="n">
        <v>5000</v>
      </c>
      <c r="G355" s="179" t="n">
        <v>900</v>
      </c>
      <c r="H355" s="179" t="n">
        <f aca="false">F355+G355</f>
        <v>5900</v>
      </c>
      <c r="I355" s="178" t="s">
        <v>900</v>
      </c>
      <c r="J355" s="181" t="e">
        <f aca="false">VLOOKUP(C355,'FY 25-26-Accrual'!$D$192:$D$233,1,0)</f>
        <v>#N/A</v>
      </c>
    </row>
    <row r="356" customFormat="false" ht="12" hidden="false" customHeight="false" outlineLevel="0" collapsed="false">
      <c r="A356" s="180" t="n">
        <v>45809</v>
      </c>
      <c r="B356" s="181" t="n">
        <v>45827</v>
      </c>
      <c r="C356" s="181" t="s">
        <v>1097</v>
      </c>
      <c r="D356" s="181" t="s">
        <v>897</v>
      </c>
      <c r="E356" s="181" t="s">
        <v>566</v>
      </c>
      <c r="F356" s="179" t="n">
        <v>5000</v>
      </c>
      <c r="G356" s="179" t="n">
        <v>900</v>
      </c>
      <c r="H356" s="179" t="n">
        <f aca="false">F356+G356</f>
        <v>5900</v>
      </c>
      <c r="I356" s="178" t="s">
        <v>900</v>
      </c>
      <c r="J356" s="181" t="e">
        <f aca="false">VLOOKUP(C356,'FY 25-26-Accrual'!$D$192:$D$233,1,0)</f>
        <v>#N/A</v>
      </c>
    </row>
    <row r="357" customFormat="false" ht="12" hidden="false" customHeight="false" outlineLevel="0" collapsed="false">
      <c r="A357" s="180" t="n">
        <v>45809</v>
      </c>
      <c r="B357" s="181" t="n">
        <v>45828</v>
      </c>
      <c r="C357" s="181" t="s">
        <v>568</v>
      </c>
      <c r="D357" s="181" t="s">
        <v>897</v>
      </c>
      <c r="E357" s="181" t="s">
        <v>311</v>
      </c>
      <c r="F357" s="179" t="n">
        <v>162000</v>
      </c>
      <c r="G357" s="179" t="n">
        <v>29160</v>
      </c>
      <c r="H357" s="179" t="n">
        <f aca="false">F357+G357</f>
        <v>191160</v>
      </c>
      <c r="I357" s="178" t="s">
        <v>900</v>
      </c>
      <c r="J357" s="181" t="str">
        <f aca="false">VLOOKUP(C357,'FY 25-26-Accrual'!$D$192:$D$233,1,0)</f>
        <v>INV-25-26-000209</v>
      </c>
    </row>
    <row r="358" customFormat="false" ht="12" hidden="false" customHeight="false" outlineLevel="0" collapsed="false">
      <c r="A358" s="180" t="n">
        <v>45809</v>
      </c>
      <c r="B358" s="181" t="n">
        <v>45829</v>
      </c>
      <c r="C358" s="181" t="s">
        <v>1098</v>
      </c>
      <c r="D358" s="181" t="s">
        <v>947</v>
      </c>
      <c r="E358" s="181" t="s">
        <v>344</v>
      </c>
      <c r="F358" s="179" t="n">
        <v>10000</v>
      </c>
      <c r="G358" s="179" t="n">
        <v>1800</v>
      </c>
      <c r="H358" s="179" t="n">
        <f aca="false">F358+G358</f>
        <v>11800</v>
      </c>
      <c r="I358" s="178" t="s">
        <v>900</v>
      </c>
      <c r="J358" s="181" t="str">
        <f aca="false">'FY 25-26-Accrual'!$D$107</f>
        <v>INV-25-26-000136, 0210, 292, 372, 457, CN- 30 to 33</v>
      </c>
    </row>
    <row r="359" customFormat="false" ht="12" hidden="false" customHeight="false" outlineLevel="0" collapsed="false">
      <c r="A359" s="180" t="n">
        <v>45809</v>
      </c>
      <c r="B359" s="181" t="n">
        <v>45829</v>
      </c>
      <c r="C359" s="181" t="s">
        <v>570</v>
      </c>
      <c r="D359" s="181" t="s">
        <v>897</v>
      </c>
      <c r="E359" s="181" t="s">
        <v>569</v>
      </c>
      <c r="F359" s="179" t="n">
        <v>56000</v>
      </c>
      <c r="G359" s="179" t="n">
        <v>10080</v>
      </c>
      <c r="H359" s="179" t="n">
        <f aca="false">F359+G359</f>
        <v>66080</v>
      </c>
      <c r="I359" s="178" t="s">
        <v>900</v>
      </c>
      <c r="J359" s="181" t="str">
        <f aca="false">VLOOKUP(C359,'FY 25-26-Accrual'!$D$192:$D$233,1,0)</f>
        <v>INV-25-26-000211</v>
      </c>
    </row>
    <row r="360" customFormat="false" ht="12" hidden="false" customHeight="false" outlineLevel="0" collapsed="false">
      <c r="A360" s="180" t="n">
        <v>45809</v>
      </c>
      <c r="B360" s="181" t="n">
        <v>45829</v>
      </c>
      <c r="C360" s="181" t="s">
        <v>1099</v>
      </c>
      <c r="D360" s="181" t="s">
        <v>897</v>
      </c>
      <c r="E360" s="181" t="s">
        <v>296</v>
      </c>
      <c r="F360" s="179" t="n">
        <v>5000</v>
      </c>
      <c r="G360" s="179" t="n">
        <v>900</v>
      </c>
      <c r="H360" s="179" t="n">
        <f aca="false">F360+G360</f>
        <v>5900</v>
      </c>
      <c r="I360" s="178" t="s">
        <v>900</v>
      </c>
      <c r="J360" s="181" t="str">
        <f aca="false">'FY 25-26-Accrual'!$D$84</f>
        <v>INV-25-26-000103, 212, 265, 365</v>
      </c>
    </row>
    <row r="361" customFormat="false" ht="12" hidden="false" customHeight="false" outlineLevel="0" collapsed="false">
      <c r="A361" s="180" t="n">
        <v>45809</v>
      </c>
      <c r="B361" s="181" t="n">
        <v>45831</v>
      </c>
      <c r="C361" s="181" t="s">
        <v>1100</v>
      </c>
      <c r="D361" s="181" t="s">
        <v>947</v>
      </c>
      <c r="E361" s="181" t="s">
        <v>201</v>
      </c>
      <c r="F361" s="179" t="n">
        <v>15000</v>
      </c>
      <c r="G361" s="179" t="n">
        <v>2700</v>
      </c>
      <c r="H361" s="179" t="n">
        <f aca="false">F361+G361</f>
        <v>17700</v>
      </c>
      <c r="I361" s="178" t="s">
        <v>900</v>
      </c>
      <c r="J361" s="181" t="str">
        <f aca="false">'FY 25-26-Accrual'!$D$40</f>
        <v>INV-25-26-000042, 137, 213</v>
      </c>
    </row>
    <row r="362" customFormat="false" ht="12" hidden="false" customHeight="false" outlineLevel="0" collapsed="false">
      <c r="A362" s="180" t="n">
        <v>45809</v>
      </c>
      <c r="B362" s="181" t="n">
        <v>45831</v>
      </c>
      <c r="C362" s="181" t="s">
        <v>572</v>
      </c>
      <c r="D362" s="181" t="s">
        <v>897</v>
      </c>
      <c r="E362" s="181" t="s">
        <v>571</v>
      </c>
      <c r="F362" s="179" t="n">
        <v>35000</v>
      </c>
      <c r="G362" s="179" t="n">
        <v>6300</v>
      </c>
      <c r="H362" s="179" t="n">
        <f aca="false">F362+G362</f>
        <v>41300</v>
      </c>
      <c r="I362" s="178" t="s">
        <v>900</v>
      </c>
      <c r="J362" s="181" t="str">
        <f aca="false">VLOOKUP(C362,'FY 25-26-Accrual'!$D$192:$D$233,1,0)</f>
        <v>INV-25-26-000214</v>
      </c>
    </row>
    <row r="363" customFormat="false" ht="12" hidden="false" customHeight="false" outlineLevel="0" collapsed="false">
      <c r="A363" s="180" t="n">
        <v>45809</v>
      </c>
      <c r="B363" s="181" t="n">
        <v>45831</v>
      </c>
      <c r="C363" s="181" t="s">
        <v>574</v>
      </c>
      <c r="D363" s="181" t="s">
        <v>947</v>
      </c>
      <c r="E363" s="181" t="s">
        <v>573</v>
      </c>
      <c r="F363" s="179" t="n">
        <v>40000</v>
      </c>
      <c r="G363" s="179" t="n">
        <v>7200</v>
      </c>
      <c r="H363" s="179" t="n">
        <f aca="false">F363+G363</f>
        <v>47200</v>
      </c>
      <c r="I363" s="178" t="s">
        <v>900</v>
      </c>
      <c r="J363" s="181" t="str">
        <f aca="false">VLOOKUP(C363,'FY 25-26-Accrual'!$D$192:$D$233,1,0)</f>
        <v>INV-25-26-000215</v>
      </c>
    </row>
    <row r="364" customFormat="false" ht="12" hidden="false" customHeight="false" outlineLevel="0" collapsed="false">
      <c r="A364" s="180" t="n">
        <v>45809</v>
      </c>
      <c r="B364" s="181" t="n">
        <v>45832</v>
      </c>
      <c r="C364" s="181" t="s">
        <v>576</v>
      </c>
      <c r="D364" s="181" t="s">
        <v>947</v>
      </c>
      <c r="E364" s="181" t="s">
        <v>575</v>
      </c>
      <c r="F364" s="179" t="n">
        <v>54000</v>
      </c>
      <c r="G364" s="179" t="n">
        <v>9720</v>
      </c>
      <c r="H364" s="179" t="n">
        <f aca="false">F364+G364</f>
        <v>63720</v>
      </c>
      <c r="I364" s="178" t="s">
        <v>900</v>
      </c>
      <c r="J364" s="181" t="str">
        <f aca="false">VLOOKUP(C364,'FY 25-26-Accrual'!$D$192:$D$233,1,0)</f>
        <v>INV-25-26-000216</v>
      </c>
    </row>
    <row r="365" customFormat="false" ht="12" hidden="false" customHeight="false" outlineLevel="0" collapsed="false">
      <c r="A365" s="180" t="n">
        <v>45809</v>
      </c>
      <c r="B365" s="181" t="n">
        <v>45832</v>
      </c>
      <c r="C365" s="181" t="s">
        <v>577</v>
      </c>
      <c r="D365" s="181" t="s">
        <v>947</v>
      </c>
      <c r="E365" s="181" t="s">
        <v>130</v>
      </c>
      <c r="F365" s="179" t="n">
        <v>180000</v>
      </c>
      <c r="G365" s="179" t="n">
        <v>32400</v>
      </c>
      <c r="H365" s="179" t="n">
        <f aca="false">F365+G365</f>
        <v>212400</v>
      </c>
      <c r="I365" s="178" t="s">
        <v>900</v>
      </c>
      <c r="J365" s="181" t="str">
        <f aca="false">VLOOKUP(C365,'FY 25-26-Accrual'!$D$192:$D$233,1,0)</f>
        <v>INV-25-26-000217</v>
      </c>
    </row>
    <row r="366" customFormat="false" ht="12" hidden="false" customHeight="false" outlineLevel="0" collapsed="false">
      <c r="A366" s="180" t="n">
        <v>45809</v>
      </c>
      <c r="B366" s="181" t="n">
        <v>45833</v>
      </c>
      <c r="C366" s="181" t="s">
        <v>1101</v>
      </c>
      <c r="D366" s="181" t="s">
        <v>897</v>
      </c>
      <c r="E366" s="181" t="s">
        <v>914</v>
      </c>
      <c r="F366" s="179" t="n">
        <v>31271.19</v>
      </c>
      <c r="G366" s="179" t="n">
        <v>5628.8142</v>
      </c>
      <c r="H366" s="179" t="n">
        <f aca="false">F366+G366</f>
        <v>36900.0042</v>
      </c>
      <c r="I366" s="178" t="s">
        <v>900</v>
      </c>
      <c r="J366" s="181" t="str">
        <f aca="false">'FY 25-26-Accrual'!$D$161</f>
        <v>INV-000042, 000183 000218,421</v>
      </c>
    </row>
    <row r="367" customFormat="false" ht="12" hidden="false" customHeight="false" outlineLevel="0" collapsed="false">
      <c r="A367" s="180" t="n">
        <v>45809</v>
      </c>
      <c r="B367" s="181" t="n">
        <v>45834</v>
      </c>
      <c r="C367" s="181" t="s">
        <v>1102</v>
      </c>
      <c r="D367" s="181" t="s">
        <v>897</v>
      </c>
      <c r="E367" s="181" t="s">
        <v>909</v>
      </c>
      <c r="F367" s="179" t="n">
        <v>50847.46</v>
      </c>
      <c r="G367" s="179" t="n">
        <v>9152.5428</v>
      </c>
      <c r="H367" s="179" t="n">
        <f aca="false">F367+G367</f>
        <v>60000.0028</v>
      </c>
      <c r="I367" s="178" t="s">
        <v>900</v>
      </c>
      <c r="J367" s="181" t="str">
        <f aca="false">'FY 25-26-Accrual'!$D$160</f>
        <v>INV-000038,00219</v>
      </c>
    </row>
    <row r="368" customFormat="false" ht="12" hidden="false" customHeight="false" outlineLevel="0" collapsed="false">
      <c r="A368" s="180" t="n">
        <v>45809</v>
      </c>
      <c r="B368" s="181" t="n">
        <v>45834</v>
      </c>
      <c r="C368" s="181" t="s">
        <v>1103</v>
      </c>
      <c r="D368" s="181" t="s">
        <v>897</v>
      </c>
      <c r="E368" s="181" t="s">
        <v>136</v>
      </c>
      <c r="F368" s="179" t="n">
        <v>-5000</v>
      </c>
      <c r="G368" s="179" t="n">
        <v>-900</v>
      </c>
      <c r="H368" s="179" t="n">
        <f aca="false">F368+G368</f>
        <v>-5900</v>
      </c>
      <c r="I368" s="178" t="s">
        <v>900</v>
      </c>
      <c r="J368" s="181" t="str">
        <f aca="false">'FY 25-26-Accrual'!$D$11</f>
        <v>INV-25-26-000009,00107,00177</v>
      </c>
    </row>
    <row r="369" customFormat="false" ht="12" hidden="false" customHeight="false" outlineLevel="0" collapsed="false">
      <c r="A369" s="180" t="n">
        <v>45809</v>
      </c>
      <c r="B369" s="181" t="n">
        <v>45834</v>
      </c>
      <c r="C369" s="181" t="s">
        <v>1104</v>
      </c>
      <c r="D369" s="181" t="s">
        <v>897</v>
      </c>
      <c r="E369" s="181" t="s">
        <v>136</v>
      </c>
      <c r="F369" s="179" t="n">
        <v>-5000</v>
      </c>
      <c r="G369" s="179" t="n">
        <v>-900</v>
      </c>
      <c r="H369" s="179" t="n">
        <f aca="false">F369+G369</f>
        <v>-5900</v>
      </c>
      <c r="I369" s="178" t="s">
        <v>900</v>
      </c>
      <c r="J369" s="181" t="str">
        <f aca="false">'FY 25-26-Accrual'!$D$11</f>
        <v>INV-25-26-000009,00107,00177</v>
      </c>
    </row>
    <row r="370" customFormat="false" ht="12" hidden="false" customHeight="false" outlineLevel="0" collapsed="false">
      <c r="A370" s="180" t="n">
        <v>45809</v>
      </c>
      <c r="B370" s="181" t="n">
        <v>45835</v>
      </c>
      <c r="C370" s="181" t="s">
        <v>1105</v>
      </c>
      <c r="D370" s="181" t="s">
        <v>897</v>
      </c>
      <c r="E370" s="181" t="s">
        <v>579</v>
      </c>
      <c r="F370" s="179" t="n">
        <v>30000</v>
      </c>
      <c r="G370" s="179" t="n">
        <v>5400</v>
      </c>
      <c r="H370" s="179" t="n">
        <f aca="false">F370+G370</f>
        <v>35400</v>
      </c>
      <c r="I370" s="178" t="s">
        <v>900</v>
      </c>
      <c r="J370" s="181" t="e">
        <f aca="false">VLOOKUP(C370,'FY 25-26-Accrual'!$D$192:$D$233,1,0)</f>
        <v>#N/A</v>
      </c>
    </row>
    <row r="371" customFormat="false" ht="12" hidden="false" customHeight="false" outlineLevel="0" collapsed="false">
      <c r="A371" s="180" t="n">
        <v>45809</v>
      </c>
      <c r="B371" s="181" t="n">
        <v>45835</v>
      </c>
      <c r="C371" s="181" t="s">
        <v>582</v>
      </c>
      <c r="D371" s="181" t="s">
        <v>897</v>
      </c>
      <c r="E371" s="181" t="s">
        <v>581</v>
      </c>
      <c r="F371" s="179" t="n">
        <v>35000</v>
      </c>
      <c r="G371" s="179" t="n">
        <v>6300</v>
      </c>
      <c r="H371" s="179" t="n">
        <f aca="false">F371+G371</f>
        <v>41300</v>
      </c>
      <c r="I371" s="178" t="s">
        <v>900</v>
      </c>
      <c r="J371" s="181" t="str">
        <f aca="false">VLOOKUP(C371,'FY 25-26-Accrual'!$D$192:$D$233,1,0)</f>
        <v>INV-25-26-000221</v>
      </c>
    </row>
    <row r="372" customFormat="false" ht="12" hidden="false" customHeight="false" outlineLevel="0" collapsed="false">
      <c r="A372" s="180" t="n">
        <v>45809</v>
      </c>
      <c r="B372" s="181" t="n">
        <v>45836</v>
      </c>
      <c r="C372" s="181" t="s">
        <v>584</v>
      </c>
      <c r="D372" s="181" t="s">
        <v>897</v>
      </c>
      <c r="E372" s="181" t="s">
        <v>583</v>
      </c>
      <c r="F372" s="179" t="n">
        <v>63000</v>
      </c>
      <c r="G372" s="179" t="n">
        <v>11340</v>
      </c>
      <c r="H372" s="179" t="n">
        <f aca="false">F372+G372</f>
        <v>74340</v>
      </c>
      <c r="I372" s="178" t="s">
        <v>900</v>
      </c>
      <c r="J372" s="181" t="str">
        <f aca="false">VLOOKUP(C372,'FY 25-26-Accrual'!$D$192:$D$233,1,0)</f>
        <v>INV-25-26-000222</v>
      </c>
    </row>
    <row r="373" customFormat="false" ht="12" hidden="false" customHeight="false" outlineLevel="0" collapsed="false">
      <c r="A373" s="180" t="n">
        <v>45809</v>
      </c>
      <c r="B373" s="181" t="n">
        <v>45837</v>
      </c>
      <c r="C373" s="181" t="s">
        <v>1106</v>
      </c>
      <c r="D373" s="181" t="s">
        <v>897</v>
      </c>
      <c r="E373" s="181" t="s">
        <v>284</v>
      </c>
      <c r="F373" s="179" t="n">
        <v>6779.66</v>
      </c>
      <c r="G373" s="179" t="n">
        <v>1220.3388</v>
      </c>
      <c r="H373" s="179" t="n">
        <f aca="false">F373+G373</f>
        <v>7999.9988</v>
      </c>
      <c r="I373" s="178" t="s">
        <v>900</v>
      </c>
      <c r="J373" s="181" t="str">
        <f aca="false">'FY 25-26-Accrual'!$D$78</f>
        <v>INV-000145,00011, INV-25-26-000080,0106, 0223, 312, 390, 474</v>
      </c>
    </row>
    <row r="374" customFormat="false" ht="12" hidden="false" customHeight="false" outlineLevel="0" collapsed="false">
      <c r="A374" s="180" t="n">
        <v>45809</v>
      </c>
      <c r="B374" s="181" t="n">
        <v>45838</v>
      </c>
      <c r="C374" s="181" t="s">
        <v>1107</v>
      </c>
      <c r="D374" s="181" t="s">
        <v>897</v>
      </c>
      <c r="E374" s="181" t="s">
        <v>375</v>
      </c>
      <c r="F374" s="179" t="n">
        <v>9000</v>
      </c>
      <c r="G374" s="179" t="n">
        <v>1620</v>
      </c>
      <c r="H374" s="179" t="n">
        <f aca="false">F374+G374</f>
        <v>10620</v>
      </c>
      <c r="I374" s="178" t="s">
        <v>900</v>
      </c>
      <c r="J374" s="181" t="str">
        <f aca="false">'FY 25-26-Accrual'!$D$124</f>
        <v>INV-25-26-000157,000224,313</v>
      </c>
    </row>
    <row r="375" customFormat="false" ht="12" hidden="false" customHeight="false" outlineLevel="0" collapsed="false">
      <c r="A375" s="180" t="n">
        <v>45809</v>
      </c>
      <c r="B375" s="181" t="n">
        <v>45838</v>
      </c>
      <c r="C375" s="181" t="s">
        <v>585</v>
      </c>
      <c r="D375" s="181" t="s">
        <v>897</v>
      </c>
      <c r="E375" s="181" t="s">
        <v>152</v>
      </c>
      <c r="F375" s="179" t="n">
        <v>60000</v>
      </c>
      <c r="G375" s="179" t="n">
        <v>10800</v>
      </c>
      <c r="H375" s="179" t="n">
        <f aca="false">F375+G375</f>
        <v>70800</v>
      </c>
      <c r="I375" s="178" t="s">
        <v>900</v>
      </c>
      <c r="J375" s="181" t="str">
        <f aca="false">VLOOKUP(C375,'FY 25-26-Accrual'!$D$192:$D$233,1,0)</f>
        <v>INV-25-26-000225</v>
      </c>
    </row>
    <row r="376" customFormat="false" ht="12" hidden="false" customHeight="false" outlineLevel="0" collapsed="false">
      <c r="A376" s="180" t="n">
        <v>45839</v>
      </c>
      <c r="B376" s="181" t="n">
        <v>45839</v>
      </c>
      <c r="C376" s="178" t="s">
        <v>1108</v>
      </c>
      <c r="D376" s="178" t="s">
        <v>897</v>
      </c>
      <c r="E376" s="178" t="s">
        <v>412</v>
      </c>
      <c r="F376" s="179" t="n">
        <v>120000</v>
      </c>
      <c r="G376" s="179" t="n">
        <v>21600</v>
      </c>
      <c r="H376" s="179" t="n">
        <v>141600</v>
      </c>
      <c r="I376" s="178" t="s">
        <v>900</v>
      </c>
    </row>
    <row r="377" customFormat="false" ht="12" hidden="false" customHeight="false" outlineLevel="0" collapsed="false">
      <c r="A377" s="180" t="n">
        <v>45839</v>
      </c>
      <c r="B377" s="181" t="n">
        <v>45839</v>
      </c>
      <c r="C377" s="178" t="s">
        <v>592</v>
      </c>
      <c r="D377" s="178" t="s">
        <v>897</v>
      </c>
      <c r="E377" s="178" t="s">
        <v>591</v>
      </c>
      <c r="F377" s="179" t="n">
        <v>70000</v>
      </c>
      <c r="G377" s="179" t="n">
        <v>12600</v>
      </c>
      <c r="H377" s="179" t="n">
        <v>82600</v>
      </c>
      <c r="I377" s="178" t="s">
        <v>900</v>
      </c>
    </row>
    <row r="378" customFormat="false" ht="12" hidden="false" customHeight="false" outlineLevel="0" collapsed="false">
      <c r="A378" s="180" t="n">
        <v>45839</v>
      </c>
      <c r="B378" s="181" t="n">
        <v>45839</v>
      </c>
      <c r="C378" s="178" t="s">
        <v>1109</v>
      </c>
      <c r="D378" s="178" t="s">
        <v>897</v>
      </c>
      <c r="E378" s="178" t="s">
        <v>593</v>
      </c>
      <c r="F378" s="179" t="n">
        <v>30000</v>
      </c>
      <c r="G378" s="179" t="n">
        <v>5400</v>
      </c>
      <c r="H378" s="179" t="n">
        <v>35400</v>
      </c>
      <c r="I378" s="178" t="s">
        <v>900</v>
      </c>
    </row>
    <row r="379" customFormat="false" ht="12" hidden="false" customHeight="false" outlineLevel="0" collapsed="false">
      <c r="A379" s="180" t="n">
        <v>45839</v>
      </c>
      <c r="B379" s="181" t="n">
        <v>45840</v>
      </c>
      <c r="C379" s="178" t="s">
        <v>1110</v>
      </c>
      <c r="D379" s="178" t="s">
        <v>897</v>
      </c>
      <c r="E379" s="178" t="s">
        <v>898</v>
      </c>
      <c r="F379" s="179" t="n">
        <v>846</v>
      </c>
      <c r="G379" s="179" t="n">
        <v>152</v>
      </c>
      <c r="H379" s="179" t="n">
        <v>998</v>
      </c>
      <c r="I379" s="178" t="s">
        <v>898</v>
      </c>
    </row>
    <row r="380" customFormat="false" ht="12" hidden="false" customHeight="false" outlineLevel="0" collapsed="false">
      <c r="A380" s="180" t="n">
        <v>45839</v>
      </c>
      <c r="B380" s="181" t="n">
        <v>45840</v>
      </c>
      <c r="C380" s="178" t="s">
        <v>1111</v>
      </c>
      <c r="D380" s="178" t="s">
        <v>897</v>
      </c>
      <c r="E380" s="178" t="s">
        <v>238</v>
      </c>
      <c r="F380" s="179" t="n">
        <v>12000</v>
      </c>
      <c r="G380" s="179" t="n">
        <v>2160</v>
      </c>
      <c r="H380" s="179" t="n">
        <v>14160</v>
      </c>
      <c r="I380" s="178" t="s">
        <v>900</v>
      </c>
    </row>
    <row r="381" customFormat="false" ht="12" hidden="false" customHeight="false" outlineLevel="0" collapsed="false">
      <c r="A381" s="180" t="n">
        <v>45839</v>
      </c>
      <c r="B381" s="181" t="n">
        <v>45841</v>
      </c>
      <c r="C381" s="178" t="s">
        <v>1112</v>
      </c>
      <c r="D381" s="178" t="s">
        <v>947</v>
      </c>
      <c r="E381" s="178" t="s">
        <v>587</v>
      </c>
      <c r="F381" s="179" t="n">
        <v>10000</v>
      </c>
      <c r="G381" s="179" t="n">
        <v>1800</v>
      </c>
      <c r="H381" s="179" t="n">
        <v>11800</v>
      </c>
      <c r="I381" s="178" t="s">
        <v>900</v>
      </c>
    </row>
    <row r="382" customFormat="false" ht="12" hidden="false" customHeight="false" outlineLevel="0" collapsed="false">
      <c r="A382" s="180" t="n">
        <v>45839</v>
      </c>
      <c r="B382" s="181" t="n">
        <v>45841</v>
      </c>
      <c r="C382" s="178" t="s">
        <v>1113</v>
      </c>
      <c r="D382" s="178" t="s">
        <v>897</v>
      </c>
      <c r="E382" s="178" t="s">
        <v>898</v>
      </c>
      <c r="F382" s="179" t="n">
        <v>423</v>
      </c>
      <c r="G382" s="179" t="n">
        <v>76</v>
      </c>
      <c r="H382" s="179" t="n">
        <v>499</v>
      </c>
      <c r="I382" s="178" t="s">
        <v>898</v>
      </c>
    </row>
    <row r="383" customFormat="false" ht="12" hidden="false" customHeight="false" outlineLevel="0" collapsed="false">
      <c r="A383" s="180" t="n">
        <v>45839</v>
      </c>
      <c r="B383" s="181" t="n">
        <v>45841</v>
      </c>
      <c r="C383" s="178" t="s">
        <v>595</v>
      </c>
      <c r="D383" s="178" t="s">
        <v>897</v>
      </c>
      <c r="E383" s="178" t="s">
        <v>168</v>
      </c>
      <c r="F383" s="179" t="n">
        <v>35003</v>
      </c>
      <c r="G383" s="179" t="n">
        <v>6301</v>
      </c>
      <c r="H383" s="179" t="n">
        <v>41303</v>
      </c>
      <c r="I383" s="178" t="s">
        <v>900</v>
      </c>
    </row>
    <row r="384" customFormat="false" ht="12" hidden="false" customHeight="false" outlineLevel="0" collapsed="false">
      <c r="A384" s="180" t="n">
        <v>45839</v>
      </c>
      <c r="B384" s="181" t="n">
        <v>45841</v>
      </c>
      <c r="C384" s="178" t="s">
        <v>1114</v>
      </c>
      <c r="D384" s="178" t="s">
        <v>897</v>
      </c>
      <c r="E384" s="178" t="s">
        <v>596</v>
      </c>
      <c r="F384" s="179" t="n">
        <v>11400</v>
      </c>
      <c r="G384" s="179" t="n">
        <v>2052</v>
      </c>
      <c r="H384" s="179" t="n">
        <v>13452</v>
      </c>
      <c r="I384" s="178" t="s">
        <v>900</v>
      </c>
    </row>
    <row r="385" customFormat="false" ht="12" hidden="false" customHeight="false" outlineLevel="0" collapsed="false">
      <c r="A385" s="180" t="n">
        <v>45839</v>
      </c>
      <c r="B385" s="181" t="n">
        <v>45841</v>
      </c>
      <c r="C385" s="178" t="s">
        <v>599</v>
      </c>
      <c r="D385" s="178" t="s">
        <v>897</v>
      </c>
      <c r="E385" s="178" t="s">
        <v>598</v>
      </c>
      <c r="F385" s="179" t="n">
        <v>20000</v>
      </c>
      <c r="G385" s="179" t="n">
        <v>3600</v>
      </c>
      <c r="H385" s="179" t="n">
        <v>23600</v>
      </c>
      <c r="I385" s="178" t="s">
        <v>900</v>
      </c>
    </row>
    <row r="386" customFormat="false" ht="12" hidden="false" customHeight="false" outlineLevel="0" collapsed="false">
      <c r="A386" s="180" t="n">
        <v>45839</v>
      </c>
      <c r="B386" s="181" t="n">
        <v>45841</v>
      </c>
      <c r="C386" s="178" t="s">
        <v>601</v>
      </c>
      <c r="D386" s="178" t="s">
        <v>947</v>
      </c>
      <c r="E386" s="178" t="s">
        <v>600</v>
      </c>
      <c r="F386" s="179" t="n">
        <v>12000</v>
      </c>
      <c r="G386" s="179" t="n">
        <v>2160</v>
      </c>
      <c r="H386" s="179" t="n">
        <v>14160</v>
      </c>
      <c r="I386" s="178" t="s">
        <v>900</v>
      </c>
    </row>
    <row r="387" customFormat="false" ht="12" hidden="false" customHeight="false" outlineLevel="0" collapsed="false">
      <c r="A387" s="180" t="n">
        <v>45839</v>
      </c>
      <c r="B387" s="181" t="n">
        <v>45841</v>
      </c>
      <c r="C387" s="178" t="s">
        <v>602</v>
      </c>
      <c r="D387" s="178" t="s">
        <v>897</v>
      </c>
      <c r="E387" s="178" t="s">
        <v>381</v>
      </c>
      <c r="F387" s="179" t="n">
        <v>405000</v>
      </c>
      <c r="G387" s="179" t="n">
        <v>72900</v>
      </c>
      <c r="H387" s="179" t="n">
        <v>477900</v>
      </c>
      <c r="I387" s="178" t="s">
        <v>900</v>
      </c>
    </row>
    <row r="388" customFormat="false" ht="12" hidden="false" customHeight="false" outlineLevel="0" collapsed="false">
      <c r="A388" s="180" t="n">
        <v>45839</v>
      </c>
      <c r="B388" s="181" t="n">
        <v>45842</v>
      </c>
      <c r="C388" s="178" t="s">
        <v>603</v>
      </c>
      <c r="D388" s="178" t="s">
        <v>897</v>
      </c>
      <c r="E388" s="178" t="s">
        <v>341</v>
      </c>
      <c r="F388" s="179" t="n">
        <v>118750</v>
      </c>
      <c r="G388" s="179" t="n">
        <v>21375</v>
      </c>
      <c r="H388" s="179" t="n">
        <v>140125</v>
      </c>
      <c r="I388" s="178" t="s">
        <v>900</v>
      </c>
    </row>
    <row r="389" customFormat="false" ht="12" hidden="false" customHeight="false" outlineLevel="0" collapsed="false">
      <c r="A389" s="180" t="n">
        <v>45839</v>
      </c>
      <c r="B389" s="181" t="n">
        <v>45842</v>
      </c>
      <c r="C389" s="178" t="s">
        <v>604</v>
      </c>
      <c r="D389" s="178" t="s">
        <v>947</v>
      </c>
      <c r="E389" s="178" t="s">
        <v>316</v>
      </c>
      <c r="F389" s="179" t="n">
        <v>13000</v>
      </c>
      <c r="G389" s="179" t="n">
        <v>2340</v>
      </c>
      <c r="H389" s="179" t="n">
        <v>15340</v>
      </c>
      <c r="I389" s="178" t="s">
        <v>900</v>
      </c>
    </row>
    <row r="390" customFormat="false" ht="12" hidden="false" customHeight="false" outlineLevel="0" collapsed="false">
      <c r="A390" s="180" t="n">
        <v>45839</v>
      </c>
      <c r="B390" s="181" t="n">
        <v>45842</v>
      </c>
      <c r="C390" s="178" t="s">
        <v>606</v>
      </c>
      <c r="D390" s="178" t="s">
        <v>897</v>
      </c>
      <c r="E390" s="178" t="s">
        <v>605</v>
      </c>
      <c r="F390" s="179" t="n">
        <v>8000</v>
      </c>
      <c r="G390" s="179" t="n">
        <v>1440</v>
      </c>
      <c r="H390" s="179" t="n">
        <v>9440</v>
      </c>
      <c r="I390" s="178" t="s">
        <v>900</v>
      </c>
    </row>
    <row r="391" customFormat="false" ht="12" hidden="false" customHeight="false" outlineLevel="0" collapsed="false">
      <c r="A391" s="180" t="n">
        <v>45839</v>
      </c>
      <c r="B391" s="181" t="n">
        <v>45842</v>
      </c>
      <c r="C391" s="178" t="s">
        <v>1115</v>
      </c>
      <c r="D391" s="178" t="s">
        <v>897</v>
      </c>
      <c r="E391" s="178" t="s">
        <v>898</v>
      </c>
      <c r="F391" s="179" t="n">
        <v>2118</v>
      </c>
      <c r="G391" s="179" t="n">
        <v>381</v>
      </c>
      <c r="H391" s="179" t="n">
        <v>2499</v>
      </c>
      <c r="I391" s="178" t="s">
        <v>898</v>
      </c>
    </row>
    <row r="392" customFormat="false" ht="12" hidden="false" customHeight="false" outlineLevel="0" collapsed="false">
      <c r="A392" s="180" t="n">
        <v>45839</v>
      </c>
      <c r="B392" s="181" t="n">
        <v>45842</v>
      </c>
      <c r="C392" s="178" t="s">
        <v>607</v>
      </c>
      <c r="D392" s="178" t="s">
        <v>897</v>
      </c>
      <c r="E392" s="178" t="s">
        <v>524</v>
      </c>
      <c r="F392" s="179" t="n">
        <v>7000</v>
      </c>
      <c r="G392" s="179" t="n">
        <v>1260</v>
      </c>
      <c r="H392" s="179" t="n">
        <v>8260</v>
      </c>
      <c r="I392" s="178" t="s">
        <v>900</v>
      </c>
    </row>
    <row r="393" customFormat="false" ht="12" hidden="false" customHeight="false" outlineLevel="0" collapsed="false">
      <c r="A393" s="180" t="n">
        <v>45839</v>
      </c>
      <c r="B393" s="181" t="n">
        <v>45843</v>
      </c>
      <c r="C393" s="178" t="s">
        <v>609</v>
      </c>
      <c r="D393" s="178" t="s">
        <v>897</v>
      </c>
      <c r="E393" s="178" t="s">
        <v>608</v>
      </c>
      <c r="F393" s="179" t="n">
        <v>63559</v>
      </c>
      <c r="G393" s="179" t="n">
        <v>11441</v>
      </c>
      <c r="H393" s="179" t="n">
        <v>75000</v>
      </c>
      <c r="I393" s="178" t="s">
        <v>900</v>
      </c>
    </row>
    <row r="394" customFormat="false" ht="12" hidden="false" customHeight="false" outlineLevel="0" collapsed="false">
      <c r="A394" s="180" t="n">
        <v>45839</v>
      </c>
      <c r="B394" s="181" t="n">
        <v>45843</v>
      </c>
      <c r="C394" s="178" t="s">
        <v>611</v>
      </c>
      <c r="D394" s="178" t="s">
        <v>897</v>
      </c>
      <c r="E394" s="178" t="s">
        <v>610</v>
      </c>
      <c r="F394" s="179" t="n">
        <v>31500</v>
      </c>
      <c r="G394" s="179" t="n">
        <v>5670</v>
      </c>
      <c r="H394" s="179" t="n">
        <v>37170</v>
      </c>
      <c r="I394" s="178" t="s">
        <v>900</v>
      </c>
    </row>
    <row r="395" customFormat="false" ht="12" hidden="false" customHeight="false" outlineLevel="0" collapsed="false">
      <c r="A395" s="180" t="n">
        <v>45839</v>
      </c>
      <c r="B395" s="181" t="n">
        <v>45843</v>
      </c>
      <c r="C395" s="178" t="s">
        <v>613</v>
      </c>
      <c r="D395" s="178" t="s">
        <v>947</v>
      </c>
      <c r="E395" s="178" t="s">
        <v>612</v>
      </c>
      <c r="F395" s="179" t="n">
        <v>20000</v>
      </c>
      <c r="G395" s="179" t="n">
        <v>3600</v>
      </c>
      <c r="H395" s="179" t="n">
        <v>23600</v>
      </c>
      <c r="I395" s="178" t="s">
        <v>900</v>
      </c>
    </row>
    <row r="396" customFormat="false" ht="12" hidden="false" customHeight="false" outlineLevel="0" collapsed="false">
      <c r="A396" s="180" t="n">
        <v>45839</v>
      </c>
      <c r="B396" s="181" t="n">
        <v>45844</v>
      </c>
      <c r="C396" s="178" t="s">
        <v>1116</v>
      </c>
      <c r="D396" s="178" t="s">
        <v>947</v>
      </c>
      <c r="E396" s="178" t="s">
        <v>299</v>
      </c>
      <c r="F396" s="179" t="n">
        <v>10000</v>
      </c>
      <c r="G396" s="179" t="n">
        <v>1800</v>
      </c>
      <c r="H396" s="179" t="n">
        <v>11800</v>
      </c>
      <c r="I396" s="178" t="s">
        <v>900</v>
      </c>
    </row>
    <row r="397" customFormat="false" ht="12" hidden="false" customHeight="false" outlineLevel="0" collapsed="false">
      <c r="A397" s="180" t="n">
        <v>45839</v>
      </c>
      <c r="B397" s="181" t="n">
        <v>45845</v>
      </c>
      <c r="C397" s="178" t="s">
        <v>1117</v>
      </c>
      <c r="D397" s="178" t="s">
        <v>897</v>
      </c>
      <c r="E397" s="178" t="s">
        <v>162</v>
      </c>
      <c r="F397" s="179" t="n">
        <v>16949</v>
      </c>
      <c r="G397" s="179" t="n">
        <v>3051</v>
      </c>
      <c r="H397" s="179" t="n">
        <v>20000</v>
      </c>
      <c r="I397" s="178" t="s">
        <v>900</v>
      </c>
    </row>
    <row r="398" customFormat="false" ht="12" hidden="false" customHeight="false" outlineLevel="0" collapsed="false">
      <c r="A398" s="180" t="n">
        <v>45839</v>
      </c>
      <c r="B398" s="181" t="n">
        <v>45845</v>
      </c>
      <c r="C398" s="178" t="s">
        <v>1118</v>
      </c>
      <c r="D398" s="178" t="s">
        <v>897</v>
      </c>
      <c r="E398" s="178" t="s">
        <v>898</v>
      </c>
      <c r="F398" s="179" t="n">
        <v>423</v>
      </c>
      <c r="G398" s="179" t="n">
        <v>76</v>
      </c>
      <c r="H398" s="179" t="n">
        <v>499</v>
      </c>
      <c r="I398" s="178" t="s">
        <v>898</v>
      </c>
    </row>
    <row r="399" customFormat="false" ht="12" hidden="false" customHeight="false" outlineLevel="0" collapsed="false">
      <c r="A399" s="180" t="n">
        <v>45839</v>
      </c>
      <c r="B399" s="181" t="n">
        <v>45845</v>
      </c>
      <c r="C399" s="178" t="s">
        <v>614</v>
      </c>
      <c r="D399" s="178" t="s">
        <v>897</v>
      </c>
      <c r="E399" s="178" t="s">
        <v>509</v>
      </c>
      <c r="F399" s="179" t="n">
        <v>720000</v>
      </c>
      <c r="G399" s="179" t="n">
        <v>129600</v>
      </c>
      <c r="H399" s="179" t="n">
        <v>849600</v>
      </c>
      <c r="I399" s="178" t="s">
        <v>900</v>
      </c>
    </row>
    <row r="400" customFormat="false" ht="12" hidden="false" customHeight="false" outlineLevel="0" collapsed="false">
      <c r="A400" s="180" t="n">
        <v>45839</v>
      </c>
      <c r="B400" s="181" t="n">
        <v>45845</v>
      </c>
      <c r="C400" s="178" t="s">
        <v>615</v>
      </c>
      <c r="D400" s="178" t="s">
        <v>947</v>
      </c>
      <c r="E400" s="178" t="s">
        <v>328</v>
      </c>
      <c r="F400" s="179" t="n">
        <v>85500</v>
      </c>
      <c r="G400" s="179" t="n">
        <v>15390</v>
      </c>
      <c r="H400" s="179" t="n">
        <v>100890</v>
      </c>
      <c r="I400" s="178" t="s">
        <v>900</v>
      </c>
    </row>
    <row r="401" customFormat="false" ht="12" hidden="false" customHeight="false" outlineLevel="0" collapsed="false">
      <c r="A401" s="180" t="n">
        <v>45839</v>
      </c>
      <c r="B401" s="181" t="n">
        <v>45845</v>
      </c>
      <c r="C401" s="178" t="s">
        <v>617</v>
      </c>
      <c r="D401" s="178" t="s">
        <v>897</v>
      </c>
      <c r="E401" s="178" t="s">
        <v>616</v>
      </c>
      <c r="F401" s="179" t="n">
        <v>70000</v>
      </c>
      <c r="G401" s="179" t="n">
        <v>12600</v>
      </c>
      <c r="H401" s="179" t="n">
        <v>82600</v>
      </c>
      <c r="I401" s="178" t="s">
        <v>900</v>
      </c>
    </row>
    <row r="402" customFormat="false" ht="12" hidden="false" customHeight="false" outlineLevel="0" collapsed="false">
      <c r="A402" s="180" t="n">
        <v>45839</v>
      </c>
      <c r="B402" s="181" t="n">
        <v>45846</v>
      </c>
      <c r="C402" s="178" t="s">
        <v>618</v>
      </c>
      <c r="D402" s="178" t="s">
        <v>897</v>
      </c>
      <c r="E402" s="178" t="s">
        <v>468</v>
      </c>
      <c r="F402" s="179" t="n">
        <v>35000</v>
      </c>
      <c r="G402" s="179" t="n">
        <v>6300</v>
      </c>
      <c r="H402" s="179" t="n">
        <v>41300</v>
      </c>
      <c r="I402" s="178" t="s">
        <v>900</v>
      </c>
    </row>
    <row r="403" customFormat="false" ht="12" hidden="false" customHeight="false" outlineLevel="0" collapsed="false">
      <c r="A403" s="180" t="n">
        <v>45839</v>
      </c>
      <c r="B403" s="181" t="n">
        <v>45846</v>
      </c>
      <c r="C403" s="178" t="s">
        <v>619</v>
      </c>
      <c r="D403" s="178" t="s">
        <v>897</v>
      </c>
      <c r="E403" s="178" t="s">
        <v>549</v>
      </c>
      <c r="F403" s="179" t="n">
        <v>70000</v>
      </c>
      <c r="G403" s="179" t="n">
        <v>12600</v>
      </c>
      <c r="H403" s="179" t="n">
        <v>82600</v>
      </c>
      <c r="I403" s="178" t="s">
        <v>900</v>
      </c>
    </row>
    <row r="404" customFormat="false" ht="12" hidden="false" customHeight="false" outlineLevel="0" collapsed="false">
      <c r="A404" s="180" t="n">
        <v>45839</v>
      </c>
      <c r="B404" s="181" t="n">
        <v>45846</v>
      </c>
      <c r="C404" s="178" t="s">
        <v>621</v>
      </c>
      <c r="D404" s="178" t="s">
        <v>897</v>
      </c>
      <c r="E404" s="178" t="s">
        <v>620</v>
      </c>
      <c r="F404" s="179" t="n">
        <v>7500</v>
      </c>
      <c r="G404" s="179" t="n">
        <v>1350</v>
      </c>
      <c r="H404" s="179" t="n">
        <v>8850</v>
      </c>
      <c r="I404" s="178" t="s">
        <v>900</v>
      </c>
    </row>
    <row r="405" customFormat="false" ht="12" hidden="false" customHeight="false" outlineLevel="0" collapsed="false">
      <c r="A405" s="180" t="n">
        <v>45839</v>
      </c>
      <c r="B405" s="181" t="n">
        <v>45847</v>
      </c>
      <c r="C405" s="178" t="s">
        <v>1119</v>
      </c>
      <c r="D405" s="178" t="s">
        <v>897</v>
      </c>
      <c r="E405" s="178" t="s">
        <v>278</v>
      </c>
      <c r="F405" s="179" t="n">
        <v>3389</v>
      </c>
      <c r="G405" s="179" t="n">
        <v>610</v>
      </c>
      <c r="H405" s="179" t="n">
        <v>3999</v>
      </c>
      <c r="I405" s="178" t="s">
        <v>900</v>
      </c>
    </row>
    <row r="406" customFormat="false" ht="12" hidden="false" customHeight="false" outlineLevel="0" collapsed="false">
      <c r="A406" s="180" t="n">
        <v>45839</v>
      </c>
      <c r="B406" s="181" t="n">
        <v>45847</v>
      </c>
      <c r="C406" s="178" t="s">
        <v>623</v>
      </c>
      <c r="D406" s="178" t="s">
        <v>897</v>
      </c>
      <c r="E406" s="178" t="s">
        <v>622</v>
      </c>
      <c r="F406" s="179" t="n">
        <v>20000</v>
      </c>
      <c r="G406" s="179" t="n">
        <v>3600</v>
      </c>
      <c r="H406" s="179" t="n">
        <v>23600</v>
      </c>
      <c r="I406" s="178" t="s">
        <v>900</v>
      </c>
    </row>
    <row r="407" customFormat="false" ht="12" hidden="false" customHeight="false" outlineLevel="0" collapsed="false">
      <c r="A407" s="180" t="n">
        <v>45839</v>
      </c>
      <c r="B407" s="181" t="n">
        <v>45847</v>
      </c>
      <c r="C407" s="178" t="s">
        <v>625</v>
      </c>
      <c r="D407" s="178" t="s">
        <v>897</v>
      </c>
      <c r="E407" s="178" t="s">
        <v>624</v>
      </c>
      <c r="F407" s="179" t="n">
        <v>50000</v>
      </c>
      <c r="G407" s="179" t="n">
        <v>9000</v>
      </c>
      <c r="H407" s="179" t="n">
        <v>59000</v>
      </c>
      <c r="I407" s="178" t="s">
        <v>900</v>
      </c>
    </row>
    <row r="408" customFormat="false" ht="12" hidden="false" customHeight="false" outlineLevel="0" collapsed="false">
      <c r="A408" s="180" t="n">
        <v>45839</v>
      </c>
      <c r="B408" s="181" t="n">
        <v>45848</v>
      </c>
      <c r="C408" s="178" t="s">
        <v>1120</v>
      </c>
      <c r="D408" s="178" t="s">
        <v>897</v>
      </c>
      <c r="E408" s="178" t="s">
        <v>157</v>
      </c>
      <c r="F408" s="179" t="n">
        <v>10000</v>
      </c>
      <c r="G408" s="179" t="n">
        <v>1800</v>
      </c>
      <c r="H408" s="179" t="n">
        <v>11800</v>
      </c>
      <c r="I408" s="178" t="s">
        <v>900</v>
      </c>
    </row>
    <row r="409" customFormat="false" ht="12" hidden="false" customHeight="false" outlineLevel="0" collapsed="false">
      <c r="A409" s="180" t="n">
        <v>45839</v>
      </c>
      <c r="B409" s="181" t="n">
        <v>45848</v>
      </c>
      <c r="C409" s="178" t="s">
        <v>1121</v>
      </c>
      <c r="D409" s="178" t="s">
        <v>947</v>
      </c>
      <c r="E409" s="178" t="s">
        <v>249</v>
      </c>
      <c r="F409" s="179" t="n">
        <v>8729</v>
      </c>
      <c r="G409" s="179" t="n">
        <v>1571</v>
      </c>
      <c r="H409" s="179" t="n">
        <v>10300</v>
      </c>
      <c r="I409" s="178" t="s">
        <v>900</v>
      </c>
    </row>
    <row r="410" customFormat="false" ht="12" hidden="false" customHeight="false" outlineLevel="0" collapsed="false">
      <c r="A410" s="180" t="n">
        <v>45839</v>
      </c>
      <c r="B410" s="181" t="n">
        <v>45848</v>
      </c>
      <c r="C410" s="178" t="s">
        <v>627</v>
      </c>
      <c r="D410" s="178" t="s">
        <v>897</v>
      </c>
      <c r="E410" s="178" t="s">
        <v>626</v>
      </c>
      <c r="F410" s="179" t="n">
        <v>63000</v>
      </c>
      <c r="G410" s="179" t="n">
        <v>11340</v>
      </c>
      <c r="H410" s="179" t="n">
        <v>74340</v>
      </c>
      <c r="I410" s="178" t="s">
        <v>900</v>
      </c>
    </row>
    <row r="411" customFormat="false" ht="12" hidden="false" customHeight="false" outlineLevel="0" collapsed="false">
      <c r="A411" s="180" t="n">
        <v>45839</v>
      </c>
      <c r="B411" s="181" t="n">
        <v>45849</v>
      </c>
      <c r="C411" s="178" t="s">
        <v>1122</v>
      </c>
      <c r="D411" s="178" t="s">
        <v>897</v>
      </c>
      <c r="E411" s="178" t="s">
        <v>540</v>
      </c>
      <c r="F411" s="179" t="n">
        <v>8475</v>
      </c>
      <c r="G411" s="179" t="n">
        <v>1525</v>
      </c>
      <c r="H411" s="179" t="n">
        <v>10000</v>
      </c>
      <c r="I411" s="178" t="s">
        <v>900</v>
      </c>
    </row>
    <row r="412" customFormat="false" ht="12" hidden="false" customHeight="false" outlineLevel="0" collapsed="false">
      <c r="A412" s="180" t="n">
        <v>45839</v>
      </c>
      <c r="B412" s="181" t="n">
        <v>45850</v>
      </c>
      <c r="C412" s="178" t="s">
        <v>1123</v>
      </c>
      <c r="D412" s="178" t="s">
        <v>897</v>
      </c>
      <c r="E412" s="178" t="s">
        <v>281</v>
      </c>
      <c r="F412" s="179" t="n">
        <v>4237</v>
      </c>
      <c r="G412" s="179" t="n">
        <v>763</v>
      </c>
      <c r="H412" s="179" t="n">
        <v>5000</v>
      </c>
      <c r="I412" s="178" t="s">
        <v>900</v>
      </c>
    </row>
    <row r="413" customFormat="false" ht="12" hidden="false" customHeight="false" outlineLevel="0" collapsed="false">
      <c r="A413" s="180" t="n">
        <v>45839</v>
      </c>
      <c r="B413" s="181" t="n">
        <v>45850</v>
      </c>
      <c r="C413" s="178" t="s">
        <v>1124</v>
      </c>
      <c r="D413" s="178" t="s">
        <v>897</v>
      </c>
      <c r="E413" s="178" t="s">
        <v>451</v>
      </c>
      <c r="F413" s="179" t="n">
        <v>10000</v>
      </c>
      <c r="G413" s="179" t="n">
        <v>1800</v>
      </c>
      <c r="H413" s="179" t="n">
        <v>11800</v>
      </c>
      <c r="I413" s="178" t="s">
        <v>900</v>
      </c>
    </row>
    <row r="414" customFormat="false" ht="12" hidden="false" customHeight="false" outlineLevel="0" collapsed="false">
      <c r="A414" s="180" t="n">
        <v>45839</v>
      </c>
      <c r="B414" s="181" t="n">
        <v>45850</v>
      </c>
      <c r="C414" s="178" t="s">
        <v>1125</v>
      </c>
      <c r="D414" s="178" t="s">
        <v>897</v>
      </c>
      <c r="E414" s="178" t="s">
        <v>296</v>
      </c>
      <c r="F414" s="179" t="n">
        <v>5000</v>
      </c>
      <c r="G414" s="179" t="n">
        <v>900</v>
      </c>
      <c r="H414" s="179" t="n">
        <v>5900</v>
      </c>
      <c r="I414" s="178" t="s">
        <v>900</v>
      </c>
    </row>
    <row r="415" customFormat="false" ht="12" hidden="false" customHeight="false" outlineLevel="0" collapsed="false">
      <c r="A415" s="180" t="n">
        <v>45839</v>
      </c>
      <c r="B415" s="181" t="n">
        <v>45852</v>
      </c>
      <c r="C415" s="178" t="s">
        <v>629</v>
      </c>
      <c r="D415" s="178" t="s">
        <v>947</v>
      </c>
      <c r="E415" s="178" t="s">
        <v>1126</v>
      </c>
      <c r="F415" s="179" t="n">
        <v>151200</v>
      </c>
      <c r="G415" s="179" t="n">
        <v>27216</v>
      </c>
      <c r="H415" s="179" t="n">
        <v>178416</v>
      </c>
      <c r="I415" s="178" t="s">
        <v>900</v>
      </c>
    </row>
    <row r="416" customFormat="false" ht="12" hidden="false" customHeight="false" outlineLevel="0" collapsed="false">
      <c r="A416" s="180" t="n">
        <v>45839</v>
      </c>
      <c r="B416" s="181" t="n">
        <v>45852</v>
      </c>
      <c r="C416" s="178" t="s">
        <v>631</v>
      </c>
      <c r="D416" s="178" t="s">
        <v>947</v>
      </c>
      <c r="E416" s="178" t="s">
        <v>630</v>
      </c>
      <c r="F416" s="179" t="n">
        <v>30000</v>
      </c>
      <c r="G416" s="179" t="n">
        <v>5400</v>
      </c>
      <c r="H416" s="179" t="n">
        <v>35400</v>
      </c>
      <c r="I416" s="178" t="s">
        <v>900</v>
      </c>
    </row>
    <row r="417" customFormat="false" ht="12" hidden="false" customHeight="false" outlineLevel="0" collapsed="false">
      <c r="A417" s="180" t="n">
        <v>45839</v>
      </c>
      <c r="B417" s="181" t="n">
        <v>45852</v>
      </c>
      <c r="C417" s="178" t="s">
        <v>633</v>
      </c>
      <c r="D417" s="178" t="s">
        <v>947</v>
      </c>
      <c r="E417" s="178" t="s">
        <v>632</v>
      </c>
      <c r="F417" s="179" t="n">
        <v>16949</v>
      </c>
      <c r="G417" s="179" t="n">
        <v>3051</v>
      </c>
      <c r="H417" s="179" t="n">
        <v>20000</v>
      </c>
      <c r="I417" s="178" t="s">
        <v>900</v>
      </c>
    </row>
    <row r="418" customFormat="false" ht="12" hidden="false" customHeight="false" outlineLevel="0" collapsed="false">
      <c r="A418" s="180" t="n">
        <v>45839</v>
      </c>
      <c r="B418" s="181" t="n">
        <v>45852</v>
      </c>
      <c r="C418" s="178" t="s">
        <v>634</v>
      </c>
      <c r="D418" s="178" t="s">
        <v>897</v>
      </c>
      <c r="E418" s="178" t="s">
        <v>346</v>
      </c>
      <c r="F418" s="179" t="n">
        <v>6250</v>
      </c>
      <c r="G418" s="179" t="n">
        <v>1125</v>
      </c>
      <c r="H418" s="179" t="n">
        <v>7375</v>
      </c>
      <c r="I418" s="178" t="s">
        <v>900</v>
      </c>
    </row>
    <row r="419" customFormat="false" ht="12" hidden="false" customHeight="false" outlineLevel="0" collapsed="false">
      <c r="A419" s="180" t="n">
        <v>45839</v>
      </c>
      <c r="B419" s="181" t="n">
        <v>45852</v>
      </c>
      <c r="C419" s="178" t="s">
        <v>635</v>
      </c>
      <c r="D419" s="178" t="s">
        <v>897</v>
      </c>
      <c r="E419" s="178" t="s">
        <v>346</v>
      </c>
      <c r="F419" s="179" t="n">
        <v>20000</v>
      </c>
      <c r="G419" s="179" t="n">
        <v>3600</v>
      </c>
      <c r="H419" s="179" t="n">
        <v>23600</v>
      </c>
      <c r="I419" s="178" t="s">
        <v>900</v>
      </c>
    </row>
    <row r="420" customFormat="false" ht="12" hidden="false" customHeight="false" outlineLevel="0" collapsed="false">
      <c r="A420" s="180" t="n">
        <v>45839</v>
      </c>
      <c r="B420" s="181" t="n">
        <v>45853</v>
      </c>
      <c r="C420" s="178" t="s">
        <v>697</v>
      </c>
      <c r="D420" s="178" t="s">
        <v>947</v>
      </c>
      <c r="E420" s="178" t="s">
        <v>177</v>
      </c>
      <c r="F420" s="179" t="n">
        <v>184593</v>
      </c>
      <c r="G420" s="179" t="n">
        <v>33227</v>
      </c>
      <c r="H420" s="179" t="n">
        <v>217819</v>
      </c>
      <c r="I420" s="178" t="s">
        <v>900</v>
      </c>
    </row>
    <row r="421" customFormat="false" ht="12" hidden="false" customHeight="false" outlineLevel="0" collapsed="false">
      <c r="A421" s="180" t="n">
        <v>45839</v>
      </c>
      <c r="B421" s="181" t="n">
        <v>45853</v>
      </c>
      <c r="C421" s="178" t="s">
        <v>1127</v>
      </c>
      <c r="D421" s="178" t="s">
        <v>947</v>
      </c>
      <c r="E421" s="178" t="s">
        <v>184</v>
      </c>
      <c r="F421" s="179" t="n">
        <v>16950</v>
      </c>
      <c r="G421" s="179" t="n">
        <v>3051</v>
      </c>
      <c r="H421" s="179" t="n">
        <v>20001</v>
      </c>
      <c r="I421" s="178" t="s">
        <v>900</v>
      </c>
    </row>
    <row r="422" customFormat="false" ht="12" hidden="false" customHeight="false" outlineLevel="0" collapsed="false">
      <c r="A422" s="180" t="n">
        <v>45839</v>
      </c>
      <c r="B422" s="181" t="n">
        <v>45853</v>
      </c>
      <c r="C422" s="178" t="s">
        <v>637</v>
      </c>
      <c r="D422" s="178" t="s">
        <v>897</v>
      </c>
      <c r="E422" s="178" t="s">
        <v>636</v>
      </c>
      <c r="F422" s="179" t="n">
        <v>40500</v>
      </c>
      <c r="G422" s="179" t="n">
        <v>7290</v>
      </c>
      <c r="H422" s="179" t="n">
        <v>47790</v>
      </c>
      <c r="I422" s="178" t="s">
        <v>900</v>
      </c>
    </row>
    <row r="423" customFormat="false" ht="12" hidden="false" customHeight="false" outlineLevel="0" collapsed="false">
      <c r="A423" s="180" t="n">
        <v>45839</v>
      </c>
      <c r="B423" s="181" t="n">
        <v>45853</v>
      </c>
      <c r="C423" s="178" t="s">
        <v>639</v>
      </c>
      <c r="D423" s="178" t="s">
        <v>897</v>
      </c>
      <c r="E423" s="178" t="s">
        <v>638</v>
      </c>
      <c r="F423" s="179" t="n">
        <v>30000</v>
      </c>
      <c r="G423" s="179" t="n">
        <v>5400</v>
      </c>
      <c r="H423" s="179" t="n">
        <v>35400</v>
      </c>
      <c r="I423" s="178" t="s">
        <v>900</v>
      </c>
    </row>
    <row r="424" customFormat="false" ht="12" hidden="false" customHeight="false" outlineLevel="0" collapsed="false">
      <c r="A424" s="180" t="n">
        <v>45839</v>
      </c>
      <c r="B424" s="181" t="n">
        <v>45854</v>
      </c>
      <c r="C424" s="178" t="s">
        <v>1128</v>
      </c>
      <c r="D424" s="178" t="s">
        <v>897</v>
      </c>
      <c r="E424" s="178" t="s">
        <v>898</v>
      </c>
      <c r="F424" s="179" t="n">
        <v>2964</v>
      </c>
      <c r="G424" s="179" t="n">
        <v>533</v>
      </c>
      <c r="H424" s="179" t="n">
        <v>3497</v>
      </c>
      <c r="I424" s="178" t="s">
        <v>898</v>
      </c>
    </row>
    <row r="425" customFormat="false" ht="12" hidden="false" customHeight="false" outlineLevel="0" collapsed="false">
      <c r="A425" s="180" t="n">
        <v>45839</v>
      </c>
      <c r="B425" s="181" t="n">
        <v>45854</v>
      </c>
      <c r="C425" s="178" t="s">
        <v>641</v>
      </c>
      <c r="D425" s="178" t="s">
        <v>897</v>
      </c>
      <c r="E425" s="178" t="s">
        <v>640</v>
      </c>
      <c r="F425" s="179" t="n">
        <v>8000</v>
      </c>
      <c r="G425" s="179" t="n">
        <v>1440</v>
      </c>
      <c r="H425" s="179" t="n">
        <v>9440</v>
      </c>
      <c r="I425" s="178" t="s">
        <v>900</v>
      </c>
    </row>
    <row r="426" customFormat="false" ht="12" hidden="false" customHeight="false" outlineLevel="0" collapsed="false">
      <c r="A426" s="180" t="n">
        <v>45839</v>
      </c>
      <c r="B426" s="181" t="n">
        <v>45854</v>
      </c>
      <c r="C426" s="178" t="s">
        <v>1129</v>
      </c>
      <c r="D426" s="178" t="s">
        <v>947</v>
      </c>
      <c r="E426" s="178" t="s">
        <v>145</v>
      </c>
      <c r="F426" s="179" t="n">
        <v>67797</v>
      </c>
      <c r="G426" s="179" t="n">
        <v>12203</v>
      </c>
      <c r="H426" s="179" t="n">
        <v>80000</v>
      </c>
      <c r="I426" s="178" t="s">
        <v>900</v>
      </c>
    </row>
    <row r="427" customFormat="false" ht="12" hidden="false" customHeight="false" outlineLevel="0" collapsed="false">
      <c r="A427" s="180" t="n">
        <v>45839</v>
      </c>
      <c r="B427" s="181" t="n">
        <v>45854</v>
      </c>
      <c r="C427" s="178" t="s">
        <v>644</v>
      </c>
      <c r="D427" s="178" t="s">
        <v>897</v>
      </c>
      <c r="E427" s="178" t="s">
        <v>643</v>
      </c>
      <c r="F427" s="179" t="n">
        <v>21600</v>
      </c>
      <c r="G427" s="179" t="n">
        <v>3888</v>
      </c>
      <c r="H427" s="179" t="n">
        <v>25488</v>
      </c>
      <c r="I427" s="178" t="s">
        <v>900</v>
      </c>
    </row>
    <row r="428" customFormat="false" ht="12" hidden="false" customHeight="false" outlineLevel="0" collapsed="false">
      <c r="A428" s="180" t="n">
        <v>45839</v>
      </c>
      <c r="B428" s="181" t="n">
        <v>45854</v>
      </c>
      <c r="C428" s="178" t="s">
        <v>645</v>
      </c>
      <c r="D428" s="178" t="s">
        <v>897</v>
      </c>
      <c r="E428" s="178" t="s">
        <v>483</v>
      </c>
      <c r="F428" s="179" t="n">
        <v>70000</v>
      </c>
      <c r="G428" s="179" t="n">
        <v>12600</v>
      </c>
      <c r="H428" s="179" t="n">
        <v>82600</v>
      </c>
      <c r="I428" s="178" t="s">
        <v>900</v>
      </c>
    </row>
    <row r="429" customFormat="false" ht="12" hidden="false" customHeight="false" outlineLevel="0" collapsed="false">
      <c r="A429" s="180" t="n">
        <v>45839</v>
      </c>
      <c r="B429" s="181" t="n">
        <v>45854</v>
      </c>
      <c r="C429" s="178" t="s">
        <v>646</v>
      </c>
      <c r="D429" s="178" t="s">
        <v>947</v>
      </c>
      <c r="E429" s="178" t="s">
        <v>288</v>
      </c>
      <c r="F429" s="179" t="n">
        <v>142373</v>
      </c>
      <c r="G429" s="179" t="n">
        <v>25627</v>
      </c>
      <c r="H429" s="179" t="n">
        <v>168000</v>
      </c>
      <c r="I429" s="178" t="s">
        <v>900</v>
      </c>
    </row>
    <row r="430" customFormat="false" ht="12" hidden="false" customHeight="false" outlineLevel="0" collapsed="false">
      <c r="A430" s="180" t="n">
        <v>45839</v>
      </c>
      <c r="B430" s="181" t="n">
        <v>45854</v>
      </c>
      <c r="C430" s="178" t="s">
        <v>647</v>
      </c>
      <c r="D430" s="178" t="s">
        <v>897</v>
      </c>
      <c r="E430" s="178" t="s">
        <v>522</v>
      </c>
      <c r="F430" s="179" t="n">
        <v>35000</v>
      </c>
      <c r="G430" s="179" t="n">
        <v>6300</v>
      </c>
      <c r="H430" s="179" t="n">
        <v>41300</v>
      </c>
      <c r="I430" s="178" t="s">
        <v>900</v>
      </c>
    </row>
    <row r="431" customFormat="false" ht="12" hidden="false" customHeight="false" outlineLevel="0" collapsed="false">
      <c r="A431" s="180" t="n">
        <v>45839</v>
      </c>
      <c r="B431" s="181" t="n">
        <v>45855</v>
      </c>
      <c r="C431" s="178" t="s">
        <v>649</v>
      </c>
      <c r="D431" s="178" t="s">
        <v>897</v>
      </c>
      <c r="E431" s="178" t="s">
        <v>648</v>
      </c>
      <c r="F431" s="179" t="n">
        <v>70000</v>
      </c>
      <c r="G431" s="179" t="n">
        <v>12600</v>
      </c>
      <c r="H431" s="179" t="n">
        <v>82600</v>
      </c>
      <c r="I431" s="178" t="s">
        <v>900</v>
      </c>
    </row>
    <row r="432" customFormat="false" ht="12" hidden="false" customHeight="false" outlineLevel="0" collapsed="false">
      <c r="A432" s="180" t="n">
        <v>45839</v>
      </c>
      <c r="B432" s="181" t="n">
        <v>45855</v>
      </c>
      <c r="C432" s="178" t="s">
        <v>1130</v>
      </c>
      <c r="D432" s="178" t="s">
        <v>897</v>
      </c>
      <c r="E432" s="178" t="s">
        <v>514</v>
      </c>
      <c r="F432" s="179" t="n">
        <v>30000</v>
      </c>
      <c r="G432" s="179" t="n">
        <v>5400</v>
      </c>
      <c r="H432" s="179" t="n">
        <v>35400</v>
      </c>
      <c r="I432" s="178" t="s">
        <v>900</v>
      </c>
    </row>
    <row r="433" customFormat="false" ht="12" hidden="false" customHeight="false" outlineLevel="0" collapsed="false">
      <c r="A433" s="180" t="n">
        <v>45839</v>
      </c>
      <c r="B433" s="181" t="n">
        <v>45855</v>
      </c>
      <c r="C433" s="178" t="s">
        <v>1131</v>
      </c>
      <c r="D433" s="178" t="s">
        <v>897</v>
      </c>
      <c r="E433" s="178" t="s">
        <v>652</v>
      </c>
      <c r="F433" s="179" t="n">
        <v>7000</v>
      </c>
      <c r="G433" s="179" t="n">
        <v>1260</v>
      </c>
      <c r="H433" s="179" t="n">
        <v>8260</v>
      </c>
      <c r="I433" s="178" t="s">
        <v>900</v>
      </c>
    </row>
    <row r="434" customFormat="false" ht="12" hidden="false" customHeight="false" outlineLevel="0" collapsed="false">
      <c r="A434" s="180" t="n">
        <v>45839</v>
      </c>
      <c r="B434" s="181" t="n">
        <v>45856</v>
      </c>
      <c r="C434" s="178" t="s">
        <v>655</v>
      </c>
      <c r="D434" s="178" t="s">
        <v>897</v>
      </c>
      <c r="E434" s="178" t="s">
        <v>654</v>
      </c>
      <c r="F434" s="179" t="n">
        <v>70000</v>
      </c>
      <c r="G434" s="179" t="n">
        <v>12600</v>
      </c>
      <c r="H434" s="179" t="n">
        <v>82600</v>
      </c>
      <c r="I434" s="178" t="s">
        <v>900</v>
      </c>
    </row>
    <row r="435" customFormat="false" ht="12" hidden="false" customHeight="false" outlineLevel="0" collapsed="false">
      <c r="A435" s="180" t="n">
        <v>45839</v>
      </c>
      <c r="B435" s="181" t="n">
        <v>45856</v>
      </c>
      <c r="C435" s="178" t="s">
        <v>657</v>
      </c>
      <c r="D435" s="178" t="s">
        <v>947</v>
      </c>
      <c r="E435" s="178" t="s">
        <v>656</v>
      </c>
      <c r="F435" s="179" t="n">
        <v>259207</v>
      </c>
      <c r="G435" s="179" t="n">
        <v>46657</v>
      </c>
      <c r="H435" s="179" t="n">
        <v>305864</v>
      </c>
      <c r="I435" s="178" t="s">
        <v>900</v>
      </c>
    </row>
    <row r="436" customFormat="false" ht="12" hidden="false" customHeight="false" outlineLevel="0" collapsed="false">
      <c r="A436" s="180" t="n">
        <v>45839</v>
      </c>
      <c r="B436" s="181" t="n">
        <v>45857</v>
      </c>
      <c r="C436" s="178" t="s">
        <v>1132</v>
      </c>
      <c r="D436" s="178" t="s">
        <v>897</v>
      </c>
      <c r="E436" s="178" t="s">
        <v>563</v>
      </c>
      <c r="F436" s="179" t="n">
        <v>6000</v>
      </c>
      <c r="G436" s="179" t="n">
        <v>1080</v>
      </c>
      <c r="H436" s="179" t="n">
        <v>7080</v>
      </c>
      <c r="I436" s="178" t="s">
        <v>900</v>
      </c>
    </row>
    <row r="437" customFormat="false" ht="12" hidden="false" customHeight="false" outlineLevel="0" collapsed="false">
      <c r="A437" s="180" t="n">
        <v>45839</v>
      </c>
      <c r="B437" s="181" t="n">
        <v>45857</v>
      </c>
      <c r="C437" s="178" t="s">
        <v>1133</v>
      </c>
      <c r="D437" s="178" t="s">
        <v>897</v>
      </c>
      <c r="E437" s="178" t="s">
        <v>566</v>
      </c>
      <c r="F437" s="179" t="n">
        <v>5000</v>
      </c>
      <c r="G437" s="179" t="n">
        <v>900</v>
      </c>
      <c r="H437" s="179" t="n">
        <v>5900</v>
      </c>
      <c r="I437" s="178" t="s">
        <v>900</v>
      </c>
    </row>
    <row r="438" customFormat="false" ht="12" hidden="false" customHeight="false" outlineLevel="0" collapsed="false">
      <c r="A438" s="180" t="n">
        <v>45839</v>
      </c>
      <c r="B438" s="181" t="n">
        <v>45857</v>
      </c>
      <c r="C438" s="178" t="s">
        <v>660</v>
      </c>
      <c r="D438" s="178" t="s">
        <v>897</v>
      </c>
      <c r="E438" s="178" t="s">
        <v>659</v>
      </c>
      <c r="F438" s="179" t="n">
        <v>35000</v>
      </c>
      <c r="G438" s="179" t="n">
        <v>6300</v>
      </c>
      <c r="H438" s="179" t="n">
        <v>41300</v>
      </c>
      <c r="I438" s="178" t="s">
        <v>900</v>
      </c>
    </row>
    <row r="439" customFormat="false" ht="12" hidden="false" customHeight="false" outlineLevel="0" collapsed="false">
      <c r="A439" s="180" t="n">
        <v>45839</v>
      </c>
      <c r="B439" s="181" t="n">
        <v>45857</v>
      </c>
      <c r="C439" s="178" t="s">
        <v>662</v>
      </c>
      <c r="D439" s="178" t="s">
        <v>947</v>
      </c>
      <c r="E439" s="178" t="s">
        <v>661</v>
      </c>
      <c r="F439" s="179" t="n">
        <v>138000</v>
      </c>
      <c r="G439" s="179" t="n">
        <v>24840</v>
      </c>
      <c r="H439" s="179" t="n">
        <v>162840</v>
      </c>
      <c r="I439" s="178" t="s">
        <v>900</v>
      </c>
    </row>
    <row r="440" customFormat="false" ht="12" hidden="false" customHeight="false" outlineLevel="0" collapsed="false">
      <c r="A440" s="180" t="n">
        <v>45839</v>
      </c>
      <c r="B440" s="181" t="n">
        <v>45857</v>
      </c>
      <c r="C440" s="178" t="s">
        <v>663</v>
      </c>
      <c r="D440" s="178" t="s">
        <v>897</v>
      </c>
      <c r="E440" s="178" t="s">
        <v>234</v>
      </c>
      <c r="F440" s="179" t="n">
        <v>1263600</v>
      </c>
      <c r="G440" s="179" t="n">
        <v>227448</v>
      </c>
      <c r="H440" s="179" t="n">
        <v>1491048</v>
      </c>
      <c r="I440" s="178" t="s">
        <v>900</v>
      </c>
    </row>
    <row r="441" customFormat="false" ht="12" hidden="false" customHeight="false" outlineLevel="0" collapsed="false">
      <c r="A441" s="180" t="n">
        <v>45839</v>
      </c>
      <c r="B441" s="181" t="n">
        <v>45859</v>
      </c>
      <c r="C441" s="178" t="s">
        <v>1134</v>
      </c>
      <c r="D441" s="178" t="s">
        <v>947</v>
      </c>
      <c r="E441" s="178" t="s">
        <v>344</v>
      </c>
      <c r="F441" s="179" t="n">
        <v>10000</v>
      </c>
      <c r="G441" s="179" t="n">
        <v>1800</v>
      </c>
      <c r="H441" s="179" t="n">
        <v>11800</v>
      </c>
      <c r="I441" s="178" t="s">
        <v>900</v>
      </c>
    </row>
    <row r="442" customFormat="false" ht="12" hidden="false" customHeight="false" outlineLevel="0" collapsed="false">
      <c r="A442" s="180" t="n">
        <v>45839</v>
      </c>
      <c r="B442" s="181" t="n">
        <v>45859</v>
      </c>
      <c r="C442" s="178" t="s">
        <v>665</v>
      </c>
      <c r="D442" s="178" t="s">
        <v>897</v>
      </c>
      <c r="E442" s="178" t="s">
        <v>664</v>
      </c>
      <c r="F442" s="179" t="n">
        <v>96522</v>
      </c>
      <c r="G442" s="179" t="n">
        <v>17374</v>
      </c>
      <c r="H442" s="179" t="n">
        <v>113896</v>
      </c>
      <c r="I442" s="178" t="s">
        <v>900</v>
      </c>
    </row>
    <row r="443" customFormat="false" ht="12" hidden="false" customHeight="false" outlineLevel="0" collapsed="false">
      <c r="A443" s="180" t="n">
        <v>45839</v>
      </c>
      <c r="B443" s="181" t="n">
        <v>45859</v>
      </c>
      <c r="C443" s="178" t="s">
        <v>667</v>
      </c>
      <c r="D443" s="178" t="s">
        <v>947</v>
      </c>
      <c r="E443" s="178" t="s">
        <v>666</v>
      </c>
      <c r="F443" s="179" t="n">
        <v>20000</v>
      </c>
      <c r="G443" s="179" t="n">
        <v>3600</v>
      </c>
      <c r="H443" s="179" t="n">
        <v>23600</v>
      </c>
      <c r="I443" s="178" t="s">
        <v>900</v>
      </c>
    </row>
    <row r="444" customFormat="false" ht="12" hidden="false" customHeight="false" outlineLevel="0" collapsed="false">
      <c r="A444" s="180" t="n">
        <v>45839</v>
      </c>
      <c r="B444" s="181" t="n">
        <v>45859</v>
      </c>
      <c r="C444" s="178" t="s">
        <v>670</v>
      </c>
      <c r="D444" s="178" t="s">
        <v>897</v>
      </c>
      <c r="E444" s="178" t="s">
        <v>669</v>
      </c>
      <c r="F444" s="179" t="n">
        <v>6000</v>
      </c>
      <c r="G444" s="179" t="n">
        <v>1080</v>
      </c>
      <c r="H444" s="179" t="n">
        <v>7080</v>
      </c>
      <c r="I444" s="178" t="s">
        <v>900</v>
      </c>
    </row>
    <row r="445" customFormat="false" ht="12" hidden="false" customHeight="false" outlineLevel="0" collapsed="false">
      <c r="A445" s="180" t="n">
        <v>45839</v>
      </c>
      <c r="B445" s="181" t="n">
        <v>45859</v>
      </c>
      <c r="C445" s="178" t="s">
        <v>672</v>
      </c>
      <c r="D445" s="178" t="s">
        <v>897</v>
      </c>
      <c r="E445" s="178" t="s">
        <v>671</v>
      </c>
      <c r="F445" s="179" t="n">
        <v>180000</v>
      </c>
      <c r="G445" s="179" t="n">
        <v>32400</v>
      </c>
      <c r="H445" s="179" t="n">
        <v>212400</v>
      </c>
      <c r="I445" s="178" t="s">
        <v>900</v>
      </c>
    </row>
    <row r="446" customFormat="false" ht="12" hidden="false" customHeight="false" outlineLevel="0" collapsed="false">
      <c r="A446" s="180" t="n">
        <v>45839</v>
      </c>
      <c r="B446" s="181" t="n">
        <v>45859</v>
      </c>
      <c r="C446" s="178" t="s">
        <v>1135</v>
      </c>
      <c r="D446" s="178" t="s">
        <v>947</v>
      </c>
      <c r="E446" s="178" t="s">
        <v>286</v>
      </c>
      <c r="F446" s="179" t="n">
        <v>35000</v>
      </c>
      <c r="G446" s="179" t="n">
        <v>6300</v>
      </c>
      <c r="H446" s="179" t="n">
        <v>41300</v>
      </c>
      <c r="I446" s="178" t="s">
        <v>900</v>
      </c>
    </row>
    <row r="447" customFormat="false" ht="12" hidden="false" customHeight="false" outlineLevel="0" collapsed="false">
      <c r="A447" s="180" t="n">
        <v>45839</v>
      </c>
      <c r="B447" s="181" t="n">
        <v>45859</v>
      </c>
      <c r="C447" s="178" t="s">
        <v>674</v>
      </c>
      <c r="D447" s="178" t="s">
        <v>897</v>
      </c>
      <c r="E447" s="178" t="s">
        <v>125</v>
      </c>
      <c r="F447" s="179" t="n">
        <v>600000</v>
      </c>
      <c r="G447" s="179" t="n">
        <v>108000</v>
      </c>
      <c r="H447" s="179" t="n">
        <v>708000</v>
      </c>
      <c r="I447" s="178" t="s">
        <v>900</v>
      </c>
    </row>
    <row r="448" customFormat="false" ht="12" hidden="false" customHeight="false" outlineLevel="0" collapsed="false">
      <c r="A448" s="180" t="n">
        <v>45839</v>
      </c>
      <c r="B448" s="181" t="n">
        <v>45859</v>
      </c>
      <c r="C448" s="178" t="s">
        <v>676</v>
      </c>
      <c r="D448" s="178" t="s">
        <v>897</v>
      </c>
      <c r="E448" s="178" t="s">
        <v>675</v>
      </c>
      <c r="F448" s="179" t="n">
        <v>600000</v>
      </c>
      <c r="G448" s="179" t="n">
        <v>108000</v>
      </c>
      <c r="H448" s="179" t="n">
        <v>708000</v>
      </c>
      <c r="I448" s="178" t="s">
        <v>900</v>
      </c>
    </row>
    <row r="449" customFormat="false" ht="12" hidden="false" customHeight="false" outlineLevel="0" collapsed="false">
      <c r="A449" s="180" t="n">
        <v>45839</v>
      </c>
      <c r="B449" s="181" t="n">
        <v>45859</v>
      </c>
      <c r="C449" s="178" t="s">
        <v>678</v>
      </c>
      <c r="D449" s="178" t="s">
        <v>947</v>
      </c>
      <c r="E449" s="178" t="s">
        <v>677</v>
      </c>
      <c r="F449" s="179" t="n">
        <v>5085</v>
      </c>
      <c r="G449" s="179" t="n">
        <v>915</v>
      </c>
      <c r="H449" s="179" t="n">
        <v>6000</v>
      </c>
      <c r="I449" s="178" t="s">
        <v>900</v>
      </c>
    </row>
    <row r="450" customFormat="false" ht="12" hidden="false" customHeight="false" outlineLevel="0" collapsed="false">
      <c r="A450" s="180" t="n">
        <v>45839</v>
      </c>
      <c r="B450" s="181" t="n">
        <v>45859</v>
      </c>
      <c r="C450" s="178" t="s">
        <v>680</v>
      </c>
      <c r="D450" s="178" t="s">
        <v>897</v>
      </c>
      <c r="E450" s="178" t="s">
        <v>679</v>
      </c>
      <c r="F450" s="179" t="n">
        <v>110169</v>
      </c>
      <c r="G450" s="179" t="n">
        <v>19831</v>
      </c>
      <c r="H450" s="179" t="n">
        <v>130000</v>
      </c>
      <c r="I450" s="178" t="s">
        <v>900</v>
      </c>
    </row>
    <row r="451" customFormat="false" ht="12" hidden="false" customHeight="false" outlineLevel="0" collapsed="false">
      <c r="A451" s="180" t="n">
        <v>45839</v>
      </c>
      <c r="B451" s="181" t="n">
        <v>45859</v>
      </c>
      <c r="C451" s="178" t="s">
        <v>682</v>
      </c>
      <c r="D451" s="178" t="s">
        <v>947</v>
      </c>
      <c r="E451" s="178" t="s">
        <v>681</v>
      </c>
      <c r="F451" s="179" t="n">
        <v>60000</v>
      </c>
      <c r="G451" s="179" t="n">
        <v>10800</v>
      </c>
      <c r="H451" s="179" t="n">
        <v>70800</v>
      </c>
      <c r="I451" s="178" t="s">
        <v>900</v>
      </c>
    </row>
    <row r="452" customFormat="false" ht="12" hidden="false" customHeight="false" outlineLevel="0" collapsed="false">
      <c r="A452" s="180" t="n">
        <v>45839</v>
      </c>
      <c r="B452" s="181" t="n">
        <v>45860</v>
      </c>
      <c r="C452" s="178" t="s">
        <v>684</v>
      </c>
      <c r="D452" s="178" t="s">
        <v>947</v>
      </c>
      <c r="E452" s="178" t="s">
        <v>683</v>
      </c>
      <c r="F452" s="179" t="n">
        <v>20000</v>
      </c>
      <c r="G452" s="179" t="n">
        <v>3600</v>
      </c>
      <c r="H452" s="179" t="n">
        <v>23600</v>
      </c>
      <c r="I452" s="178" t="s">
        <v>900</v>
      </c>
    </row>
    <row r="453" customFormat="false" ht="12" hidden="false" customHeight="false" outlineLevel="0" collapsed="false">
      <c r="A453" s="180" t="n">
        <v>45839</v>
      </c>
      <c r="B453" s="181" t="n">
        <v>45860</v>
      </c>
      <c r="C453" s="178" t="s">
        <v>1136</v>
      </c>
      <c r="D453" s="178" t="s">
        <v>947</v>
      </c>
      <c r="E453" s="178" t="s">
        <v>157</v>
      </c>
      <c r="F453" s="179" t="n">
        <v>15000</v>
      </c>
      <c r="G453" s="179" t="n">
        <v>2700</v>
      </c>
      <c r="H453" s="179" t="n">
        <v>17700</v>
      </c>
      <c r="I453" s="178" t="s">
        <v>900</v>
      </c>
    </row>
    <row r="454" customFormat="false" ht="12" hidden="false" customHeight="false" outlineLevel="0" collapsed="false">
      <c r="A454" s="180" t="n">
        <v>45839</v>
      </c>
      <c r="B454" s="181" t="n">
        <v>45860</v>
      </c>
      <c r="C454" s="178" t="s">
        <v>688</v>
      </c>
      <c r="D454" s="178" t="s">
        <v>897</v>
      </c>
      <c r="E454" s="178" t="s">
        <v>687</v>
      </c>
      <c r="F454" s="179" t="n">
        <v>20000</v>
      </c>
      <c r="G454" s="179" t="n">
        <v>3600</v>
      </c>
      <c r="H454" s="179" t="n">
        <v>23600</v>
      </c>
      <c r="I454" s="178" t="s">
        <v>900</v>
      </c>
    </row>
    <row r="455" customFormat="false" ht="12" hidden="false" customHeight="false" outlineLevel="0" collapsed="false">
      <c r="A455" s="180" t="n">
        <v>45839</v>
      </c>
      <c r="B455" s="181" t="n">
        <v>45861</v>
      </c>
      <c r="C455" s="178" t="s">
        <v>690</v>
      </c>
      <c r="D455" s="178" t="s">
        <v>897</v>
      </c>
      <c r="E455" s="178" t="s">
        <v>689</v>
      </c>
      <c r="F455" s="179" t="n">
        <v>70000</v>
      </c>
      <c r="G455" s="179" t="n">
        <v>12600</v>
      </c>
      <c r="H455" s="179" t="n">
        <v>82600</v>
      </c>
      <c r="I455" s="178" t="s">
        <v>900</v>
      </c>
    </row>
    <row r="456" customFormat="false" ht="12" hidden="false" customHeight="false" outlineLevel="0" collapsed="false">
      <c r="A456" s="180" t="n">
        <v>45839</v>
      </c>
      <c r="B456" s="181" t="n">
        <v>45861</v>
      </c>
      <c r="C456" s="178" t="s">
        <v>692</v>
      </c>
      <c r="D456" s="178" t="s">
        <v>947</v>
      </c>
      <c r="E456" s="178" t="s">
        <v>691</v>
      </c>
      <c r="F456" s="179" t="n">
        <v>35000</v>
      </c>
      <c r="G456" s="179" t="n">
        <v>6300</v>
      </c>
      <c r="H456" s="179" t="n">
        <v>41300</v>
      </c>
      <c r="I456" s="178" t="s">
        <v>900</v>
      </c>
    </row>
    <row r="457" customFormat="false" ht="12" hidden="false" customHeight="false" outlineLevel="0" collapsed="false">
      <c r="A457" s="180" t="n">
        <v>45839</v>
      </c>
      <c r="B457" s="181" t="n">
        <v>45862</v>
      </c>
      <c r="C457" s="178" t="s">
        <v>694</v>
      </c>
      <c r="D457" s="178" t="s">
        <v>897</v>
      </c>
      <c r="E457" s="178" t="s">
        <v>693</v>
      </c>
      <c r="F457" s="179" t="n">
        <v>171000</v>
      </c>
      <c r="G457" s="179" t="n">
        <v>30780</v>
      </c>
      <c r="H457" s="179" t="n">
        <v>201780</v>
      </c>
      <c r="I457" s="178" t="s">
        <v>900</v>
      </c>
    </row>
    <row r="458" customFormat="false" ht="12" hidden="false" customHeight="false" outlineLevel="0" collapsed="false">
      <c r="A458" s="180" t="n">
        <v>45839</v>
      </c>
      <c r="B458" s="181" t="n">
        <v>45864</v>
      </c>
      <c r="C458" s="178" t="s">
        <v>1137</v>
      </c>
      <c r="D458" s="178" t="s">
        <v>897</v>
      </c>
      <c r="E458" s="178" t="s">
        <v>898</v>
      </c>
      <c r="F458" s="179" t="n">
        <v>5501</v>
      </c>
      <c r="G458" s="179" t="n">
        <v>990</v>
      </c>
      <c r="H458" s="179" t="n">
        <v>6491</v>
      </c>
      <c r="I458" s="178" t="s">
        <v>898</v>
      </c>
    </row>
    <row r="459" customFormat="false" ht="12" hidden="false" customHeight="false" outlineLevel="0" collapsed="false">
      <c r="A459" s="180" t="n">
        <v>45839</v>
      </c>
      <c r="B459" s="181" t="n">
        <v>45864</v>
      </c>
      <c r="C459" s="178" t="s">
        <v>1138</v>
      </c>
      <c r="D459" s="178" t="s">
        <v>897</v>
      </c>
      <c r="E459" s="178" t="s">
        <v>898</v>
      </c>
      <c r="F459" s="179" t="n">
        <v>7199</v>
      </c>
      <c r="G459" s="179" t="n">
        <v>1296</v>
      </c>
      <c r="H459" s="179" t="n">
        <v>8495</v>
      </c>
      <c r="I459" s="178" t="s">
        <v>898</v>
      </c>
    </row>
    <row r="460" customFormat="false" ht="12" hidden="false" customHeight="false" outlineLevel="0" collapsed="false">
      <c r="A460" s="180" t="n">
        <v>45839</v>
      </c>
      <c r="B460" s="181" t="n">
        <v>45866</v>
      </c>
      <c r="C460" s="178" t="s">
        <v>696</v>
      </c>
      <c r="D460" s="178" t="s">
        <v>947</v>
      </c>
      <c r="E460" s="178" t="s">
        <v>695</v>
      </c>
      <c r="F460" s="179" t="n">
        <v>122034</v>
      </c>
      <c r="G460" s="179" t="n">
        <v>21966</v>
      </c>
      <c r="H460" s="179" t="n">
        <v>144000</v>
      </c>
      <c r="I460" s="178" t="s">
        <v>900</v>
      </c>
    </row>
    <row r="461" customFormat="false" ht="12" hidden="false" customHeight="false" outlineLevel="0" collapsed="false">
      <c r="A461" s="180" t="n">
        <v>45839</v>
      </c>
      <c r="B461" s="181" t="n">
        <v>45867</v>
      </c>
      <c r="C461" s="178" t="s">
        <v>1139</v>
      </c>
      <c r="D461" s="178" t="s">
        <v>897</v>
      </c>
      <c r="E461" s="178" t="s">
        <v>284</v>
      </c>
      <c r="F461" s="179" t="n">
        <v>6780</v>
      </c>
      <c r="G461" s="179" t="n">
        <v>1220</v>
      </c>
      <c r="H461" s="179" t="n">
        <v>8000</v>
      </c>
      <c r="I461" s="178" t="s">
        <v>900</v>
      </c>
    </row>
    <row r="462" customFormat="false" ht="12" hidden="false" customHeight="false" outlineLevel="0" collapsed="false">
      <c r="A462" s="180" t="n">
        <v>45839</v>
      </c>
      <c r="B462" s="181" t="n">
        <v>45868</v>
      </c>
      <c r="C462" s="178" t="s">
        <v>1140</v>
      </c>
      <c r="D462" s="178" t="s">
        <v>897</v>
      </c>
      <c r="E462" s="178" t="s">
        <v>375</v>
      </c>
      <c r="F462" s="179" t="n">
        <v>9000</v>
      </c>
      <c r="G462" s="179" t="n">
        <v>1620</v>
      </c>
      <c r="H462" s="179" t="n">
        <v>10620</v>
      </c>
      <c r="I462" s="178" t="s">
        <v>900</v>
      </c>
    </row>
    <row r="463" customFormat="false" ht="12" hidden="false" customHeight="false" outlineLevel="0" collapsed="false">
      <c r="A463" s="180" t="n">
        <v>45839</v>
      </c>
      <c r="B463" s="181" t="n">
        <v>45868</v>
      </c>
      <c r="C463" s="178" t="s">
        <v>699</v>
      </c>
      <c r="D463" s="178" t="s">
        <v>897</v>
      </c>
      <c r="E463" s="178" t="s">
        <v>698</v>
      </c>
      <c r="F463" s="179" t="n">
        <v>36000</v>
      </c>
      <c r="G463" s="179" t="n">
        <v>6480</v>
      </c>
      <c r="H463" s="179" t="n">
        <v>42480</v>
      </c>
      <c r="I463" s="178" t="s">
        <v>900</v>
      </c>
    </row>
    <row r="464" customFormat="false" ht="12" hidden="false" customHeight="false" outlineLevel="0" collapsed="false">
      <c r="A464" s="180" t="n">
        <v>45839</v>
      </c>
      <c r="B464" s="181" t="n">
        <v>45868</v>
      </c>
      <c r="C464" s="178" t="s">
        <v>701</v>
      </c>
      <c r="D464" s="178" t="s">
        <v>897</v>
      </c>
      <c r="E464" s="178" t="s">
        <v>700</v>
      </c>
      <c r="F464" s="179" t="n">
        <v>70000</v>
      </c>
      <c r="G464" s="179" t="n">
        <v>12600</v>
      </c>
      <c r="H464" s="179" t="n">
        <v>82600</v>
      </c>
      <c r="I464" s="178" t="s">
        <v>900</v>
      </c>
    </row>
    <row r="465" customFormat="false" ht="12" hidden="false" customHeight="false" outlineLevel="0" collapsed="false">
      <c r="A465" s="180" t="n">
        <v>45839</v>
      </c>
      <c r="B465" s="181" t="n">
        <v>45869</v>
      </c>
      <c r="C465" s="178" t="s">
        <v>702</v>
      </c>
      <c r="D465" s="178" t="s">
        <v>897</v>
      </c>
      <c r="E465" s="178" t="s">
        <v>116</v>
      </c>
      <c r="F465" s="179" t="n">
        <v>1008000</v>
      </c>
      <c r="G465" s="179" t="n">
        <v>181440</v>
      </c>
      <c r="H465" s="179" t="n">
        <v>1189440</v>
      </c>
      <c r="I465" s="178" t="s">
        <v>900</v>
      </c>
    </row>
    <row r="466" customFormat="false" ht="12" hidden="false" customHeight="false" outlineLevel="0" collapsed="false">
      <c r="A466" s="180" t="n">
        <v>45839</v>
      </c>
      <c r="B466" s="181" t="n">
        <v>45856</v>
      </c>
      <c r="C466" s="178" t="s">
        <v>1141</v>
      </c>
      <c r="D466" s="178" t="s">
        <v>897</v>
      </c>
      <c r="E466" s="178" t="s">
        <v>201</v>
      </c>
      <c r="F466" s="179" t="n">
        <v>-15000</v>
      </c>
      <c r="G466" s="179" t="n">
        <v>-2700</v>
      </c>
      <c r="H466" s="179" t="n">
        <v>-17700</v>
      </c>
      <c r="I466" s="178" t="s">
        <v>900</v>
      </c>
    </row>
    <row r="467" customFormat="false" ht="12" hidden="false" customHeight="false" outlineLevel="0" collapsed="false">
      <c r="A467" s="180" t="n">
        <v>45839</v>
      </c>
      <c r="B467" s="181" t="n">
        <v>45856</v>
      </c>
      <c r="C467" s="178" t="s">
        <v>1142</v>
      </c>
      <c r="D467" s="178" t="s">
        <v>897</v>
      </c>
      <c r="E467" s="178" t="s">
        <v>201</v>
      </c>
      <c r="F467" s="179" t="n">
        <v>-15000</v>
      </c>
      <c r="G467" s="179" t="n">
        <v>-2700</v>
      </c>
      <c r="H467" s="179" t="n">
        <v>-17700</v>
      </c>
      <c r="I467" s="178" t="s">
        <v>900</v>
      </c>
    </row>
    <row r="468" customFormat="false" ht="12" hidden="false" customHeight="false" outlineLevel="0" collapsed="false">
      <c r="A468" s="180" t="n">
        <v>45839</v>
      </c>
      <c r="B468" s="181" t="n">
        <v>45869</v>
      </c>
      <c r="C468" s="178" t="s">
        <v>1143</v>
      </c>
      <c r="D468" s="178" t="s">
        <v>897</v>
      </c>
      <c r="E468" s="178" t="s">
        <v>187</v>
      </c>
      <c r="F468" s="179" t="n">
        <v>-10000</v>
      </c>
      <c r="G468" s="179" t="n">
        <v>-1800</v>
      </c>
      <c r="H468" s="179" t="n">
        <v>-11800</v>
      </c>
      <c r="I468" s="178" t="s">
        <v>900</v>
      </c>
    </row>
    <row r="469" customFormat="false" ht="12" hidden="false" customHeight="false" outlineLevel="0" collapsed="false">
      <c r="A469" s="180" t="n">
        <v>45839</v>
      </c>
      <c r="B469" s="181" t="n">
        <v>45869</v>
      </c>
      <c r="C469" s="178" t="s">
        <v>1144</v>
      </c>
      <c r="D469" s="178" t="s">
        <v>897</v>
      </c>
      <c r="E469" s="178" t="s">
        <v>187</v>
      </c>
      <c r="F469" s="179" t="n">
        <v>-10000</v>
      </c>
      <c r="G469" s="179" t="n">
        <v>-1800</v>
      </c>
      <c r="H469" s="179" t="n">
        <v>-11800</v>
      </c>
      <c r="I469" s="178" t="s">
        <v>900</v>
      </c>
    </row>
    <row r="470" customFormat="false" ht="12" hidden="false" customHeight="false" outlineLevel="0" collapsed="false">
      <c r="A470" s="180" t="n">
        <v>45839</v>
      </c>
      <c r="B470" s="181" t="n">
        <v>45869</v>
      </c>
      <c r="C470" s="178" t="s">
        <v>704</v>
      </c>
      <c r="D470" s="178" t="s">
        <v>897</v>
      </c>
      <c r="E470" s="178" t="s">
        <v>703</v>
      </c>
      <c r="F470" s="179" t="n">
        <v>29661</v>
      </c>
      <c r="G470" s="179" t="n">
        <v>5339</v>
      </c>
      <c r="H470" s="179" t="n">
        <v>35000</v>
      </c>
      <c r="I470" s="178" t="s">
        <v>900</v>
      </c>
    </row>
    <row r="471" customFormat="false" ht="12" hidden="false" customHeight="false" outlineLevel="0" collapsed="false">
      <c r="A471" s="180" t="n">
        <v>45870</v>
      </c>
      <c r="B471" s="181" t="n">
        <v>45870</v>
      </c>
      <c r="C471" s="178" t="s">
        <v>706</v>
      </c>
      <c r="D471" s="178" t="s">
        <v>897</v>
      </c>
      <c r="E471" s="178" t="s">
        <v>705</v>
      </c>
      <c r="F471" s="179" t="n">
        <v>8000</v>
      </c>
      <c r="G471" s="179" t="n">
        <v>1440</v>
      </c>
      <c r="H471" s="179" t="n">
        <v>9440</v>
      </c>
      <c r="I471" s="178" t="s">
        <v>900</v>
      </c>
      <c r="J471" s="178" t="n">
        <f aca="false">VLOOKUP(C471,'FY 25-26-Accrual'!D:I,6,0)</f>
        <v>9440</v>
      </c>
      <c r="K471" s="200" t="n">
        <f aca="false">H471-J471</f>
        <v>0</v>
      </c>
    </row>
    <row r="472" customFormat="false" ht="12" hidden="false" customHeight="false" outlineLevel="0" collapsed="false">
      <c r="A472" s="180" t="n">
        <v>45870</v>
      </c>
      <c r="B472" s="181" t="n">
        <v>45870</v>
      </c>
      <c r="C472" s="178" t="s">
        <v>709</v>
      </c>
      <c r="D472" s="178" t="s">
        <v>947</v>
      </c>
      <c r="E472" s="178" t="s">
        <v>708</v>
      </c>
      <c r="F472" s="179" t="n">
        <v>5000</v>
      </c>
      <c r="G472" s="179" t="n">
        <v>900</v>
      </c>
      <c r="H472" s="179" t="n">
        <v>5900</v>
      </c>
      <c r="I472" s="178" t="s">
        <v>900</v>
      </c>
      <c r="J472" s="178" t="n">
        <f aca="false">VLOOKUP(C472,'FY 25-26-Accrual'!D:I,6,0)</f>
        <v>5900</v>
      </c>
      <c r="K472" s="200" t="n">
        <f aca="false">H472-J472</f>
        <v>0</v>
      </c>
    </row>
    <row r="473" customFormat="false" ht="12" hidden="false" customHeight="false" outlineLevel="0" collapsed="false">
      <c r="A473" s="180" t="n">
        <v>45870</v>
      </c>
      <c r="B473" s="181" t="n">
        <v>45870</v>
      </c>
      <c r="C473" s="178" t="s">
        <v>711</v>
      </c>
      <c r="D473" s="178" t="s">
        <v>947</v>
      </c>
      <c r="E473" s="178" t="s">
        <v>710</v>
      </c>
      <c r="F473" s="179" t="n">
        <v>36000</v>
      </c>
      <c r="G473" s="179" t="n">
        <v>6480</v>
      </c>
      <c r="H473" s="179" t="n">
        <v>42480</v>
      </c>
      <c r="I473" s="178" t="s">
        <v>900</v>
      </c>
      <c r="J473" s="178" t="n">
        <f aca="false">VLOOKUP(C473,'FY 25-26-Accrual'!D:I,6,0)</f>
        <v>42480</v>
      </c>
      <c r="K473" s="200" t="n">
        <f aca="false">H473-J473</f>
        <v>0</v>
      </c>
    </row>
    <row r="474" customFormat="false" ht="12" hidden="false" customHeight="false" outlineLevel="0" collapsed="false">
      <c r="A474" s="180" t="n">
        <v>45870</v>
      </c>
      <c r="B474" s="181" t="n">
        <v>45870</v>
      </c>
      <c r="C474" s="178" t="s">
        <v>712</v>
      </c>
      <c r="D474" s="178" t="s">
        <v>947</v>
      </c>
      <c r="E474" s="178" t="s">
        <v>232</v>
      </c>
      <c r="F474" s="179" t="n">
        <v>299988</v>
      </c>
      <c r="G474" s="179" t="n">
        <v>53998</v>
      </c>
      <c r="H474" s="179" t="n">
        <v>353986</v>
      </c>
      <c r="I474" s="178" t="s">
        <v>900</v>
      </c>
      <c r="J474" s="178" t="n">
        <f aca="false">VLOOKUP(C474,'FY 25-26-Accrual'!D:I,6,0)</f>
        <v>353985.84</v>
      </c>
      <c r="K474" s="200" t="n">
        <f aca="false">H474-J474</f>
        <v>0.159999999974389</v>
      </c>
    </row>
    <row r="475" customFormat="false" ht="12" hidden="false" customHeight="false" outlineLevel="0" collapsed="false">
      <c r="A475" s="180" t="n">
        <v>45870</v>
      </c>
      <c r="B475" s="181" t="n">
        <v>45870</v>
      </c>
      <c r="C475" s="178" t="s">
        <v>714</v>
      </c>
      <c r="D475" s="178" t="s">
        <v>897</v>
      </c>
      <c r="E475" s="178" t="s">
        <v>713</v>
      </c>
      <c r="F475" s="179" t="n">
        <v>54000</v>
      </c>
      <c r="G475" s="179" t="n">
        <v>9720</v>
      </c>
      <c r="H475" s="179" t="n">
        <v>63720</v>
      </c>
      <c r="I475" s="178" t="s">
        <v>900</v>
      </c>
      <c r="J475" s="178" t="n">
        <f aca="false">VLOOKUP(C475,'FY 25-26-Accrual'!D:I,6,0)</f>
        <v>63720</v>
      </c>
      <c r="K475" s="200" t="n">
        <f aca="false">H475-J475</f>
        <v>0</v>
      </c>
    </row>
    <row r="476" customFormat="false" ht="12" hidden="false" customHeight="false" outlineLevel="0" collapsed="false">
      <c r="A476" s="180" t="n">
        <v>45870</v>
      </c>
      <c r="B476" s="181" t="n">
        <v>45872</v>
      </c>
      <c r="C476" s="178" t="s">
        <v>1145</v>
      </c>
      <c r="D476" s="178" t="s">
        <v>897</v>
      </c>
      <c r="E476" s="178" t="s">
        <v>898</v>
      </c>
      <c r="F476" s="179" t="n">
        <v>423</v>
      </c>
      <c r="G476" s="179" t="n">
        <v>76</v>
      </c>
      <c r="H476" s="179" t="n">
        <v>499</v>
      </c>
      <c r="I476" s="178" t="s">
        <v>898</v>
      </c>
      <c r="J476" s="178" t="e">
        <f aca="false">VLOOKUP(C476,'FY 25-26-Accrual'!D:I,6,0)</f>
        <v>#N/A</v>
      </c>
    </row>
    <row r="477" customFormat="false" ht="12" hidden="false" customHeight="false" outlineLevel="0" collapsed="false">
      <c r="A477" s="180" t="n">
        <v>45870</v>
      </c>
      <c r="B477" s="181" t="n">
        <v>45872</v>
      </c>
      <c r="C477" s="178" t="s">
        <v>1146</v>
      </c>
      <c r="D477" s="178" t="s">
        <v>897</v>
      </c>
      <c r="E477" s="178" t="s">
        <v>898</v>
      </c>
      <c r="F477" s="179" t="n">
        <v>846</v>
      </c>
      <c r="G477" s="179" t="n">
        <v>152</v>
      </c>
      <c r="H477" s="179" t="n">
        <v>998</v>
      </c>
      <c r="I477" s="178" t="s">
        <v>898</v>
      </c>
      <c r="J477" s="178" t="e">
        <f aca="false">VLOOKUP(C477,'FY 25-26-Accrual'!D:I,6,0)</f>
        <v>#N/A</v>
      </c>
    </row>
    <row r="478" customFormat="false" ht="12" hidden="false" customHeight="false" outlineLevel="0" collapsed="false">
      <c r="A478" s="180" t="n">
        <v>45870</v>
      </c>
      <c r="B478" s="181" t="n">
        <v>45873</v>
      </c>
      <c r="C478" s="178" t="s">
        <v>715</v>
      </c>
      <c r="D478" s="178" t="s">
        <v>947</v>
      </c>
      <c r="E478" s="178" t="s">
        <v>524</v>
      </c>
      <c r="F478" s="179" t="n">
        <v>80400</v>
      </c>
      <c r="G478" s="179" t="n">
        <v>14472</v>
      </c>
      <c r="H478" s="179" t="n">
        <v>94872</v>
      </c>
      <c r="I478" s="178" t="s">
        <v>900</v>
      </c>
      <c r="J478" s="178" t="n">
        <f aca="false">VLOOKUP(C478,'FY 25-26-Accrual'!D:I,6,0)</f>
        <v>94872</v>
      </c>
      <c r="K478" s="200" t="n">
        <f aca="false">H478-J478</f>
        <v>0</v>
      </c>
    </row>
    <row r="479" customFormat="false" ht="12" hidden="false" customHeight="false" outlineLevel="0" collapsed="false">
      <c r="A479" s="180" t="n">
        <v>45870</v>
      </c>
      <c r="B479" s="181" t="n">
        <v>45873</v>
      </c>
      <c r="C479" s="178" t="s">
        <v>717</v>
      </c>
      <c r="D479" s="178" t="s">
        <v>897</v>
      </c>
      <c r="E479" s="178" t="s">
        <v>716</v>
      </c>
      <c r="F479" s="179" t="n">
        <v>70000</v>
      </c>
      <c r="G479" s="179" t="n">
        <v>12600</v>
      </c>
      <c r="H479" s="179" t="n">
        <v>82600</v>
      </c>
      <c r="I479" s="178" t="s">
        <v>900</v>
      </c>
      <c r="J479" s="178" t="n">
        <f aca="false">VLOOKUP(C479,'FY 25-26-Accrual'!D:I,6,0)</f>
        <v>82600</v>
      </c>
      <c r="K479" s="200" t="n">
        <f aca="false">H479-J479</f>
        <v>0</v>
      </c>
    </row>
    <row r="480" customFormat="false" ht="12" hidden="false" customHeight="false" outlineLevel="0" collapsed="false">
      <c r="A480" s="180" t="n">
        <v>45870</v>
      </c>
      <c r="B480" s="181" t="n">
        <v>45873</v>
      </c>
      <c r="C480" s="178" t="s">
        <v>719</v>
      </c>
      <c r="D480" s="178" t="s">
        <v>897</v>
      </c>
      <c r="E480" s="178" t="s">
        <v>718</v>
      </c>
      <c r="F480" s="179" t="n">
        <v>54000</v>
      </c>
      <c r="G480" s="179" t="n">
        <v>9720</v>
      </c>
      <c r="H480" s="179" t="n">
        <v>63720</v>
      </c>
      <c r="I480" s="178" t="s">
        <v>900</v>
      </c>
      <c r="J480" s="178" t="n">
        <f aca="false">VLOOKUP(C480,'FY 25-26-Accrual'!D:I,6,0)</f>
        <v>63720</v>
      </c>
      <c r="K480" s="200" t="n">
        <f aca="false">H480-J480</f>
        <v>0</v>
      </c>
    </row>
    <row r="481" customFormat="false" ht="12" hidden="false" customHeight="false" outlineLevel="0" collapsed="false">
      <c r="A481" s="180" t="n">
        <v>45870</v>
      </c>
      <c r="B481" s="181" t="n">
        <v>45873</v>
      </c>
      <c r="C481" s="178" t="s">
        <v>720</v>
      </c>
      <c r="D481" s="178" t="s">
        <v>897</v>
      </c>
      <c r="E481" s="178" t="s">
        <v>271</v>
      </c>
      <c r="F481" s="179" t="n">
        <v>486000</v>
      </c>
      <c r="G481" s="179" t="n">
        <v>87480</v>
      </c>
      <c r="H481" s="179" t="n">
        <v>573480</v>
      </c>
      <c r="I481" s="178" t="s">
        <v>900</v>
      </c>
      <c r="J481" s="200" t="n">
        <f aca="false">H481</f>
        <v>573480</v>
      </c>
      <c r="K481" s="200" t="n">
        <f aca="false">H481-J481</f>
        <v>0</v>
      </c>
    </row>
    <row r="482" customFormat="false" ht="12" hidden="false" customHeight="false" outlineLevel="0" collapsed="false">
      <c r="A482" s="180" t="n">
        <v>45870</v>
      </c>
      <c r="B482" s="181" t="n">
        <v>45873</v>
      </c>
      <c r="C482" s="178" t="s">
        <v>722</v>
      </c>
      <c r="D482" s="178" t="s">
        <v>897</v>
      </c>
      <c r="E482" s="178" t="s">
        <v>721</v>
      </c>
      <c r="F482" s="179" t="n">
        <v>160000</v>
      </c>
      <c r="G482" s="179" t="n">
        <v>28800</v>
      </c>
      <c r="H482" s="179" t="n">
        <v>188800</v>
      </c>
      <c r="I482" s="178" t="s">
        <v>900</v>
      </c>
      <c r="J482" s="178" t="n">
        <f aca="false">VLOOKUP(C482,'FY 25-26-Accrual'!D:I,6,0)</f>
        <v>188800</v>
      </c>
      <c r="K482" s="200" t="n">
        <f aca="false">H482-J482</f>
        <v>0</v>
      </c>
    </row>
    <row r="483" customFormat="false" ht="12" hidden="false" customHeight="false" outlineLevel="0" collapsed="false">
      <c r="A483" s="180" t="n">
        <v>45870</v>
      </c>
      <c r="B483" s="181" t="n">
        <v>45874</v>
      </c>
      <c r="C483" s="178" t="s">
        <v>724</v>
      </c>
      <c r="D483" s="178" t="s">
        <v>897</v>
      </c>
      <c r="E483" s="178" t="s">
        <v>723</v>
      </c>
      <c r="F483" s="179" t="n">
        <v>20000</v>
      </c>
      <c r="G483" s="179" t="n">
        <v>3600</v>
      </c>
      <c r="H483" s="179" t="n">
        <v>23600</v>
      </c>
      <c r="I483" s="178" t="s">
        <v>900</v>
      </c>
      <c r="J483" s="178" t="n">
        <f aca="false">VLOOKUP(C483,'FY 25-26-Accrual'!D:I,6,0)</f>
        <v>23600</v>
      </c>
      <c r="K483" s="200" t="n">
        <f aca="false">H483-J483</f>
        <v>0</v>
      </c>
    </row>
    <row r="484" customFormat="false" ht="12" hidden="false" customHeight="false" outlineLevel="0" collapsed="false">
      <c r="A484" s="180" t="n">
        <v>45870</v>
      </c>
      <c r="B484" s="181" t="n">
        <v>45874</v>
      </c>
      <c r="C484" s="178" t="s">
        <v>726</v>
      </c>
      <c r="D484" s="178" t="s">
        <v>897</v>
      </c>
      <c r="E484" s="178" t="s">
        <v>725</v>
      </c>
      <c r="F484" s="179" t="n">
        <v>20000</v>
      </c>
      <c r="G484" s="179" t="n">
        <v>3600</v>
      </c>
      <c r="H484" s="179" t="n">
        <v>23600</v>
      </c>
      <c r="I484" s="178" t="s">
        <v>900</v>
      </c>
      <c r="J484" s="200" t="n">
        <f aca="false">H484</f>
        <v>23600</v>
      </c>
      <c r="K484" s="200" t="n">
        <f aca="false">H484-J484</f>
        <v>0</v>
      </c>
    </row>
    <row r="485" customFormat="false" ht="12" hidden="false" customHeight="false" outlineLevel="0" collapsed="false">
      <c r="A485" s="180" t="n">
        <v>45870</v>
      </c>
      <c r="B485" s="181" t="n">
        <v>45875</v>
      </c>
      <c r="C485" s="178" t="s">
        <v>1147</v>
      </c>
      <c r="D485" s="178" t="s">
        <v>947</v>
      </c>
      <c r="E485" s="178" t="s">
        <v>299</v>
      </c>
      <c r="F485" s="179" t="n">
        <v>10000</v>
      </c>
      <c r="G485" s="179" t="n">
        <v>1800</v>
      </c>
      <c r="H485" s="179" t="n">
        <v>11800</v>
      </c>
      <c r="I485" s="178" t="s">
        <v>900</v>
      </c>
      <c r="J485" s="178" t="e">
        <f aca="false">VLOOKUP(C485,'FY 25-26-Accrual'!D:I,6,0)</f>
        <v>#N/A</v>
      </c>
      <c r="K485" s="200" t="e">
        <f aca="false">H485-J485</f>
        <v>#N/A</v>
      </c>
    </row>
    <row r="486" customFormat="false" ht="12" hidden="false" customHeight="false" outlineLevel="0" collapsed="false">
      <c r="A486" s="180" t="n">
        <v>45870</v>
      </c>
      <c r="B486" s="181" t="n">
        <v>45875</v>
      </c>
      <c r="C486" s="178" t="s">
        <v>1148</v>
      </c>
      <c r="D486" s="178" t="s">
        <v>897</v>
      </c>
      <c r="E486" s="178" t="s">
        <v>238</v>
      </c>
      <c r="F486" s="179" t="n">
        <v>12000</v>
      </c>
      <c r="G486" s="179" t="n">
        <v>2160</v>
      </c>
      <c r="H486" s="179" t="n">
        <v>14160</v>
      </c>
      <c r="I486" s="178" t="s">
        <v>900</v>
      </c>
      <c r="J486" s="178" t="e">
        <f aca="false">VLOOKUP(C486,'FY 25-26-Accrual'!D:I,6,0)</f>
        <v>#N/A</v>
      </c>
      <c r="K486" s="200" t="e">
        <f aca="false">H486-J486</f>
        <v>#N/A</v>
      </c>
    </row>
    <row r="487" customFormat="false" ht="12" hidden="false" customHeight="false" outlineLevel="0" collapsed="false">
      <c r="A487" s="180" t="n">
        <v>45870</v>
      </c>
      <c r="B487" s="181" t="n">
        <v>45875</v>
      </c>
      <c r="C487" s="178" t="s">
        <v>728</v>
      </c>
      <c r="D487" s="178" t="s">
        <v>897</v>
      </c>
      <c r="E487" s="178" t="s">
        <v>727</v>
      </c>
      <c r="F487" s="179" t="n">
        <v>70000</v>
      </c>
      <c r="G487" s="179" t="n">
        <v>12600</v>
      </c>
      <c r="H487" s="179" t="n">
        <v>82600</v>
      </c>
      <c r="I487" s="178" t="s">
        <v>900</v>
      </c>
      <c r="J487" s="178" t="n">
        <f aca="false">VLOOKUP(C487,'FY 25-26-Accrual'!D:I,6,0)</f>
        <v>82600</v>
      </c>
      <c r="K487" s="200" t="n">
        <f aca="false">H487-J487</f>
        <v>0</v>
      </c>
    </row>
    <row r="488" customFormat="false" ht="12" hidden="false" customHeight="false" outlineLevel="0" collapsed="false">
      <c r="A488" s="180" t="n">
        <v>45870</v>
      </c>
      <c r="B488" s="181" t="n">
        <v>45875</v>
      </c>
      <c r="C488" s="178" t="s">
        <v>730</v>
      </c>
      <c r="D488" s="178" t="s">
        <v>897</v>
      </c>
      <c r="E488" s="178" t="s">
        <v>729</v>
      </c>
      <c r="F488" s="179" t="n">
        <v>70000</v>
      </c>
      <c r="G488" s="179" t="n">
        <v>12600</v>
      </c>
      <c r="H488" s="179" t="n">
        <v>82600</v>
      </c>
      <c r="I488" s="178" t="s">
        <v>900</v>
      </c>
      <c r="J488" s="178" t="n">
        <f aca="false">VLOOKUP(C488,'FY 25-26-Accrual'!D:I,6,0)</f>
        <v>82600</v>
      </c>
      <c r="K488" s="200" t="n">
        <f aca="false">H488-J488</f>
        <v>0</v>
      </c>
    </row>
    <row r="489" customFormat="false" ht="12" hidden="false" customHeight="false" outlineLevel="0" collapsed="false">
      <c r="A489" s="180" t="n">
        <v>45870</v>
      </c>
      <c r="B489" s="181" t="n">
        <v>45876</v>
      </c>
      <c r="C489" s="178" t="s">
        <v>1149</v>
      </c>
      <c r="D489" s="178" t="s">
        <v>897</v>
      </c>
      <c r="E489" s="178" t="s">
        <v>898</v>
      </c>
      <c r="F489" s="179" t="n">
        <v>2118</v>
      </c>
      <c r="G489" s="179" t="n">
        <v>381</v>
      </c>
      <c r="H489" s="179" t="n">
        <v>2499</v>
      </c>
      <c r="I489" s="178" t="s">
        <v>898</v>
      </c>
      <c r="J489" s="178" t="e">
        <f aca="false">VLOOKUP(C489,'FY 25-26-Accrual'!D:I,6,0)</f>
        <v>#N/A</v>
      </c>
    </row>
    <row r="490" customFormat="false" ht="12" hidden="false" customHeight="false" outlineLevel="0" collapsed="false">
      <c r="A490" s="180" t="n">
        <v>45870</v>
      </c>
      <c r="B490" s="181" t="n">
        <v>45876</v>
      </c>
      <c r="C490" s="178" t="s">
        <v>1150</v>
      </c>
      <c r="D490" s="178" t="s">
        <v>947</v>
      </c>
      <c r="E490" s="178" t="s">
        <v>162</v>
      </c>
      <c r="F490" s="179" t="n">
        <v>16949</v>
      </c>
      <c r="G490" s="179" t="n">
        <v>3051</v>
      </c>
      <c r="H490" s="179" t="n">
        <v>20000</v>
      </c>
      <c r="I490" s="178" t="s">
        <v>900</v>
      </c>
      <c r="J490" s="178" t="e">
        <f aca="false">VLOOKUP(C490,'FY 25-26-Accrual'!D:I,6,0)</f>
        <v>#N/A</v>
      </c>
      <c r="K490" s="200" t="e">
        <f aca="false">H490-J490</f>
        <v>#N/A</v>
      </c>
    </row>
    <row r="491" customFormat="false" ht="12" hidden="false" customHeight="false" outlineLevel="0" collapsed="false">
      <c r="A491" s="180" t="n">
        <v>45870</v>
      </c>
      <c r="B491" s="181" t="n">
        <v>45876</v>
      </c>
      <c r="C491" s="178" t="s">
        <v>1151</v>
      </c>
      <c r="D491" s="178" t="s">
        <v>897</v>
      </c>
      <c r="E491" s="178" t="s">
        <v>898</v>
      </c>
      <c r="F491" s="179" t="n">
        <v>423</v>
      </c>
      <c r="G491" s="179" t="n">
        <v>76</v>
      </c>
      <c r="H491" s="179" t="n">
        <v>499</v>
      </c>
      <c r="I491" s="178" t="s">
        <v>898</v>
      </c>
      <c r="J491" s="178" t="e">
        <f aca="false">VLOOKUP(C491,'FY 25-26-Accrual'!D:I,6,0)</f>
        <v>#N/A</v>
      </c>
    </row>
    <row r="492" customFormat="false" ht="12" hidden="false" customHeight="false" outlineLevel="0" collapsed="false">
      <c r="A492" s="180" t="n">
        <v>45870</v>
      </c>
      <c r="B492" s="181" t="n">
        <v>45876</v>
      </c>
      <c r="C492" s="178" t="s">
        <v>731</v>
      </c>
      <c r="D492" s="178" t="s">
        <v>947</v>
      </c>
      <c r="E492" s="178" t="s">
        <v>324</v>
      </c>
      <c r="F492" s="179" t="n">
        <v>826200</v>
      </c>
      <c r="G492" s="179" t="n">
        <v>148716</v>
      </c>
      <c r="H492" s="179" t="n">
        <v>974916</v>
      </c>
      <c r="I492" s="178" t="s">
        <v>900</v>
      </c>
      <c r="J492" s="200" t="n">
        <f aca="false">H492</f>
        <v>974916</v>
      </c>
      <c r="K492" s="200" t="n">
        <f aca="false">H492-J492</f>
        <v>0</v>
      </c>
    </row>
    <row r="493" customFormat="false" ht="12" hidden="false" customHeight="false" outlineLevel="0" collapsed="false">
      <c r="A493" s="180" t="n">
        <v>45870</v>
      </c>
      <c r="B493" s="181" t="n">
        <v>45877</v>
      </c>
      <c r="C493" s="178" t="s">
        <v>733</v>
      </c>
      <c r="D493" s="178" t="s">
        <v>897</v>
      </c>
      <c r="E493" s="178" t="s">
        <v>732</v>
      </c>
      <c r="F493" s="179" t="n">
        <v>63000</v>
      </c>
      <c r="G493" s="179" t="n">
        <v>11340</v>
      </c>
      <c r="H493" s="179" t="n">
        <v>74340</v>
      </c>
      <c r="I493" s="178" t="s">
        <v>900</v>
      </c>
      <c r="J493" s="178" t="n">
        <f aca="false">VLOOKUP(C493,'FY 25-26-Accrual'!D:I,6,0)</f>
        <v>74340</v>
      </c>
      <c r="K493" s="200" t="n">
        <f aca="false">H493-J493</f>
        <v>0</v>
      </c>
    </row>
    <row r="494" customFormat="false" ht="12" hidden="false" customHeight="false" outlineLevel="0" collapsed="false">
      <c r="A494" s="180" t="n">
        <v>45870</v>
      </c>
      <c r="B494" s="181" t="n">
        <v>45877</v>
      </c>
      <c r="C494" s="178" t="s">
        <v>734</v>
      </c>
      <c r="D494" s="178" t="s">
        <v>897</v>
      </c>
      <c r="E494" s="178" t="s">
        <v>605</v>
      </c>
      <c r="F494" s="179" t="n">
        <v>55085</v>
      </c>
      <c r="G494" s="179" t="n">
        <v>9915</v>
      </c>
      <c r="H494" s="179" t="n">
        <v>65000</v>
      </c>
      <c r="I494" s="178" t="s">
        <v>900</v>
      </c>
      <c r="J494" s="178" t="n">
        <f aca="false">VLOOKUP(C494,'FY 25-26-Accrual'!D:I,6,0)</f>
        <v>65000</v>
      </c>
      <c r="K494" s="200" t="n">
        <f aca="false">H494-J494</f>
        <v>0</v>
      </c>
    </row>
    <row r="495" customFormat="false" ht="12" hidden="false" customHeight="false" outlineLevel="0" collapsed="false">
      <c r="A495" s="180" t="n">
        <v>45870</v>
      </c>
      <c r="B495" s="181" t="n">
        <v>45877</v>
      </c>
      <c r="C495" s="178" t="s">
        <v>735</v>
      </c>
      <c r="D495" s="178" t="s">
        <v>897</v>
      </c>
      <c r="E495" s="178" t="s">
        <v>518</v>
      </c>
      <c r="F495" s="179" t="n">
        <v>69492</v>
      </c>
      <c r="G495" s="179" t="n">
        <v>12508</v>
      </c>
      <c r="H495" s="179" t="n">
        <v>82000</v>
      </c>
      <c r="I495" s="178" t="s">
        <v>900</v>
      </c>
      <c r="J495" s="178" t="n">
        <f aca="false">VLOOKUP(C495,'FY 25-26-Accrual'!D:I,6,0)</f>
        <v>82000</v>
      </c>
      <c r="K495" s="200" t="n">
        <f aca="false">H495-J495</f>
        <v>0</v>
      </c>
    </row>
    <row r="496" customFormat="false" ht="12" hidden="false" customHeight="false" outlineLevel="0" collapsed="false">
      <c r="A496" s="180" t="n">
        <v>45870</v>
      </c>
      <c r="B496" s="181" t="n">
        <v>45878</v>
      </c>
      <c r="C496" s="178" t="s">
        <v>1152</v>
      </c>
      <c r="D496" s="178" t="s">
        <v>897</v>
      </c>
      <c r="E496" s="178" t="s">
        <v>278</v>
      </c>
      <c r="F496" s="179" t="n">
        <v>3389</v>
      </c>
      <c r="G496" s="179" t="n">
        <v>610</v>
      </c>
      <c r="H496" s="179" t="n">
        <v>3999</v>
      </c>
      <c r="I496" s="178" t="s">
        <v>900</v>
      </c>
      <c r="J496" s="178" t="e">
        <f aca="false">VLOOKUP(C496,'FY 25-26-Accrual'!D:I,6,0)</f>
        <v>#N/A</v>
      </c>
      <c r="K496" s="200" t="e">
        <f aca="false">H496-J496</f>
        <v>#N/A</v>
      </c>
    </row>
    <row r="497" customFormat="false" ht="12" hidden="false" customHeight="false" outlineLevel="0" collapsed="false">
      <c r="A497" s="180" t="n">
        <v>45870</v>
      </c>
      <c r="B497" s="181" t="n">
        <v>45879</v>
      </c>
      <c r="C497" s="178" t="s">
        <v>1153</v>
      </c>
      <c r="D497" s="178" t="s">
        <v>947</v>
      </c>
      <c r="E497" s="178" t="s">
        <v>249</v>
      </c>
      <c r="F497" s="179" t="n">
        <v>8729</v>
      </c>
      <c r="G497" s="179" t="n">
        <v>1571</v>
      </c>
      <c r="H497" s="179" t="n">
        <v>10300</v>
      </c>
      <c r="I497" s="178" t="s">
        <v>900</v>
      </c>
      <c r="J497" s="178" t="e">
        <f aca="false">VLOOKUP(C497,'FY 25-26-Accrual'!D:I,6,0)</f>
        <v>#N/A</v>
      </c>
      <c r="K497" s="200" t="e">
        <f aca="false">H497-J497</f>
        <v>#N/A</v>
      </c>
    </row>
    <row r="498" customFormat="false" ht="12" hidden="false" customHeight="false" outlineLevel="0" collapsed="false">
      <c r="A498" s="180" t="n">
        <v>45870</v>
      </c>
      <c r="B498" s="181" t="n">
        <v>45880</v>
      </c>
      <c r="C498" s="178" t="s">
        <v>1154</v>
      </c>
      <c r="D498" s="178" t="s">
        <v>947</v>
      </c>
      <c r="E498" s="178" t="s">
        <v>540</v>
      </c>
      <c r="F498" s="179" t="n">
        <v>8475</v>
      </c>
      <c r="G498" s="179" t="n">
        <v>1525</v>
      </c>
      <c r="H498" s="179" t="n">
        <v>10000</v>
      </c>
      <c r="I498" s="178" t="s">
        <v>900</v>
      </c>
      <c r="J498" s="178" t="e">
        <f aca="false">VLOOKUP(C498,'FY 25-26-Accrual'!D:I,6,0)</f>
        <v>#N/A</v>
      </c>
      <c r="K498" s="200" t="e">
        <f aca="false">H498-J498</f>
        <v>#N/A</v>
      </c>
    </row>
    <row r="499" customFormat="false" ht="12" hidden="false" customHeight="false" outlineLevel="0" collapsed="false">
      <c r="A499" s="180" t="n">
        <v>45870</v>
      </c>
      <c r="B499" s="181" t="n">
        <v>45881</v>
      </c>
      <c r="C499" s="178" t="s">
        <v>1155</v>
      </c>
      <c r="D499" s="178" t="s">
        <v>897</v>
      </c>
      <c r="E499" s="178" t="s">
        <v>281</v>
      </c>
      <c r="F499" s="179" t="n">
        <v>4237</v>
      </c>
      <c r="G499" s="179" t="n">
        <v>763</v>
      </c>
      <c r="H499" s="179" t="n">
        <v>5000</v>
      </c>
      <c r="I499" s="178" t="s">
        <v>900</v>
      </c>
      <c r="J499" s="178" t="e">
        <f aca="false">VLOOKUP(C499,'FY 25-26-Accrual'!D:I,6,0)</f>
        <v>#N/A</v>
      </c>
      <c r="K499" s="200" t="e">
        <f aca="false">H499-J499</f>
        <v>#N/A</v>
      </c>
    </row>
    <row r="500" customFormat="false" ht="12" hidden="false" customHeight="false" outlineLevel="0" collapsed="false">
      <c r="A500" s="180" t="n">
        <v>45870</v>
      </c>
      <c r="B500" s="181" t="n">
        <v>45881</v>
      </c>
      <c r="C500" s="178" t="s">
        <v>1156</v>
      </c>
      <c r="D500" s="178" t="s">
        <v>897</v>
      </c>
      <c r="E500" s="178" t="s">
        <v>451</v>
      </c>
      <c r="F500" s="179" t="n">
        <v>10000</v>
      </c>
      <c r="G500" s="179" t="n">
        <v>1800</v>
      </c>
      <c r="H500" s="179" t="n">
        <v>11800</v>
      </c>
      <c r="I500" s="178" t="s">
        <v>900</v>
      </c>
      <c r="J500" s="178" t="e">
        <f aca="false">VLOOKUP(C500,'FY 25-26-Accrual'!D:I,6,0)</f>
        <v>#N/A</v>
      </c>
      <c r="K500" s="200" t="e">
        <f aca="false">H500-J500</f>
        <v>#N/A</v>
      </c>
    </row>
    <row r="501" customFormat="false" ht="12" hidden="false" customHeight="false" outlineLevel="0" collapsed="false">
      <c r="A501" s="180" t="n">
        <v>45870</v>
      </c>
      <c r="B501" s="181" t="n">
        <v>45881</v>
      </c>
      <c r="C501" s="178" t="s">
        <v>737</v>
      </c>
      <c r="D501" s="178" t="s">
        <v>897</v>
      </c>
      <c r="E501" s="178" t="s">
        <v>736</v>
      </c>
      <c r="F501" s="179" t="n">
        <v>59322</v>
      </c>
      <c r="G501" s="179" t="n">
        <v>10678</v>
      </c>
      <c r="H501" s="179" t="n">
        <v>70000</v>
      </c>
      <c r="I501" s="178" t="s">
        <v>900</v>
      </c>
      <c r="J501" s="178" t="n">
        <f aca="false">VLOOKUP(C501,'FY 25-26-Accrual'!D:I,6,0)</f>
        <v>70000</v>
      </c>
      <c r="K501" s="200" t="n">
        <f aca="false">H501-J501</f>
        <v>0</v>
      </c>
    </row>
    <row r="502" customFormat="false" ht="12" hidden="false" customHeight="false" outlineLevel="0" collapsed="false">
      <c r="A502" s="180" t="n">
        <v>45870</v>
      </c>
      <c r="B502" s="181" t="n">
        <v>45881</v>
      </c>
      <c r="C502" s="178" t="s">
        <v>739</v>
      </c>
      <c r="D502" s="178" t="s">
        <v>947</v>
      </c>
      <c r="E502" s="178" t="s">
        <v>738</v>
      </c>
      <c r="F502" s="179" t="n">
        <v>35000</v>
      </c>
      <c r="G502" s="179" t="n">
        <v>6300</v>
      </c>
      <c r="H502" s="179" t="n">
        <v>41300</v>
      </c>
      <c r="I502" s="178" t="s">
        <v>900</v>
      </c>
      <c r="J502" s="178" t="n">
        <f aca="false">VLOOKUP(C502,'FY 25-26-Accrual'!D:I,6,0)</f>
        <v>41300</v>
      </c>
      <c r="K502" s="200" t="n">
        <f aca="false">H502-J502</f>
        <v>0</v>
      </c>
    </row>
    <row r="503" customFormat="false" ht="12" hidden="false" customHeight="false" outlineLevel="0" collapsed="false">
      <c r="A503" s="180" t="n">
        <v>45870</v>
      </c>
      <c r="B503" s="181" t="n">
        <v>45882</v>
      </c>
      <c r="C503" s="178" t="s">
        <v>741</v>
      </c>
      <c r="D503" s="178" t="s">
        <v>947</v>
      </c>
      <c r="E503" s="178" t="s">
        <v>740</v>
      </c>
      <c r="F503" s="179" t="n">
        <v>63000</v>
      </c>
      <c r="G503" s="179" t="n">
        <v>11340</v>
      </c>
      <c r="H503" s="179" t="n">
        <v>74340</v>
      </c>
      <c r="I503" s="178" t="s">
        <v>900</v>
      </c>
      <c r="J503" s="178" t="n">
        <f aca="false">VLOOKUP(C503,'FY 25-26-Accrual'!D:I,6,0)</f>
        <v>74340</v>
      </c>
      <c r="K503" s="200" t="n">
        <f aca="false">H503-J503</f>
        <v>0</v>
      </c>
    </row>
    <row r="504" customFormat="false" ht="12" hidden="false" customHeight="false" outlineLevel="0" collapsed="false">
      <c r="A504" s="180" t="n">
        <v>45870</v>
      </c>
      <c r="B504" s="181" t="n">
        <v>45882</v>
      </c>
      <c r="C504" s="178" t="s">
        <v>743</v>
      </c>
      <c r="D504" s="178" t="s">
        <v>947</v>
      </c>
      <c r="E504" s="178" t="s">
        <v>742</v>
      </c>
      <c r="F504" s="179" t="n">
        <v>30000</v>
      </c>
      <c r="G504" s="179" t="n">
        <v>5400</v>
      </c>
      <c r="H504" s="179" t="n">
        <v>35400</v>
      </c>
      <c r="I504" s="178" t="s">
        <v>900</v>
      </c>
      <c r="J504" s="178" t="n">
        <f aca="false">VLOOKUP(C504,'FY 25-26-Accrual'!D:I,6,0)</f>
        <v>35400</v>
      </c>
      <c r="K504" s="200" t="n">
        <f aca="false">H504-J504</f>
        <v>0</v>
      </c>
    </row>
    <row r="505" customFormat="false" ht="12" hidden="false" customHeight="false" outlineLevel="0" collapsed="false">
      <c r="A505" s="180" t="n">
        <v>45870</v>
      </c>
      <c r="B505" s="181" t="n">
        <v>45883</v>
      </c>
      <c r="C505" s="178" t="s">
        <v>745</v>
      </c>
      <c r="D505" s="178" t="s">
        <v>897</v>
      </c>
      <c r="E505" s="178" t="s">
        <v>744</v>
      </c>
      <c r="F505" s="179" t="n">
        <v>8475</v>
      </c>
      <c r="G505" s="179" t="n">
        <v>1525</v>
      </c>
      <c r="H505" s="179" t="n">
        <v>10000</v>
      </c>
      <c r="I505" s="178" t="s">
        <v>900</v>
      </c>
      <c r="J505" s="178" t="n">
        <f aca="false">VLOOKUP(C505,'FY 25-26-Accrual'!D:I,6,0)</f>
        <v>10000</v>
      </c>
      <c r="K505" s="200" t="n">
        <f aca="false">H505-J505</f>
        <v>0</v>
      </c>
    </row>
    <row r="506" customFormat="false" ht="12" hidden="false" customHeight="false" outlineLevel="0" collapsed="false">
      <c r="A506" s="180" t="n">
        <v>45870</v>
      </c>
      <c r="B506" s="181" t="n">
        <v>45883</v>
      </c>
      <c r="C506" s="178" t="s">
        <v>747</v>
      </c>
      <c r="D506" s="178" t="s">
        <v>897</v>
      </c>
      <c r="E506" s="178" t="s">
        <v>746</v>
      </c>
      <c r="F506" s="179" t="n">
        <v>84000</v>
      </c>
      <c r="G506" s="179" t="n">
        <v>15120</v>
      </c>
      <c r="H506" s="179" t="n">
        <v>99120</v>
      </c>
      <c r="I506" s="178" t="s">
        <v>900</v>
      </c>
      <c r="J506" s="178" t="n">
        <f aca="false">VLOOKUP(C506,'FY 25-26-Accrual'!D:I,6,0)</f>
        <v>99120</v>
      </c>
      <c r="K506" s="200" t="n">
        <f aca="false">H506-J506</f>
        <v>0</v>
      </c>
    </row>
    <row r="507" customFormat="false" ht="12" hidden="false" customHeight="false" outlineLevel="0" collapsed="false">
      <c r="A507" s="180" t="n">
        <v>45870</v>
      </c>
      <c r="B507" s="181" t="n">
        <v>45883</v>
      </c>
      <c r="C507" s="178" t="s">
        <v>748</v>
      </c>
      <c r="D507" s="178" t="s">
        <v>947</v>
      </c>
      <c r="E507" s="178" t="s">
        <v>236</v>
      </c>
      <c r="F507" s="179" t="n">
        <v>729000</v>
      </c>
      <c r="G507" s="179" t="n">
        <v>131220</v>
      </c>
      <c r="H507" s="179" t="n">
        <v>860220</v>
      </c>
      <c r="I507" s="178" t="s">
        <v>900</v>
      </c>
      <c r="J507" s="200" t="n">
        <f aca="false">H507</f>
        <v>860220</v>
      </c>
      <c r="K507" s="200" t="n">
        <f aca="false">H507-J507</f>
        <v>0</v>
      </c>
    </row>
    <row r="508" customFormat="false" ht="12" hidden="false" customHeight="false" outlineLevel="0" collapsed="false">
      <c r="A508" s="180" t="n">
        <v>45870</v>
      </c>
      <c r="B508" s="181" t="n">
        <v>45883</v>
      </c>
      <c r="C508" s="178" t="s">
        <v>750</v>
      </c>
      <c r="D508" s="178" t="s">
        <v>897</v>
      </c>
      <c r="E508" s="178" t="s">
        <v>749</v>
      </c>
      <c r="F508" s="179" t="n">
        <v>493220</v>
      </c>
      <c r="G508" s="179" t="n">
        <v>88780</v>
      </c>
      <c r="H508" s="179" t="n">
        <v>582000</v>
      </c>
      <c r="I508" s="178" t="s">
        <v>900</v>
      </c>
      <c r="J508" s="178" t="n">
        <f aca="false">VLOOKUP(C508,'FY 25-26-Accrual'!D:I,6,0)</f>
        <v>582000</v>
      </c>
      <c r="K508" s="200" t="n">
        <f aca="false">H508-J508</f>
        <v>0</v>
      </c>
    </row>
    <row r="509" customFormat="false" ht="12" hidden="false" customHeight="false" outlineLevel="0" collapsed="false">
      <c r="A509" s="180" t="n">
        <v>45870</v>
      </c>
      <c r="B509" s="181" t="n">
        <v>45883</v>
      </c>
      <c r="C509" s="178" t="s">
        <v>752</v>
      </c>
      <c r="D509" s="178" t="s">
        <v>897</v>
      </c>
      <c r="E509" s="178" t="s">
        <v>751</v>
      </c>
      <c r="F509" s="179" t="n">
        <v>70000</v>
      </c>
      <c r="G509" s="179" t="n">
        <v>12600</v>
      </c>
      <c r="H509" s="179" t="n">
        <v>82600</v>
      </c>
      <c r="I509" s="178" t="s">
        <v>900</v>
      </c>
      <c r="J509" s="178" t="n">
        <f aca="false">VLOOKUP(C509,'FY 25-26-Accrual'!D:I,6,0)</f>
        <v>82600</v>
      </c>
      <c r="K509" s="200" t="n">
        <f aca="false">H509-J509</f>
        <v>0</v>
      </c>
    </row>
    <row r="510" customFormat="false" ht="12" hidden="false" customHeight="false" outlineLevel="0" collapsed="false">
      <c r="A510" s="180" t="n">
        <v>45870</v>
      </c>
      <c r="B510" s="181" t="n">
        <v>45884</v>
      </c>
      <c r="C510" s="178" t="s">
        <v>1157</v>
      </c>
      <c r="D510" s="178" t="s">
        <v>947</v>
      </c>
      <c r="E510" s="178" t="s">
        <v>177</v>
      </c>
      <c r="F510" s="179" t="n">
        <v>209576</v>
      </c>
      <c r="G510" s="179" t="n">
        <f aca="false">F510*18%</f>
        <v>37723.68</v>
      </c>
      <c r="H510" s="179" t="n">
        <f aca="false">F510+G510</f>
        <v>247299.68</v>
      </c>
      <c r="I510" s="178" t="s">
        <v>900</v>
      </c>
      <c r="J510" s="200" t="n">
        <f aca="false">H510</f>
        <v>247299.68</v>
      </c>
      <c r="K510" s="200" t="n">
        <f aca="false">H510-J510</f>
        <v>0</v>
      </c>
    </row>
    <row r="511" customFormat="false" ht="12" hidden="false" customHeight="false" outlineLevel="0" collapsed="false">
      <c r="A511" s="180" t="n">
        <v>45870</v>
      </c>
      <c r="B511" s="181" t="n">
        <v>45884</v>
      </c>
      <c r="C511" s="178" t="s">
        <v>1158</v>
      </c>
      <c r="D511" s="178" t="s">
        <v>947</v>
      </c>
      <c r="E511" s="178" t="s">
        <v>184</v>
      </c>
      <c r="F511" s="179" t="n">
        <v>16950</v>
      </c>
      <c r="G511" s="179" t="n">
        <v>3051</v>
      </c>
      <c r="H511" s="179" t="n">
        <v>20001</v>
      </c>
      <c r="I511" s="178" t="s">
        <v>900</v>
      </c>
      <c r="J511" s="178" t="e">
        <f aca="false">VLOOKUP(C511,'FY 25-26-Accrual'!D:I,6,0)</f>
        <v>#N/A</v>
      </c>
      <c r="K511" s="200" t="e">
        <f aca="false">H511-J511</f>
        <v>#N/A</v>
      </c>
    </row>
    <row r="512" customFormat="false" ht="12" hidden="false" customHeight="false" outlineLevel="0" collapsed="false">
      <c r="A512" s="180" t="n">
        <v>45870</v>
      </c>
      <c r="B512" s="181" t="n">
        <v>45885</v>
      </c>
      <c r="C512" s="178" t="s">
        <v>1159</v>
      </c>
      <c r="D512" s="178" t="s">
        <v>897</v>
      </c>
      <c r="E512" s="178" t="s">
        <v>898</v>
      </c>
      <c r="F512" s="179" t="n">
        <v>3386</v>
      </c>
      <c r="G512" s="179" t="n">
        <v>610</v>
      </c>
      <c r="H512" s="179" t="n">
        <v>3996</v>
      </c>
      <c r="I512" s="178" t="s">
        <v>898</v>
      </c>
      <c r="J512" s="178" t="e">
        <f aca="false">VLOOKUP(C512,'FY 25-26-Accrual'!D:I,6,0)</f>
        <v>#N/A</v>
      </c>
    </row>
    <row r="513" customFormat="false" ht="12" hidden="false" customHeight="false" outlineLevel="0" collapsed="false">
      <c r="A513" s="180" t="n">
        <v>45870</v>
      </c>
      <c r="B513" s="181" t="n">
        <v>45886</v>
      </c>
      <c r="C513" s="178" t="s">
        <v>1160</v>
      </c>
      <c r="D513" s="178" t="s">
        <v>897</v>
      </c>
      <c r="E513" s="178" t="s">
        <v>514</v>
      </c>
      <c r="F513" s="179" t="n">
        <v>30000</v>
      </c>
      <c r="G513" s="179" t="n">
        <v>5400</v>
      </c>
      <c r="H513" s="179" t="n">
        <v>35400</v>
      </c>
      <c r="I513" s="178" t="s">
        <v>900</v>
      </c>
      <c r="J513" s="178" t="e">
        <f aca="false">VLOOKUP(C513,'FY 25-26-Accrual'!D:I,6,0)</f>
        <v>#N/A</v>
      </c>
      <c r="K513" s="200" t="e">
        <f aca="false">H513-J513</f>
        <v>#N/A</v>
      </c>
    </row>
    <row r="514" customFormat="false" ht="12" hidden="false" customHeight="false" outlineLevel="0" collapsed="false">
      <c r="A514" s="180" t="n">
        <v>45870</v>
      </c>
      <c r="B514" s="181" t="n">
        <v>45886</v>
      </c>
      <c r="C514" s="178" t="s">
        <v>1161</v>
      </c>
      <c r="D514" s="178" t="s">
        <v>947</v>
      </c>
      <c r="E514" s="178" t="s">
        <v>652</v>
      </c>
      <c r="F514" s="179" t="n">
        <v>7000</v>
      </c>
      <c r="G514" s="179" t="n">
        <v>1260</v>
      </c>
      <c r="H514" s="179" t="n">
        <v>8260</v>
      </c>
      <c r="I514" s="178" t="s">
        <v>900</v>
      </c>
      <c r="J514" s="178" t="e">
        <f aca="false">VLOOKUP(C514,'FY 25-26-Accrual'!D:I,6,0)</f>
        <v>#N/A</v>
      </c>
      <c r="K514" s="200" t="e">
        <f aca="false">H514-J514</f>
        <v>#N/A</v>
      </c>
    </row>
    <row r="515" customFormat="false" ht="12" hidden="false" customHeight="false" outlineLevel="0" collapsed="false">
      <c r="A515" s="180" t="n">
        <v>45870</v>
      </c>
      <c r="B515" s="181" t="n">
        <v>45887</v>
      </c>
      <c r="C515" s="178" t="s">
        <v>756</v>
      </c>
      <c r="D515" s="178" t="s">
        <v>947</v>
      </c>
      <c r="E515" s="178" t="s">
        <v>755</v>
      </c>
      <c r="F515" s="179" t="n">
        <v>120000</v>
      </c>
      <c r="G515" s="179" t="n">
        <v>21600</v>
      </c>
      <c r="H515" s="179" t="n">
        <v>141600</v>
      </c>
      <c r="I515" s="178" t="s">
        <v>900</v>
      </c>
      <c r="J515" s="178" t="n">
        <f aca="false">VLOOKUP(C515,'FY 25-26-Accrual'!D:I,6,0)</f>
        <v>141600</v>
      </c>
      <c r="K515" s="200" t="n">
        <f aca="false">H515-J515</f>
        <v>0</v>
      </c>
    </row>
    <row r="516" customFormat="false" ht="12" hidden="false" customHeight="false" outlineLevel="0" collapsed="false">
      <c r="A516" s="180" t="n">
        <v>45870</v>
      </c>
      <c r="B516" s="181" t="n">
        <v>45887</v>
      </c>
      <c r="C516" s="178" t="s">
        <v>758</v>
      </c>
      <c r="D516" s="178" t="s">
        <v>897</v>
      </c>
      <c r="E516" s="178" t="s">
        <v>757</v>
      </c>
      <c r="F516" s="179" t="n">
        <v>1050000</v>
      </c>
      <c r="G516" s="179" t="n">
        <v>189000</v>
      </c>
      <c r="H516" s="179" t="n">
        <v>1239000</v>
      </c>
      <c r="I516" s="178" t="s">
        <v>900</v>
      </c>
      <c r="J516" s="178" t="n">
        <f aca="false">VLOOKUP(C516,'FY 25-26-Accrual'!D:I,6,0)</f>
        <v>1239000</v>
      </c>
      <c r="K516" s="200" t="n">
        <f aca="false">H516-J516</f>
        <v>0</v>
      </c>
    </row>
    <row r="517" customFormat="false" ht="12" hidden="false" customHeight="false" outlineLevel="0" collapsed="false">
      <c r="A517" s="180" t="n">
        <v>45870</v>
      </c>
      <c r="B517" s="181" t="n">
        <v>45887</v>
      </c>
      <c r="C517" s="178" t="s">
        <v>760</v>
      </c>
      <c r="D517" s="178" t="s">
        <v>897</v>
      </c>
      <c r="E517" s="178" t="s">
        <v>759</v>
      </c>
      <c r="F517" s="179" t="n">
        <v>70000</v>
      </c>
      <c r="G517" s="179" t="n">
        <v>12600</v>
      </c>
      <c r="H517" s="179" t="n">
        <v>82600</v>
      </c>
      <c r="I517" s="178" t="s">
        <v>900</v>
      </c>
      <c r="J517" s="178" t="n">
        <f aca="false">VLOOKUP(C517,'FY 25-26-Accrual'!D:I,6,0)</f>
        <v>82600</v>
      </c>
      <c r="K517" s="200" t="n">
        <f aca="false">H517-J517</f>
        <v>0</v>
      </c>
    </row>
    <row r="518" customFormat="false" ht="12" hidden="false" customHeight="false" outlineLevel="0" collapsed="false">
      <c r="A518" s="180" t="n">
        <v>45870</v>
      </c>
      <c r="B518" s="181" t="n">
        <v>45887</v>
      </c>
      <c r="C518" s="178" t="s">
        <v>1162</v>
      </c>
      <c r="D518" s="178" t="s">
        <v>897</v>
      </c>
      <c r="E518" s="178" t="s">
        <v>296</v>
      </c>
      <c r="F518" s="179" t="n">
        <v>5000</v>
      </c>
      <c r="G518" s="179" t="n">
        <v>900</v>
      </c>
      <c r="H518" s="179" t="n">
        <v>5900</v>
      </c>
      <c r="I518" s="178" t="s">
        <v>900</v>
      </c>
      <c r="J518" s="178" t="e">
        <f aca="false">VLOOKUP(C518,'FY 25-26-Accrual'!D:I,6,0)</f>
        <v>#N/A</v>
      </c>
      <c r="K518" s="200" t="e">
        <f aca="false">H518-J518</f>
        <v>#N/A</v>
      </c>
    </row>
    <row r="519" customFormat="false" ht="12" hidden="false" customHeight="false" outlineLevel="0" collapsed="false">
      <c r="A519" s="180" t="n">
        <v>45870</v>
      </c>
      <c r="B519" s="181" t="n">
        <v>45888</v>
      </c>
      <c r="C519" s="178" t="s">
        <v>1163</v>
      </c>
      <c r="D519" s="178" t="s">
        <v>947</v>
      </c>
      <c r="E519" s="178" t="s">
        <v>331</v>
      </c>
      <c r="F519" s="179" t="n">
        <v>92540</v>
      </c>
      <c r="G519" s="179" t="n">
        <v>16657</v>
      </c>
      <c r="H519" s="179" t="n">
        <v>109197</v>
      </c>
      <c r="I519" s="178" t="s">
        <v>900</v>
      </c>
      <c r="J519" s="178" t="e">
        <f aca="false">VLOOKUP(C519,'FY 25-26-Accrual'!D:I,6,0)</f>
        <v>#N/A</v>
      </c>
      <c r="K519" s="200" t="e">
        <f aca="false">H519-J519</f>
        <v>#N/A</v>
      </c>
    </row>
    <row r="520" customFormat="false" ht="12" hidden="false" customHeight="false" outlineLevel="0" collapsed="false">
      <c r="A520" s="180" t="n">
        <v>45870</v>
      </c>
      <c r="B520" s="181" t="n">
        <v>45888</v>
      </c>
      <c r="C520" s="178" t="s">
        <v>1164</v>
      </c>
      <c r="D520" s="178" t="s">
        <v>947</v>
      </c>
      <c r="E520" s="178" t="s">
        <v>563</v>
      </c>
      <c r="F520" s="179" t="n">
        <v>6000</v>
      </c>
      <c r="G520" s="179" t="n">
        <v>1080</v>
      </c>
      <c r="H520" s="179" t="n">
        <v>7080</v>
      </c>
      <c r="I520" s="178" t="s">
        <v>900</v>
      </c>
      <c r="J520" s="178" t="e">
        <f aca="false">VLOOKUP(C520,'FY 25-26-Accrual'!D:I,6,0)</f>
        <v>#N/A</v>
      </c>
      <c r="K520" s="200" t="e">
        <f aca="false">H520-J520</f>
        <v>#N/A</v>
      </c>
    </row>
    <row r="521" customFormat="false" ht="12" hidden="false" customHeight="false" outlineLevel="0" collapsed="false">
      <c r="A521" s="180" t="n">
        <v>45870</v>
      </c>
      <c r="B521" s="181" t="n">
        <v>45888</v>
      </c>
      <c r="C521" s="178" t="s">
        <v>1165</v>
      </c>
      <c r="D521" s="178" t="s">
        <v>897</v>
      </c>
      <c r="E521" s="178" t="s">
        <v>566</v>
      </c>
      <c r="F521" s="179" t="n">
        <v>5000</v>
      </c>
      <c r="G521" s="179" t="n">
        <v>900</v>
      </c>
      <c r="H521" s="179" t="n">
        <v>5900</v>
      </c>
      <c r="I521" s="178" t="s">
        <v>900</v>
      </c>
      <c r="J521" s="178" t="e">
        <f aca="false">VLOOKUP(C521,'FY 25-26-Accrual'!D:I,6,0)</f>
        <v>#N/A</v>
      </c>
      <c r="K521" s="200" t="e">
        <f aca="false">H521-J521</f>
        <v>#N/A</v>
      </c>
    </row>
    <row r="522" customFormat="false" ht="12" hidden="false" customHeight="false" outlineLevel="0" collapsed="false">
      <c r="A522" s="180" t="n">
        <v>45870</v>
      </c>
      <c r="B522" s="181" t="n">
        <v>45888</v>
      </c>
      <c r="C522" s="178" t="s">
        <v>762</v>
      </c>
      <c r="D522" s="178" t="s">
        <v>897</v>
      </c>
      <c r="E522" s="178" t="s">
        <v>761</v>
      </c>
      <c r="F522" s="179" t="n">
        <v>70000</v>
      </c>
      <c r="G522" s="179" t="n">
        <v>12600</v>
      </c>
      <c r="H522" s="179" t="n">
        <v>82600</v>
      </c>
      <c r="I522" s="178" t="s">
        <v>900</v>
      </c>
      <c r="J522" s="178" t="n">
        <f aca="false">VLOOKUP(C522,'FY 25-26-Accrual'!D:I,6,0)</f>
        <v>82600</v>
      </c>
      <c r="K522" s="200" t="n">
        <f aca="false">H522-J522</f>
        <v>0</v>
      </c>
    </row>
    <row r="523" customFormat="false" ht="12" hidden="false" customHeight="false" outlineLevel="0" collapsed="false">
      <c r="A523" s="180" t="n">
        <v>45870</v>
      </c>
      <c r="B523" s="181" t="n">
        <v>45888</v>
      </c>
      <c r="C523" s="178" t="s">
        <v>764</v>
      </c>
      <c r="D523" s="178" t="s">
        <v>897</v>
      </c>
      <c r="E523" s="178" t="s">
        <v>763</v>
      </c>
      <c r="F523" s="179" t="n">
        <v>35000</v>
      </c>
      <c r="G523" s="179" t="n">
        <v>6300</v>
      </c>
      <c r="H523" s="179" t="n">
        <v>41300</v>
      </c>
      <c r="I523" s="178" t="s">
        <v>900</v>
      </c>
      <c r="J523" s="178" t="n">
        <f aca="false">VLOOKUP(C523,'FY 25-26-Accrual'!D:I,6,0)</f>
        <v>41300</v>
      </c>
      <c r="K523" s="200" t="n">
        <f aca="false">H523-J523</f>
        <v>0</v>
      </c>
    </row>
    <row r="524" customFormat="false" ht="12" hidden="false" customHeight="false" outlineLevel="0" collapsed="false">
      <c r="A524" s="180" t="n">
        <v>45870</v>
      </c>
      <c r="B524" s="181" t="n">
        <v>45888</v>
      </c>
      <c r="C524" s="178" t="s">
        <v>765</v>
      </c>
      <c r="D524" s="178" t="s">
        <v>897</v>
      </c>
      <c r="E524" s="178" t="s">
        <v>318</v>
      </c>
      <c r="F524" s="179" t="n">
        <v>19068</v>
      </c>
      <c r="G524" s="179" t="n">
        <v>3432</v>
      </c>
      <c r="H524" s="179" t="n">
        <v>22500</v>
      </c>
      <c r="I524" s="178" t="s">
        <v>900</v>
      </c>
      <c r="J524" s="200" t="n">
        <f aca="false">H524</f>
        <v>22500</v>
      </c>
      <c r="K524" s="200" t="n">
        <f aca="false">H524-J524</f>
        <v>0</v>
      </c>
    </row>
    <row r="525" customFormat="false" ht="12" hidden="false" customHeight="false" outlineLevel="0" collapsed="false">
      <c r="A525" s="180" t="n">
        <v>45870</v>
      </c>
      <c r="B525" s="181" t="n">
        <v>45890</v>
      </c>
      <c r="C525" s="178" t="s">
        <v>1166</v>
      </c>
      <c r="D525" s="178" t="s">
        <v>947</v>
      </c>
      <c r="E525" s="178" t="s">
        <v>344</v>
      </c>
      <c r="F525" s="179" t="n">
        <v>10000</v>
      </c>
      <c r="G525" s="179" t="n">
        <v>1800</v>
      </c>
      <c r="H525" s="179" t="n">
        <v>11800</v>
      </c>
      <c r="I525" s="178" t="s">
        <v>900</v>
      </c>
      <c r="J525" s="178" t="e">
        <f aca="false">VLOOKUP(C525,'FY 25-26-Accrual'!D:I,6,0)</f>
        <v>#N/A</v>
      </c>
      <c r="K525" s="200" t="e">
        <f aca="false">H525-J525</f>
        <v>#N/A</v>
      </c>
    </row>
    <row r="526" customFormat="false" ht="12" hidden="false" customHeight="false" outlineLevel="0" collapsed="false">
      <c r="A526" s="180" t="n">
        <v>45870</v>
      </c>
      <c r="B526" s="181" t="n">
        <v>45890</v>
      </c>
      <c r="C526" s="178" t="s">
        <v>1167</v>
      </c>
      <c r="D526" s="178" t="s">
        <v>947</v>
      </c>
      <c r="E526" s="178" t="s">
        <v>286</v>
      </c>
      <c r="F526" s="179" t="n">
        <v>35000</v>
      </c>
      <c r="G526" s="179" t="n">
        <v>6300</v>
      </c>
      <c r="H526" s="179" t="n">
        <v>41300</v>
      </c>
      <c r="I526" s="178" t="s">
        <v>900</v>
      </c>
      <c r="J526" s="178" t="e">
        <f aca="false">VLOOKUP(C526,'FY 25-26-Accrual'!D:I,6,0)</f>
        <v>#N/A</v>
      </c>
      <c r="K526" s="200" t="e">
        <f aca="false">H526-J526</f>
        <v>#N/A</v>
      </c>
    </row>
    <row r="527" customFormat="false" ht="12" hidden="false" customHeight="false" outlineLevel="0" collapsed="false">
      <c r="A527" s="180" t="n">
        <v>45870</v>
      </c>
      <c r="B527" s="181" t="n">
        <v>45890</v>
      </c>
      <c r="C527" s="178" t="s">
        <v>1168</v>
      </c>
      <c r="D527" s="178" t="s">
        <v>947</v>
      </c>
      <c r="E527" s="178" t="s">
        <v>669</v>
      </c>
      <c r="F527" s="179" t="n">
        <v>6000</v>
      </c>
      <c r="G527" s="179" t="n">
        <v>1080</v>
      </c>
      <c r="H527" s="179" t="n">
        <v>7080</v>
      </c>
      <c r="I527" s="178" t="s">
        <v>900</v>
      </c>
      <c r="J527" s="178" t="e">
        <f aca="false">VLOOKUP(C527,'FY 25-26-Accrual'!D:I,6,0)</f>
        <v>#N/A</v>
      </c>
      <c r="K527" s="200" t="e">
        <f aca="false">H527-J527</f>
        <v>#N/A</v>
      </c>
    </row>
    <row r="528" customFormat="false" ht="12" hidden="false" customHeight="false" outlineLevel="0" collapsed="false">
      <c r="A528" s="180" t="n">
        <v>45870</v>
      </c>
      <c r="B528" s="181" t="n">
        <v>45889</v>
      </c>
      <c r="C528" s="178" t="s">
        <v>767</v>
      </c>
      <c r="D528" s="178" t="s">
        <v>947</v>
      </c>
      <c r="E528" s="178" t="s">
        <v>766</v>
      </c>
      <c r="F528" s="179" t="n">
        <v>86987</v>
      </c>
      <c r="G528" s="179" t="n">
        <v>0</v>
      </c>
      <c r="H528" s="179" t="n">
        <v>86987</v>
      </c>
      <c r="I528" s="178" t="s">
        <v>900</v>
      </c>
      <c r="J528" s="178" t="n">
        <f aca="false">VLOOKUP(C528,'FY 25-26-Accrual'!D:I,6,0)</f>
        <v>86986.5</v>
      </c>
      <c r="K528" s="200" t="n">
        <f aca="false">H528-J528</f>
        <v>0.5</v>
      </c>
    </row>
    <row r="529" customFormat="false" ht="12" hidden="false" customHeight="false" outlineLevel="0" collapsed="false">
      <c r="A529" s="180" t="n">
        <v>45870</v>
      </c>
      <c r="B529" s="181" t="n">
        <v>45891</v>
      </c>
      <c r="C529" s="178" t="s">
        <v>1169</v>
      </c>
      <c r="D529" s="178" t="s">
        <v>947</v>
      </c>
      <c r="E529" s="178" t="s">
        <v>157</v>
      </c>
      <c r="F529" s="179" t="n">
        <v>15000</v>
      </c>
      <c r="G529" s="179" t="n">
        <v>2700</v>
      </c>
      <c r="H529" s="179" t="n">
        <v>17700</v>
      </c>
      <c r="I529" s="178" t="s">
        <v>900</v>
      </c>
      <c r="J529" s="178" t="e">
        <f aca="false">VLOOKUP(C529,'FY 25-26-Accrual'!D:I,6,0)</f>
        <v>#N/A</v>
      </c>
      <c r="K529" s="200" t="e">
        <f aca="false">H529-J529</f>
        <v>#N/A</v>
      </c>
    </row>
    <row r="530" customFormat="false" ht="12" hidden="false" customHeight="false" outlineLevel="0" collapsed="false">
      <c r="A530" s="180" t="n">
        <v>45870</v>
      </c>
      <c r="B530" s="181" t="n">
        <v>45891</v>
      </c>
      <c r="C530" s="178" t="s">
        <v>769</v>
      </c>
      <c r="D530" s="178" t="s">
        <v>897</v>
      </c>
      <c r="E530" s="178" t="s">
        <v>768</v>
      </c>
      <c r="F530" s="179" t="n">
        <v>36000</v>
      </c>
      <c r="G530" s="179" t="n">
        <v>6480</v>
      </c>
      <c r="H530" s="179" t="n">
        <v>42480</v>
      </c>
      <c r="I530" s="178" t="s">
        <v>900</v>
      </c>
      <c r="J530" s="178" t="n">
        <f aca="false">VLOOKUP(C530,'FY 25-26-Accrual'!D:I,6,0)</f>
        <v>42480</v>
      </c>
      <c r="K530" s="200" t="n">
        <f aca="false">H530-J530</f>
        <v>0</v>
      </c>
    </row>
    <row r="531" customFormat="false" ht="12" hidden="false" customHeight="false" outlineLevel="0" collapsed="false">
      <c r="A531" s="180" t="n">
        <v>45870</v>
      </c>
      <c r="B531" s="181" t="n">
        <v>45892</v>
      </c>
      <c r="C531" s="178" t="s">
        <v>770</v>
      </c>
      <c r="D531" s="178" t="s">
        <v>947</v>
      </c>
      <c r="E531" s="178" t="s">
        <v>632</v>
      </c>
      <c r="F531" s="179" t="n">
        <v>1266000</v>
      </c>
      <c r="G531" s="179" t="n">
        <f aca="false">F531*18%</f>
        <v>227880</v>
      </c>
      <c r="H531" s="179" t="n">
        <f aca="false">F531+G531</f>
        <v>1493880</v>
      </c>
      <c r="I531" s="178" t="s">
        <v>900</v>
      </c>
      <c r="J531" s="200" t="n">
        <f aca="false">H531</f>
        <v>1493880</v>
      </c>
      <c r="K531" s="200" t="n">
        <f aca="false">H531-J531</f>
        <v>0</v>
      </c>
    </row>
    <row r="532" customFormat="false" ht="12" hidden="false" customHeight="false" outlineLevel="0" collapsed="false">
      <c r="A532" s="180" t="n">
        <v>45870</v>
      </c>
      <c r="B532" s="181" t="n">
        <v>45894</v>
      </c>
      <c r="C532" s="178" t="s">
        <v>772</v>
      </c>
      <c r="D532" s="178" t="s">
        <v>947</v>
      </c>
      <c r="E532" s="178" t="s">
        <v>771</v>
      </c>
      <c r="F532" s="179" t="n">
        <v>6000</v>
      </c>
      <c r="G532" s="179" t="n">
        <v>1080</v>
      </c>
      <c r="H532" s="179" t="n">
        <v>7080</v>
      </c>
      <c r="I532" s="178" t="s">
        <v>900</v>
      </c>
      <c r="J532" s="178" t="n">
        <f aca="false">VLOOKUP(C532,'FY 25-26-Accrual'!D:I,6,0)</f>
        <v>7080</v>
      </c>
      <c r="K532" s="200" t="n">
        <f aca="false">H532-J532</f>
        <v>0</v>
      </c>
    </row>
    <row r="533" customFormat="false" ht="12" hidden="false" customHeight="false" outlineLevel="0" collapsed="false">
      <c r="A533" s="180" t="n">
        <v>45870</v>
      </c>
      <c r="B533" s="181" t="n">
        <v>45894</v>
      </c>
      <c r="C533" s="178" t="s">
        <v>773</v>
      </c>
      <c r="D533" s="178" t="s">
        <v>947</v>
      </c>
      <c r="E533" s="178" t="s">
        <v>498</v>
      </c>
      <c r="F533" s="179" t="n">
        <v>25424</v>
      </c>
      <c r="G533" s="179" t="n">
        <v>4576</v>
      </c>
      <c r="H533" s="179" t="n">
        <v>30000</v>
      </c>
      <c r="I533" s="178" t="s">
        <v>900</v>
      </c>
      <c r="J533" s="178" t="n">
        <f aca="false">VLOOKUP(C533,'FY 25-26-Accrual'!D:I,6,0)</f>
        <v>30000</v>
      </c>
      <c r="K533" s="200" t="n">
        <f aca="false">H533-J533</f>
        <v>0</v>
      </c>
    </row>
    <row r="534" customFormat="false" ht="12" hidden="false" customHeight="false" outlineLevel="0" collapsed="false">
      <c r="A534" s="180" t="n">
        <v>45870</v>
      </c>
      <c r="B534" s="181" t="n">
        <v>45894</v>
      </c>
      <c r="C534" s="178" t="s">
        <v>774</v>
      </c>
      <c r="D534" s="178" t="s">
        <v>897</v>
      </c>
      <c r="E534" s="178" t="s">
        <v>498</v>
      </c>
      <c r="F534" s="179" t="n">
        <v>70000</v>
      </c>
      <c r="G534" s="179" t="n">
        <v>12600</v>
      </c>
      <c r="H534" s="179" t="n">
        <v>82600</v>
      </c>
      <c r="I534" s="178" t="s">
        <v>900</v>
      </c>
      <c r="J534" s="178" t="n">
        <f aca="false">VLOOKUP(C534,'FY 25-26-Accrual'!D:I,6,0)</f>
        <v>82600</v>
      </c>
      <c r="K534" s="200" t="n">
        <f aca="false">H534-J534</f>
        <v>0</v>
      </c>
    </row>
    <row r="535" customFormat="false" ht="12" hidden="false" customHeight="false" outlineLevel="0" collapsed="false">
      <c r="A535" s="180" t="n">
        <v>45870</v>
      </c>
      <c r="B535" s="181" t="n">
        <v>45895</v>
      </c>
      <c r="C535" s="178" t="s">
        <v>1170</v>
      </c>
      <c r="D535" s="178" t="s">
        <v>947</v>
      </c>
      <c r="E535" s="178" t="s">
        <v>238</v>
      </c>
      <c r="F535" s="179" t="n">
        <v>12000</v>
      </c>
      <c r="G535" s="179" t="n">
        <v>2160</v>
      </c>
      <c r="H535" s="179" t="n">
        <v>14160</v>
      </c>
      <c r="I535" s="178" t="s">
        <v>900</v>
      </c>
      <c r="J535" s="178" t="e">
        <f aca="false">VLOOKUP(C535,'FY 25-26-Accrual'!D:I,6,0)</f>
        <v>#N/A</v>
      </c>
      <c r="K535" s="200" t="e">
        <f aca="false">H535-J535</f>
        <v>#N/A</v>
      </c>
    </row>
    <row r="536" customFormat="false" ht="12" hidden="false" customHeight="false" outlineLevel="0" collapsed="false">
      <c r="A536" s="180" t="n">
        <v>45870</v>
      </c>
      <c r="B536" s="181" t="n">
        <v>45895</v>
      </c>
      <c r="C536" s="178" t="s">
        <v>776</v>
      </c>
      <c r="D536" s="178" t="s">
        <v>897</v>
      </c>
      <c r="E536" s="178" t="s">
        <v>775</v>
      </c>
      <c r="F536" s="179" t="n">
        <v>10000</v>
      </c>
      <c r="G536" s="179" t="n">
        <v>1800</v>
      </c>
      <c r="H536" s="179" t="n">
        <v>11800</v>
      </c>
      <c r="I536" s="178" t="s">
        <v>900</v>
      </c>
      <c r="J536" s="178" t="n">
        <f aca="false">VLOOKUP(C536,'FY 25-26-Accrual'!D:I,6,0)</f>
        <v>11800</v>
      </c>
      <c r="K536" s="200" t="n">
        <f aca="false">H536-J536</f>
        <v>0</v>
      </c>
    </row>
    <row r="537" customFormat="false" ht="12" hidden="false" customHeight="false" outlineLevel="0" collapsed="false">
      <c r="A537" s="180" t="n">
        <v>45870</v>
      </c>
      <c r="B537" s="181" t="n">
        <v>45895</v>
      </c>
      <c r="C537" s="178" t="s">
        <v>777</v>
      </c>
      <c r="D537" s="178" t="s">
        <v>947</v>
      </c>
      <c r="E537" s="178" t="s">
        <v>116</v>
      </c>
      <c r="F537" s="179" t="n">
        <v>17500</v>
      </c>
      <c r="G537" s="179" t="n">
        <v>3150</v>
      </c>
      <c r="H537" s="179" t="n">
        <v>20650</v>
      </c>
      <c r="I537" s="178" t="s">
        <v>900</v>
      </c>
      <c r="J537" s="178" t="n">
        <f aca="false">VLOOKUP(C537,'FY 25-26-Accrual'!D:I,6,0)</f>
        <v>20650</v>
      </c>
      <c r="K537" s="200" t="n">
        <f aca="false">H537-J537</f>
        <v>0</v>
      </c>
    </row>
    <row r="538" customFormat="false" ht="12" hidden="false" customHeight="false" outlineLevel="0" collapsed="false">
      <c r="A538" s="180" t="n">
        <v>45870</v>
      </c>
      <c r="B538" s="181" t="n">
        <v>45895</v>
      </c>
      <c r="C538" s="178" t="s">
        <v>778</v>
      </c>
      <c r="D538" s="178" t="s">
        <v>947</v>
      </c>
      <c r="E538" s="178" t="s">
        <v>147</v>
      </c>
      <c r="F538" s="179" t="n">
        <v>84000</v>
      </c>
      <c r="G538" s="179" t="n">
        <v>15120</v>
      </c>
      <c r="H538" s="179" t="n">
        <v>99120</v>
      </c>
      <c r="I538" s="178" t="s">
        <v>900</v>
      </c>
      <c r="J538" s="178" t="n">
        <f aca="false">VLOOKUP(C538,'FY 25-26-Accrual'!D:I,6,0)</f>
        <v>99120</v>
      </c>
      <c r="K538" s="200" t="n">
        <f aca="false">H538-J538</f>
        <v>0</v>
      </c>
    </row>
    <row r="539" customFormat="false" ht="12" hidden="false" customHeight="false" outlineLevel="0" collapsed="false">
      <c r="A539" s="180" t="n">
        <v>45870</v>
      </c>
      <c r="B539" s="181" t="n">
        <v>45896</v>
      </c>
      <c r="C539" s="178" t="s">
        <v>779</v>
      </c>
      <c r="D539" s="178" t="s">
        <v>947</v>
      </c>
      <c r="E539" s="178" t="s">
        <v>573</v>
      </c>
      <c r="F539" s="179" t="n">
        <v>202500</v>
      </c>
      <c r="G539" s="179" t="n">
        <v>36450</v>
      </c>
      <c r="H539" s="179" t="n">
        <v>238950</v>
      </c>
      <c r="I539" s="178" t="s">
        <v>900</v>
      </c>
      <c r="J539" s="200" t="n">
        <f aca="false">H539</f>
        <v>238950</v>
      </c>
      <c r="K539" s="200" t="n">
        <f aca="false">H539-J539</f>
        <v>0</v>
      </c>
    </row>
    <row r="540" customFormat="false" ht="12" hidden="false" customHeight="false" outlineLevel="0" collapsed="false">
      <c r="A540" s="180" t="n">
        <v>45870</v>
      </c>
      <c r="B540" s="181" t="n">
        <v>45896</v>
      </c>
      <c r="C540" s="178" t="s">
        <v>781</v>
      </c>
      <c r="D540" s="178" t="s">
        <v>897</v>
      </c>
      <c r="E540" s="178" t="s">
        <v>780</v>
      </c>
      <c r="F540" s="179" t="n">
        <v>59500</v>
      </c>
      <c r="G540" s="179" t="n">
        <v>10710</v>
      </c>
      <c r="H540" s="179" t="n">
        <v>70210</v>
      </c>
      <c r="I540" s="178" t="s">
        <v>900</v>
      </c>
      <c r="J540" s="178" t="n">
        <f aca="false">VLOOKUP(C540,'FY 25-26-Accrual'!D:I,6,0)</f>
        <v>70210</v>
      </c>
      <c r="K540" s="200" t="n">
        <f aca="false">H540-J540</f>
        <v>0</v>
      </c>
    </row>
    <row r="541" customFormat="false" ht="12" hidden="false" customHeight="false" outlineLevel="0" collapsed="false">
      <c r="A541" s="180" t="n">
        <v>45870</v>
      </c>
      <c r="B541" s="181" t="n">
        <v>45897</v>
      </c>
      <c r="C541" s="178" t="s">
        <v>1171</v>
      </c>
      <c r="D541" s="178" t="s">
        <v>897</v>
      </c>
      <c r="E541" s="178" t="s">
        <v>125</v>
      </c>
      <c r="F541" s="179" t="n">
        <v>100000</v>
      </c>
      <c r="G541" s="179" t="n">
        <v>18000</v>
      </c>
      <c r="H541" s="179" t="n">
        <v>118000</v>
      </c>
      <c r="I541" s="178" t="s">
        <v>900</v>
      </c>
      <c r="J541" s="178" t="e">
        <f aca="false">VLOOKUP(C541,'FY 25-26-Accrual'!D:I,6,0)</f>
        <v>#N/A</v>
      </c>
      <c r="K541" s="200" t="e">
        <f aca="false">H541-J541</f>
        <v>#N/A</v>
      </c>
    </row>
    <row r="542" customFormat="false" ht="12" hidden="false" customHeight="false" outlineLevel="0" collapsed="false">
      <c r="A542" s="180" t="n">
        <v>45870</v>
      </c>
      <c r="B542" s="181" t="n">
        <v>45897</v>
      </c>
      <c r="C542" s="178" t="s">
        <v>783</v>
      </c>
      <c r="D542" s="178" t="s">
        <v>947</v>
      </c>
      <c r="E542" s="178" t="s">
        <v>782</v>
      </c>
      <c r="F542" s="179" t="n">
        <v>360819</v>
      </c>
      <c r="G542" s="179" t="n">
        <v>0</v>
      </c>
      <c r="H542" s="179" t="n">
        <v>360819</v>
      </c>
      <c r="I542" s="178" t="s">
        <v>900</v>
      </c>
      <c r="J542" s="178" t="n">
        <f aca="false">VLOOKUP(C542,'FY 25-26-Accrual'!D:I,6,0)</f>
        <v>360818.64</v>
      </c>
      <c r="K542" s="200" t="n">
        <f aca="false">H542-J542</f>
        <v>0.35999999998603</v>
      </c>
    </row>
    <row r="543" customFormat="false" ht="12" hidden="false" customHeight="false" outlineLevel="0" collapsed="false">
      <c r="A543" s="180" t="n">
        <v>45870</v>
      </c>
      <c r="B543" s="181" t="n">
        <v>45898</v>
      </c>
      <c r="C543" s="178" t="s">
        <v>1172</v>
      </c>
      <c r="D543" s="178" t="s">
        <v>897</v>
      </c>
      <c r="E543" s="178" t="s">
        <v>284</v>
      </c>
      <c r="F543" s="179" t="n">
        <v>6780</v>
      </c>
      <c r="G543" s="179" t="n">
        <v>1220</v>
      </c>
      <c r="H543" s="179" t="n">
        <v>8000</v>
      </c>
      <c r="I543" s="178" t="s">
        <v>900</v>
      </c>
      <c r="J543" s="178" t="e">
        <f aca="false">VLOOKUP(C543,'FY 25-26-Accrual'!D:I,6,0)</f>
        <v>#N/A</v>
      </c>
      <c r="K543" s="200" t="e">
        <f aca="false">H543-J543</f>
        <v>#N/A</v>
      </c>
    </row>
    <row r="544" customFormat="false" ht="12" hidden="false" customHeight="false" outlineLevel="0" collapsed="false">
      <c r="A544" s="180" t="n">
        <v>45870</v>
      </c>
      <c r="B544" s="181" t="n">
        <v>45898</v>
      </c>
      <c r="C544" s="178" t="s">
        <v>785</v>
      </c>
      <c r="D544" s="178" t="s">
        <v>947</v>
      </c>
      <c r="E544" s="178" t="s">
        <v>784</v>
      </c>
      <c r="F544" s="179" t="n">
        <v>90000</v>
      </c>
      <c r="G544" s="179" t="n">
        <v>16200</v>
      </c>
      <c r="H544" s="179" t="n">
        <v>106200</v>
      </c>
      <c r="I544" s="178" t="s">
        <v>900</v>
      </c>
      <c r="J544" s="200" t="n">
        <f aca="false">H544</f>
        <v>106200</v>
      </c>
      <c r="K544" s="200" t="n">
        <f aca="false">H544-J544</f>
        <v>0</v>
      </c>
    </row>
    <row r="545" customFormat="false" ht="12" hidden="false" customHeight="false" outlineLevel="0" collapsed="false">
      <c r="A545" s="180" t="n">
        <v>45870</v>
      </c>
      <c r="B545" s="181" t="n">
        <v>45898</v>
      </c>
      <c r="C545" s="178" t="s">
        <v>786</v>
      </c>
      <c r="D545" s="178" t="s">
        <v>947</v>
      </c>
      <c r="E545" s="178" t="s">
        <v>598</v>
      </c>
      <c r="F545" s="179" t="n">
        <v>600000</v>
      </c>
      <c r="G545" s="179" t="n">
        <v>108000</v>
      </c>
      <c r="H545" s="179" t="n">
        <v>708000</v>
      </c>
      <c r="I545" s="178" t="s">
        <v>900</v>
      </c>
      <c r="J545" s="178" t="n">
        <f aca="false">VLOOKUP(C545,'FY 25-26-Accrual'!D:I,6,0)</f>
        <v>708000</v>
      </c>
      <c r="K545" s="200" t="n">
        <f aca="false">H545-J545</f>
        <v>0</v>
      </c>
    </row>
    <row r="546" customFormat="false" ht="12" hidden="false" customHeight="false" outlineLevel="0" collapsed="false">
      <c r="A546" s="180" t="n">
        <v>45870</v>
      </c>
      <c r="B546" s="181" t="n">
        <v>45898</v>
      </c>
      <c r="C546" s="178" t="s">
        <v>787</v>
      </c>
      <c r="D546" s="178" t="s">
        <v>897</v>
      </c>
      <c r="E546" s="178" t="s">
        <v>360</v>
      </c>
      <c r="F546" s="179" t="n">
        <v>70000</v>
      </c>
      <c r="G546" s="179" t="n">
        <v>12600</v>
      </c>
      <c r="H546" s="179" t="n">
        <v>82600</v>
      </c>
      <c r="I546" s="178" t="s">
        <v>900</v>
      </c>
      <c r="J546" s="200" t="n">
        <f aca="false">H546</f>
        <v>82600</v>
      </c>
      <c r="K546" s="200" t="n">
        <f aca="false">H546-J546</f>
        <v>0</v>
      </c>
    </row>
    <row r="547" customFormat="false" ht="12" hidden="false" customHeight="false" outlineLevel="0" collapsed="false">
      <c r="A547" s="180" t="n">
        <v>45870</v>
      </c>
      <c r="B547" s="181" t="n">
        <v>45898</v>
      </c>
      <c r="C547" s="178" t="s">
        <v>789</v>
      </c>
      <c r="D547" s="178" t="s">
        <v>947</v>
      </c>
      <c r="E547" s="178" t="s">
        <v>788</v>
      </c>
      <c r="F547" s="179" t="n">
        <v>70000</v>
      </c>
      <c r="G547" s="179" t="n">
        <v>12600</v>
      </c>
      <c r="H547" s="179" t="n">
        <v>82600</v>
      </c>
      <c r="I547" s="178" t="s">
        <v>900</v>
      </c>
      <c r="J547" s="178" t="n">
        <f aca="false">VLOOKUP(C547,'FY 25-26-Accrual'!D:I,6,0)</f>
        <v>82600</v>
      </c>
      <c r="K547" s="200" t="n">
        <f aca="false">H547-J547</f>
        <v>0</v>
      </c>
    </row>
    <row r="548" customFormat="false" ht="12" hidden="false" customHeight="false" outlineLevel="0" collapsed="false">
      <c r="A548" s="180" t="n">
        <v>45870</v>
      </c>
      <c r="B548" s="181" t="n">
        <v>45898</v>
      </c>
      <c r="C548" s="178" t="s">
        <v>790</v>
      </c>
      <c r="D548" s="178" t="s">
        <v>947</v>
      </c>
      <c r="E548" s="178" t="s">
        <v>301</v>
      </c>
      <c r="F548" s="179" t="n">
        <v>270000</v>
      </c>
      <c r="G548" s="179" t="n">
        <v>48600</v>
      </c>
      <c r="H548" s="179" t="n">
        <v>318600</v>
      </c>
      <c r="I548" s="178" t="s">
        <v>900</v>
      </c>
      <c r="J548" s="178" t="n">
        <f aca="false">VLOOKUP(C548,'FY 25-26-Accrual'!D:I,6,0)</f>
        <v>254880</v>
      </c>
      <c r="K548" s="200" t="n">
        <f aca="false">H548-J548</f>
        <v>63720</v>
      </c>
    </row>
    <row r="549" customFormat="false" ht="12" hidden="false" customHeight="false" outlineLevel="0" collapsed="false">
      <c r="A549" s="180" t="n">
        <v>45870</v>
      </c>
      <c r="B549" s="181" t="n">
        <v>45898</v>
      </c>
      <c r="C549" s="178" t="s">
        <v>794</v>
      </c>
      <c r="D549" s="178" t="s">
        <v>947</v>
      </c>
      <c r="E549" s="178" t="s">
        <v>793</v>
      </c>
      <c r="F549" s="179" t="n">
        <v>32500</v>
      </c>
      <c r="G549" s="179" t="n">
        <v>5850</v>
      </c>
      <c r="H549" s="179" t="n">
        <v>38350</v>
      </c>
      <c r="I549" s="178" t="s">
        <v>900</v>
      </c>
      <c r="J549" s="178" t="n">
        <f aca="false">VLOOKUP(C549,'FY 25-26-Accrual'!D:I,6,0)</f>
        <v>38350</v>
      </c>
      <c r="K549" s="200" t="n">
        <f aca="false">H549-J549</f>
        <v>0</v>
      </c>
    </row>
    <row r="550" customFormat="false" ht="12" hidden="false" customHeight="false" outlineLevel="0" collapsed="false">
      <c r="A550" s="180" t="n">
        <v>45870</v>
      </c>
      <c r="B550" s="181" t="n">
        <v>45899</v>
      </c>
      <c r="C550" s="178" t="s">
        <v>1173</v>
      </c>
      <c r="D550" s="178" t="s">
        <v>897</v>
      </c>
      <c r="E550" s="178" t="s">
        <v>898</v>
      </c>
      <c r="F550" s="179" t="n">
        <v>11431</v>
      </c>
      <c r="G550" s="179" t="n">
        <v>2058</v>
      </c>
      <c r="H550" s="179" t="n">
        <v>13489</v>
      </c>
      <c r="I550" s="178" t="s">
        <v>898</v>
      </c>
      <c r="J550" s="178" t="e">
        <f aca="false">VLOOKUP(C550,'FY 25-26-Accrual'!D:I,6,0)</f>
        <v>#N/A</v>
      </c>
    </row>
    <row r="551" customFormat="false" ht="12" hidden="false" customHeight="false" outlineLevel="0" collapsed="false">
      <c r="A551" s="180" t="n">
        <v>45870</v>
      </c>
      <c r="B551" s="181" t="n">
        <v>45899</v>
      </c>
      <c r="C551" s="178" t="s">
        <v>1174</v>
      </c>
      <c r="D551" s="178" t="s">
        <v>947</v>
      </c>
      <c r="E551" s="178" t="s">
        <v>640</v>
      </c>
      <c r="F551" s="179" t="n">
        <v>11032</v>
      </c>
      <c r="G551" s="179" t="n">
        <v>1986</v>
      </c>
      <c r="H551" s="179" t="n">
        <v>13018</v>
      </c>
      <c r="I551" s="178" t="s">
        <v>900</v>
      </c>
      <c r="J551" s="178" t="e">
        <f aca="false">VLOOKUP(C551,'FY 25-26-Accrual'!D:I,6,0)</f>
        <v>#N/A</v>
      </c>
      <c r="K551" s="200" t="e">
        <f aca="false">H551-J551</f>
        <v>#N/A</v>
      </c>
    </row>
    <row r="552" customFormat="false" ht="12" hidden="false" customHeight="false" outlineLevel="0" collapsed="false">
      <c r="A552" s="180" t="n">
        <v>45870</v>
      </c>
      <c r="B552" s="181" t="n">
        <v>45898</v>
      </c>
      <c r="C552" s="178" t="s">
        <v>1175</v>
      </c>
      <c r="D552" s="178" t="s">
        <v>947</v>
      </c>
      <c r="E552" s="178" t="s">
        <v>579</v>
      </c>
      <c r="F552" s="179" t="n">
        <v>-25000</v>
      </c>
      <c r="G552" s="179" t="n">
        <v>-4500</v>
      </c>
      <c r="H552" s="179" t="n">
        <v>-29500</v>
      </c>
      <c r="I552" s="178" t="s">
        <v>900</v>
      </c>
      <c r="J552" s="200" t="n">
        <f aca="false">H552</f>
        <v>-29500</v>
      </c>
      <c r="K552" s="200" t="n">
        <f aca="false">H552-J552</f>
        <v>0</v>
      </c>
    </row>
    <row r="553" customFormat="false" ht="12" hidden="false" customHeight="false" outlineLevel="0" collapsed="false">
      <c r="A553" s="180" t="n">
        <v>45870</v>
      </c>
      <c r="B553" s="181" t="n">
        <v>45899</v>
      </c>
      <c r="C553" s="178" t="s">
        <v>1176</v>
      </c>
      <c r="D553" s="178" t="s">
        <v>947</v>
      </c>
      <c r="E553" s="178" t="s">
        <v>375</v>
      </c>
      <c r="F553" s="179" t="n">
        <v>-5516</v>
      </c>
      <c r="G553" s="179" t="n">
        <v>-993</v>
      </c>
      <c r="H553" s="179" t="n">
        <v>-6509</v>
      </c>
      <c r="I553" s="178" t="s">
        <v>900</v>
      </c>
      <c r="J553" s="200" t="n">
        <f aca="false">H553</f>
        <v>-6509</v>
      </c>
      <c r="K553" s="200" t="n">
        <f aca="false">H553-J553</f>
        <v>0</v>
      </c>
    </row>
    <row r="554" customFormat="false" ht="12" hidden="false" customHeight="false" outlineLevel="0" collapsed="false">
      <c r="A554" s="180" t="n">
        <v>45901</v>
      </c>
      <c r="B554" s="181" t="n">
        <v>45901</v>
      </c>
      <c r="C554" s="178" t="s">
        <v>798</v>
      </c>
      <c r="E554" s="178" t="s">
        <v>797</v>
      </c>
      <c r="F554" s="179" t="n">
        <v>4000</v>
      </c>
      <c r="G554" s="179" t="n">
        <f aca="false">F554*18%</f>
        <v>720</v>
      </c>
      <c r="H554" s="179" t="n">
        <f aca="false">F554+G554</f>
        <v>4720</v>
      </c>
      <c r="I554" s="178" t="s">
        <v>900</v>
      </c>
    </row>
    <row r="555" customFormat="false" ht="12" hidden="false" customHeight="false" outlineLevel="0" collapsed="false">
      <c r="A555" s="180" t="n">
        <v>45901</v>
      </c>
      <c r="B555" s="181" t="n">
        <v>45901</v>
      </c>
      <c r="C555" s="178" t="s">
        <v>801</v>
      </c>
      <c r="E555" s="178" t="s">
        <v>187</v>
      </c>
      <c r="F555" s="179" t="n">
        <v>70000</v>
      </c>
      <c r="G555" s="179" t="n">
        <f aca="false">F555*18%</f>
        <v>12600</v>
      </c>
      <c r="H555" s="179" t="n">
        <f aca="false">F555+G555</f>
        <v>82600</v>
      </c>
      <c r="I555" s="178" t="s">
        <v>900</v>
      </c>
    </row>
    <row r="556" customFormat="false" ht="12" hidden="false" customHeight="false" outlineLevel="0" collapsed="false">
      <c r="A556" s="180" t="n">
        <v>45901</v>
      </c>
      <c r="B556" s="181" t="n">
        <v>45901</v>
      </c>
      <c r="C556" s="178" t="s">
        <v>802</v>
      </c>
      <c r="E556" s="178" t="s">
        <v>687</v>
      </c>
      <c r="F556" s="179" t="n">
        <v>152000</v>
      </c>
      <c r="G556" s="179" t="n">
        <f aca="false">F556*18%</f>
        <v>27360</v>
      </c>
      <c r="H556" s="179" t="n">
        <f aca="false">F556+G556</f>
        <v>179360</v>
      </c>
      <c r="I556" s="178" t="s">
        <v>900</v>
      </c>
    </row>
    <row r="557" customFormat="false" ht="12" hidden="false" customHeight="false" outlineLevel="0" collapsed="false">
      <c r="A557" s="180" t="n">
        <v>45901</v>
      </c>
      <c r="B557" s="181" t="n">
        <v>45901</v>
      </c>
      <c r="C557" s="178" t="s">
        <v>800</v>
      </c>
      <c r="E557" s="91" t="s">
        <v>799</v>
      </c>
      <c r="F557" s="179" t="n">
        <v>63000</v>
      </c>
      <c r="G557" s="179" t="n">
        <f aca="false">F557*18%</f>
        <v>11340</v>
      </c>
      <c r="H557" s="179" t="n">
        <f aca="false">F557+G557</f>
        <v>74340</v>
      </c>
      <c r="I557" s="178" t="s">
        <v>900</v>
      </c>
    </row>
    <row r="558" customFormat="false" ht="12" hidden="false" customHeight="false" outlineLevel="0" collapsed="false">
      <c r="A558" s="180" t="n">
        <v>45901</v>
      </c>
      <c r="B558" s="181" t="n">
        <v>45901</v>
      </c>
      <c r="C558" s="178" t="s">
        <v>796</v>
      </c>
      <c r="E558" s="91" t="s">
        <v>640</v>
      </c>
      <c r="F558" s="179" t="n">
        <v>216000</v>
      </c>
      <c r="G558" s="179" t="n">
        <f aca="false">F558*18%</f>
        <v>38880</v>
      </c>
      <c r="H558" s="179" t="n">
        <f aca="false">F558+G558</f>
        <v>254880</v>
      </c>
      <c r="I558" s="178" t="s">
        <v>900</v>
      </c>
    </row>
    <row r="559" customFormat="false" ht="12" hidden="false" customHeight="false" outlineLevel="0" collapsed="false">
      <c r="A559" s="180" t="n">
        <v>45901</v>
      </c>
      <c r="B559" s="181" t="n">
        <v>45901</v>
      </c>
      <c r="C559" s="178" t="s">
        <v>803</v>
      </c>
      <c r="E559" s="91" t="s">
        <v>414</v>
      </c>
      <c r="F559" s="179" t="n">
        <v>30000</v>
      </c>
      <c r="G559" s="179" t="n">
        <f aca="false">F559*18%</f>
        <v>5400</v>
      </c>
      <c r="H559" s="179" t="n">
        <f aca="false">F559+G559</f>
        <v>35400</v>
      </c>
      <c r="I559" s="178" t="s">
        <v>900</v>
      </c>
    </row>
    <row r="560" customFormat="false" ht="12" hidden="false" customHeight="false" outlineLevel="0" collapsed="false">
      <c r="A560" s="180" t="n">
        <v>45901</v>
      </c>
      <c r="B560" s="181" t="n">
        <v>45902</v>
      </c>
      <c r="C560" s="178" t="s">
        <v>1177</v>
      </c>
      <c r="E560" s="178" t="s">
        <v>804</v>
      </c>
      <c r="F560" s="179" t="n">
        <v>70000</v>
      </c>
      <c r="G560" s="179" t="n">
        <f aca="false">F560*18%</f>
        <v>12600</v>
      </c>
      <c r="H560" s="179" t="n">
        <f aca="false">F560+G560</f>
        <v>82600</v>
      </c>
      <c r="I560" s="178" t="s">
        <v>900</v>
      </c>
    </row>
    <row r="561" customFormat="false" ht="12" hidden="false" customHeight="false" outlineLevel="0" collapsed="false">
      <c r="A561" s="180" t="n">
        <v>45901</v>
      </c>
      <c r="B561" s="181" t="n">
        <v>45902</v>
      </c>
      <c r="C561" s="178" t="s">
        <v>1178</v>
      </c>
      <c r="E561" s="178" t="s">
        <v>804</v>
      </c>
      <c r="F561" s="179" t="n">
        <v>-1400</v>
      </c>
      <c r="G561" s="179" t="n">
        <f aca="false">F561*18%</f>
        <v>-252</v>
      </c>
      <c r="H561" s="179" t="n">
        <f aca="false">F561+G561</f>
        <v>-1652</v>
      </c>
      <c r="I561" s="178" t="s">
        <v>900</v>
      </c>
    </row>
    <row r="562" customFormat="false" ht="12" hidden="false" customHeight="false" outlineLevel="0" collapsed="false">
      <c r="A562" s="180" t="n">
        <v>45901</v>
      </c>
      <c r="B562" s="181" t="n">
        <v>45902</v>
      </c>
      <c r="C562" s="178" t="s">
        <v>807</v>
      </c>
      <c r="E562" s="178" t="s">
        <v>806</v>
      </c>
      <c r="F562" s="179" t="n">
        <v>211864.41</v>
      </c>
      <c r="G562" s="179" t="n">
        <f aca="false">F562*18%</f>
        <v>38135.5938</v>
      </c>
      <c r="H562" s="179" t="n">
        <f aca="false">F562+G562</f>
        <v>250000.0038</v>
      </c>
      <c r="I562" s="178" t="s">
        <v>900</v>
      </c>
    </row>
    <row r="563" customFormat="false" ht="12" hidden="false" customHeight="false" outlineLevel="0" collapsed="false">
      <c r="A563" s="180" t="n">
        <v>45901</v>
      </c>
      <c r="B563" s="181" t="n">
        <v>45903</v>
      </c>
      <c r="C563" s="178" t="s">
        <v>1179</v>
      </c>
      <c r="E563" s="178" t="s">
        <v>125</v>
      </c>
      <c r="F563" s="179" t="n">
        <v>100000</v>
      </c>
      <c r="G563" s="179" t="n">
        <f aca="false">F563*18%</f>
        <v>18000</v>
      </c>
      <c r="H563" s="179" t="n">
        <f aca="false">F563+G563</f>
        <v>118000</v>
      </c>
      <c r="I563" s="178" t="s">
        <v>900</v>
      </c>
    </row>
    <row r="564" customFormat="false" ht="12" hidden="false" customHeight="false" outlineLevel="0" collapsed="false">
      <c r="A564" s="180" t="n">
        <v>45901</v>
      </c>
      <c r="B564" s="181" t="n">
        <v>45903</v>
      </c>
      <c r="C564" s="178" t="s">
        <v>795</v>
      </c>
      <c r="E564" s="178" t="s">
        <v>640</v>
      </c>
      <c r="F564" s="179" t="n">
        <v>11032.26</v>
      </c>
      <c r="G564" s="179" t="n">
        <f aca="false">F564*18%</f>
        <v>1985.8068</v>
      </c>
      <c r="H564" s="179" t="n">
        <f aca="false">F564+G564</f>
        <v>13018.0668</v>
      </c>
      <c r="I564" s="178" t="s">
        <v>900</v>
      </c>
    </row>
    <row r="565" customFormat="false" ht="12" hidden="false" customHeight="false" outlineLevel="0" collapsed="false">
      <c r="A565" s="180" t="n">
        <v>45901</v>
      </c>
      <c r="B565" s="181" t="n">
        <v>45903</v>
      </c>
      <c r="C565" s="178" t="s">
        <v>1180</v>
      </c>
      <c r="E565" s="178" t="s">
        <v>898</v>
      </c>
      <c r="F565" s="179" t="n">
        <v>422.88</v>
      </c>
      <c r="G565" s="179" t="n">
        <f aca="false">F565*18%</f>
        <v>76.1184</v>
      </c>
      <c r="H565" s="179" t="n">
        <f aca="false">F565+G565</f>
        <v>498.9984</v>
      </c>
      <c r="I565" s="178" t="s">
        <v>898</v>
      </c>
    </row>
    <row r="566" customFormat="false" ht="12" hidden="false" customHeight="false" outlineLevel="0" collapsed="false">
      <c r="A566" s="180" t="n">
        <v>45901</v>
      </c>
      <c r="B566" s="181" t="n">
        <v>45904</v>
      </c>
      <c r="C566" s="178" t="s">
        <v>809</v>
      </c>
      <c r="E566" s="178" t="s">
        <v>808</v>
      </c>
      <c r="F566" s="179" t="n">
        <v>10000</v>
      </c>
      <c r="G566" s="179" t="n">
        <f aca="false">F566*18%</f>
        <v>1800</v>
      </c>
      <c r="H566" s="179" t="n">
        <f aca="false">F566+G566</f>
        <v>11800</v>
      </c>
      <c r="I566" s="178" t="s">
        <v>900</v>
      </c>
    </row>
    <row r="567" customFormat="false" ht="12" hidden="false" customHeight="false" outlineLevel="0" collapsed="false">
      <c r="A567" s="180" t="n">
        <v>45901</v>
      </c>
      <c r="B567" s="181" t="n">
        <v>45904</v>
      </c>
      <c r="C567" s="178" t="s">
        <v>1181</v>
      </c>
      <c r="E567" s="178" t="s">
        <v>898</v>
      </c>
      <c r="F567" s="179" t="n">
        <v>2117.8</v>
      </c>
      <c r="G567" s="179" t="n">
        <f aca="false">F567*18%</f>
        <v>381.204</v>
      </c>
      <c r="H567" s="179" t="n">
        <f aca="false">F567+G567</f>
        <v>2499.004</v>
      </c>
      <c r="I567" s="178" t="s">
        <v>898</v>
      </c>
    </row>
    <row r="568" customFormat="false" ht="12" hidden="false" customHeight="false" outlineLevel="0" collapsed="false">
      <c r="A568" s="180" t="n">
        <v>45901</v>
      </c>
      <c r="B568" s="181" t="n">
        <v>45905</v>
      </c>
      <c r="C568" s="178" t="s">
        <v>810</v>
      </c>
      <c r="E568" s="178" t="s">
        <v>671</v>
      </c>
      <c r="F568" s="179" t="n">
        <v>3000</v>
      </c>
      <c r="G568" s="179" t="n">
        <f aca="false">F568*18%</f>
        <v>540</v>
      </c>
      <c r="H568" s="179" t="n">
        <f aca="false">F568+G568</f>
        <v>3540</v>
      </c>
      <c r="I568" s="178" t="s">
        <v>900</v>
      </c>
    </row>
    <row r="569" customFormat="false" ht="12" hidden="false" customHeight="false" outlineLevel="0" collapsed="false">
      <c r="A569" s="180" t="n">
        <v>45901</v>
      </c>
      <c r="B569" s="181" t="n">
        <v>45905</v>
      </c>
      <c r="C569" s="178" t="s">
        <v>812</v>
      </c>
      <c r="E569" s="178" t="s">
        <v>811</v>
      </c>
      <c r="F569" s="179" t="n">
        <v>9000</v>
      </c>
      <c r="G569" s="179" t="n">
        <f aca="false">F569*18%</f>
        <v>1620</v>
      </c>
      <c r="H569" s="179" t="n">
        <f aca="false">F569+G569</f>
        <v>10620</v>
      </c>
      <c r="I569" s="178" t="s">
        <v>900</v>
      </c>
    </row>
    <row r="570" customFormat="false" ht="12" hidden="false" customHeight="false" outlineLevel="0" collapsed="false">
      <c r="A570" s="180" t="n">
        <v>45901</v>
      </c>
      <c r="B570" s="181" t="n">
        <v>45905</v>
      </c>
      <c r="C570" s="178" t="s">
        <v>814</v>
      </c>
      <c r="E570" s="178" t="s">
        <v>813</v>
      </c>
      <c r="F570" s="179" t="n">
        <v>9000</v>
      </c>
      <c r="G570" s="179" t="n">
        <f aca="false">F570*18%</f>
        <v>1620</v>
      </c>
      <c r="H570" s="179" t="n">
        <f aca="false">F570+G570</f>
        <v>10620</v>
      </c>
      <c r="I570" s="178" t="s">
        <v>900</v>
      </c>
    </row>
    <row r="571" customFormat="false" ht="12" hidden="false" customHeight="false" outlineLevel="0" collapsed="false">
      <c r="A571" s="180" t="n">
        <v>45901</v>
      </c>
      <c r="B571" s="181" t="n">
        <v>45906</v>
      </c>
      <c r="C571" s="178" t="s">
        <v>1182</v>
      </c>
      <c r="E571" s="178" t="s">
        <v>299</v>
      </c>
      <c r="F571" s="179" t="n">
        <v>10000</v>
      </c>
      <c r="G571" s="179" t="n">
        <f aca="false">F571*18%</f>
        <v>1800</v>
      </c>
      <c r="H571" s="179" t="n">
        <f aca="false">F571+G571</f>
        <v>11800</v>
      </c>
      <c r="I571" s="178" t="s">
        <v>900</v>
      </c>
    </row>
    <row r="572" customFormat="false" ht="12" hidden="false" customHeight="false" outlineLevel="0" collapsed="false">
      <c r="A572" s="180" t="n">
        <v>45901</v>
      </c>
      <c r="B572" s="181" t="n">
        <v>45907</v>
      </c>
      <c r="C572" s="178" t="s">
        <v>1183</v>
      </c>
      <c r="E572" s="178" t="s">
        <v>162</v>
      </c>
      <c r="F572" s="179" t="n">
        <v>16949.15</v>
      </c>
      <c r="G572" s="179" t="n">
        <f aca="false">F572*18%</f>
        <v>3050.847</v>
      </c>
      <c r="H572" s="179" t="n">
        <f aca="false">F572+G572</f>
        <v>19999.997</v>
      </c>
      <c r="I572" s="178" t="s">
        <v>900</v>
      </c>
    </row>
    <row r="573" customFormat="false" ht="12" hidden="false" customHeight="false" outlineLevel="0" collapsed="false">
      <c r="A573" s="180" t="n">
        <v>45901</v>
      </c>
      <c r="B573" s="181" t="n">
        <v>45908</v>
      </c>
      <c r="C573" s="178" t="s">
        <v>818</v>
      </c>
      <c r="E573" s="178" t="s">
        <v>817</v>
      </c>
      <c r="F573" s="179" t="n">
        <v>67000</v>
      </c>
      <c r="G573" s="179" t="n">
        <f aca="false">F573*18%</f>
        <v>12060</v>
      </c>
      <c r="H573" s="179" t="n">
        <f aca="false">F573+G573</f>
        <v>79060</v>
      </c>
      <c r="I573" s="178" t="s">
        <v>900</v>
      </c>
    </row>
    <row r="574" customFormat="false" ht="12" hidden="false" customHeight="false" outlineLevel="0" collapsed="false">
      <c r="A574" s="180" t="n">
        <v>45901</v>
      </c>
      <c r="B574" s="181" t="n">
        <v>45908</v>
      </c>
      <c r="C574" s="178" t="s">
        <v>815</v>
      </c>
      <c r="E574" s="178" t="s">
        <v>1184</v>
      </c>
      <c r="F574" s="179" t="n">
        <v>407440.8</v>
      </c>
      <c r="G574" s="179" t="n">
        <f aca="false">F574*18%</f>
        <v>73339.344</v>
      </c>
      <c r="H574" s="179" t="n">
        <f aca="false">F574+G574</f>
        <v>480780.144</v>
      </c>
      <c r="I574" s="178" t="s">
        <v>900</v>
      </c>
    </row>
    <row r="575" customFormat="false" ht="12" hidden="false" customHeight="false" outlineLevel="0" collapsed="false">
      <c r="A575" s="180" t="n">
        <v>45901</v>
      </c>
      <c r="B575" s="181" t="n">
        <v>45908</v>
      </c>
      <c r="C575" s="178" t="s">
        <v>816</v>
      </c>
      <c r="E575" s="178" t="s">
        <v>199</v>
      </c>
      <c r="F575" s="179" t="n">
        <v>72033.9</v>
      </c>
      <c r="G575" s="179" t="n">
        <f aca="false">F575*18%</f>
        <v>12966.102</v>
      </c>
      <c r="H575" s="179" t="n">
        <f aca="false">F575+G575</f>
        <v>85000.002</v>
      </c>
      <c r="I575" s="178" t="s">
        <v>900</v>
      </c>
    </row>
    <row r="576" customFormat="false" ht="12" hidden="false" customHeight="false" outlineLevel="0" collapsed="false">
      <c r="A576" s="180" t="n">
        <v>45901</v>
      </c>
      <c r="B576" s="181" t="n">
        <v>45909</v>
      </c>
      <c r="C576" s="178" t="s">
        <v>1185</v>
      </c>
      <c r="E576" s="178" t="s">
        <v>914</v>
      </c>
      <c r="F576" s="179" t="n">
        <v>31271.19</v>
      </c>
      <c r="G576" s="179" t="n">
        <f aca="false">F576*18%</f>
        <v>5628.8142</v>
      </c>
      <c r="H576" s="179" t="n">
        <f aca="false">F576+G576</f>
        <v>36900.0042</v>
      </c>
      <c r="I576" s="178" t="s">
        <v>900</v>
      </c>
    </row>
    <row r="577" customFormat="false" ht="12" hidden="false" customHeight="false" outlineLevel="0" collapsed="false">
      <c r="A577" s="180" t="n">
        <v>45901</v>
      </c>
      <c r="B577" s="181" t="n">
        <v>45909</v>
      </c>
      <c r="C577" s="178" t="s">
        <v>1186</v>
      </c>
      <c r="E577" s="178" t="s">
        <v>278</v>
      </c>
      <c r="F577" s="179" t="n">
        <v>3388.98</v>
      </c>
      <c r="G577" s="179" t="n">
        <f aca="false">F577*18%</f>
        <v>610.0164</v>
      </c>
      <c r="H577" s="179" t="n">
        <f aca="false">F577+G577</f>
        <v>3998.9964</v>
      </c>
      <c r="I577" s="178" t="s">
        <v>900</v>
      </c>
    </row>
    <row r="578" customFormat="false" ht="12" hidden="false" customHeight="false" outlineLevel="0" collapsed="false">
      <c r="A578" s="180" t="n">
        <v>45901</v>
      </c>
      <c r="B578" s="181" t="n">
        <v>45909</v>
      </c>
      <c r="C578" s="178" t="s">
        <v>819</v>
      </c>
      <c r="E578" s="178" t="s">
        <v>708</v>
      </c>
      <c r="F578" s="179" t="n">
        <v>415254.24</v>
      </c>
      <c r="G578" s="179" t="n">
        <f aca="false">F578*18%</f>
        <v>74745.7632</v>
      </c>
      <c r="H578" s="179" t="n">
        <f aca="false">F578+G578</f>
        <v>490000.0032</v>
      </c>
      <c r="I578" s="178" t="s">
        <v>900</v>
      </c>
    </row>
    <row r="579" customFormat="false" ht="12" hidden="false" customHeight="false" outlineLevel="0" collapsed="false">
      <c r="A579" s="180" t="n">
        <v>45901</v>
      </c>
      <c r="B579" s="181" t="n">
        <v>45909</v>
      </c>
      <c r="C579" s="178" t="s">
        <v>821</v>
      </c>
      <c r="E579" s="178" t="s">
        <v>820</v>
      </c>
      <c r="F579" s="179" t="n">
        <v>25423.73</v>
      </c>
      <c r="G579" s="179" t="n">
        <f aca="false">F579*18%</f>
        <v>4576.2714</v>
      </c>
      <c r="H579" s="179" t="n">
        <f aca="false">F579+G579</f>
        <v>30000.0014</v>
      </c>
      <c r="I579" s="178" t="s">
        <v>900</v>
      </c>
    </row>
    <row r="580" customFormat="false" ht="12" hidden="false" customHeight="false" outlineLevel="0" collapsed="false">
      <c r="A580" s="180" t="n">
        <v>45901</v>
      </c>
      <c r="B580" s="181" t="n">
        <v>45909</v>
      </c>
      <c r="C580" s="178" t="s">
        <v>1187</v>
      </c>
      <c r="E580" s="178" t="s">
        <v>669</v>
      </c>
      <c r="F580" s="179" t="n">
        <v>3389.83</v>
      </c>
      <c r="G580" s="179" t="n">
        <f aca="false">F580*18%</f>
        <v>610.1694</v>
      </c>
      <c r="H580" s="179" t="n">
        <f aca="false">F580+G580</f>
        <v>3999.9994</v>
      </c>
      <c r="I580" s="178" t="s">
        <v>900</v>
      </c>
    </row>
    <row r="581" customFormat="false" ht="12" hidden="false" customHeight="false" outlineLevel="0" collapsed="false">
      <c r="A581" s="180" t="n">
        <v>45901</v>
      </c>
      <c r="B581" s="181" t="n">
        <v>45910</v>
      </c>
      <c r="C581" s="178" t="s">
        <v>1188</v>
      </c>
      <c r="E581" s="178" t="s">
        <v>249</v>
      </c>
      <c r="F581" s="179" t="n">
        <v>8729</v>
      </c>
      <c r="G581" s="179" t="n">
        <f aca="false">F581*18%</f>
        <v>1571.22</v>
      </c>
      <c r="H581" s="179" t="n">
        <f aca="false">F581+G581</f>
        <v>10300.22</v>
      </c>
      <c r="I581" s="178" t="s">
        <v>900</v>
      </c>
    </row>
    <row r="582" customFormat="false" ht="12" hidden="false" customHeight="false" outlineLevel="0" collapsed="false">
      <c r="A582" s="180" t="n">
        <v>45901</v>
      </c>
      <c r="B582" s="181" t="n">
        <v>45910</v>
      </c>
      <c r="C582" s="178" t="s">
        <v>825</v>
      </c>
      <c r="E582" s="178" t="s">
        <v>824</v>
      </c>
      <c r="F582" s="179" t="n">
        <v>31500</v>
      </c>
      <c r="G582" s="179" t="n">
        <f aca="false">F582*18%</f>
        <v>5670</v>
      </c>
      <c r="H582" s="179" t="n">
        <f aca="false">F582+G582</f>
        <v>37170</v>
      </c>
      <c r="I582" s="178" t="s">
        <v>900</v>
      </c>
    </row>
    <row r="583" customFormat="false" ht="12" hidden="false" customHeight="false" outlineLevel="0" collapsed="false">
      <c r="A583" s="180" t="n">
        <v>45901</v>
      </c>
      <c r="B583" s="181" t="n">
        <v>45911</v>
      </c>
      <c r="C583" s="178" t="s">
        <v>1189</v>
      </c>
      <c r="E583" s="178" t="s">
        <v>540</v>
      </c>
      <c r="F583" s="179" t="n">
        <v>8474.58</v>
      </c>
      <c r="G583" s="179" t="n">
        <f aca="false">F583*18%</f>
        <v>1525.4244</v>
      </c>
      <c r="H583" s="179" t="n">
        <f aca="false">F583+G583</f>
        <v>10000.0044</v>
      </c>
      <c r="I583" s="178" t="s">
        <v>900</v>
      </c>
    </row>
    <row r="584" customFormat="false" ht="12" hidden="false" customHeight="false" outlineLevel="0" collapsed="false">
      <c r="A584" s="180" t="n">
        <v>45901</v>
      </c>
      <c r="B584" s="181" t="n">
        <v>45911</v>
      </c>
      <c r="C584" s="178" t="s">
        <v>827</v>
      </c>
      <c r="E584" s="178" t="s">
        <v>826</v>
      </c>
      <c r="F584" s="179" t="n">
        <v>315000</v>
      </c>
      <c r="G584" s="179" t="n">
        <f aca="false">F584*18%</f>
        <v>56700</v>
      </c>
      <c r="H584" s="179" t="n">
        <f aca="false">F584+G584</f>
        <v>371700</v>
      </c>
      <c r="I584" s="178" t="s">
        <v>900</v>
      </c>
    </row>
    <row r="585" customFormat="false" ht="12" hidden="false" customHeight="false" outlineLevel="0" collapsed="false">
      <c r="A585" s="180" t="n">
        <v>45901</v>
      </c>
      <c r="B585" s="181" t="n">
        <v>45912</v>
      </c>
      <c r="C585" s="178" t="s">
        <v>1190</v>
      </c>
      <c r="E585" s="178" t="s">
        <v>451</v>
      </c>
      <c r="F585" s="179" t="n">
        <v>10000</v>
      </c>
      <c r="G585" s="179" t="n">
        <f aca="false">F585*18%</f>
        <v>1800</v>
      </c>
      <c r="H585" s="179" t="n">
        <f aca="false">F585+G585</f>
        <v>11800</v>
      </c>
      <c r="I585" s="178" t="s">
        <v>900</v>
      </c>
    </row>
    <row r="586" customFormat="false" ht="12" hidden="false" customHeight="false" outlineLevel="0" collapsed="false">
      <c r="A586" s="180" t="n">
        <v>45901</v>
      </c>
      <c r="B586" s="181" t="n">
        <v>45912</v>
      </c>
      <c r="C586" s="178" t="s">
        <v>1191</v>
      </c>
      <c r="E586" s="178" t="s">
        <v>281</v>
      </c>
      <c r="F586" s="179" t="n">
        <v>4237.29</v>
      </c>
      <c r="G586" s="179" t="n">
        <f aca="false">F586*18%</f>
        <v>762.7122</v>
      </c>
      <c r="H586" s="179" t="n">
        <f aca="false">F586+G586</f>
        <v>5000.0022</v>
      </c>
      <c r="I586" s="178" t="s">
        <v>900</v>
      </c>
    </row>
    <row r="587" customFormat="false" ht="12" hidden="false" customHeight="false" outlineLevel="0" collapsed="false">
      <c r="A587" s="180" t="n">
        <v>45901</v>
      </c>
      <c r="B587" s="181" t="n">
        <v>45915</v>
      </c>
      <c r="C587" s="178" t="s">
        <v>828</v>
      </c>
      <c r="E587" s="178" t="s">
        <v>723</v>
      </c>
      <c r="F587" s="179" t="n">
        <v>20000</v>
      </c>
      <c r="G587" s="179" t="n">
        <f aca="false">F587*18%</f>
        <v>3600</v>
      </c>
      <c r="H587" s="179" t="n">
        <f aca="false">F587+G587</f>
        <v>23600</v>
      </c>
      <c r="I587" s="178" t="s">
        <v>900</v>
      </c>
    </row>
    <row r="588" customFormat="false" ht="12" hidden="false" customHeight="false" outlineLevel="0" collapsed="false">
      <c r="A588" s="180" t="n">
        <v>45901</v>
      </c>
      <c r="B588" s="181" t="n">
        <v>45915</v>
      </c>
      <c r="C588" s="178" t="s">
        <v>1192</v>
      </c>
      <c r="E588" s="178" t="s">
        <v>184</v>
      </c>
      <c r="F588" s="179" t="n">
        <v>16950</v>
      </c>
      <c r="G588" s="179" t="n">
        <f aca="false">F588*18%</f>
        <v>3051</v>
      </c>
      <c r="H588" s="179" t="n">
        <f aca="false">F588+G588</f>
        <v>20001</v>
      </c>
      <c r="I588" s="178" t="s">
        <v>900</v>
      </c>
    </row>
    <row r="589" customFormat="false" ht="12" hidden="false" customHeight="false" outlineLevel="0" collapsed="false">
      <c r="A589" s="180" t="n">
        <v>45901</v>
      </c>
      <c r="B589" s="181" t="n">
        <v>45915</v>
      </c>
      <c r="C589" s="178" t="s">
        <v>754</v>
      </c>
      <c r="E589" s="178" t="s">
        <v>177</v>
      </c>
      <c r="F589" s="179" t="n">
        <v>343328</v>
      </c>
      <c r="G589" s="179" t="n">
        <f aca="false">F589*18%</f>
        <v>61799.04</v>
      </c>
      <c r="H589" s="179" t="n">
        <f aca="false">F589+G589</f>
        <v>405127.04</v>
      </c>
      <c r="I589" s="178" t="s">
        <v>900</v>
      </c>
    </row>
    <row r="590" customFormat="false" ht="12" hidden="false" customHeight="false" outlineLevel="0" collapsed="false">
      <c r="A590" s="180" t="n">
        <v>45901</v>
      </c>
      <c r="B590" s="181" t="n">
        <v>45916</v>
      </c>
      <c r="C590" s="178" t="s">
        <v>829</v>
      </c>
      <c r="E590" s="178" t="s">
        <v>705</v>
      </c>
      <c r="F590" s="179" t="n">
        <v>35000</v>
      </c>
      <c r="G590" s="179" t="n">
        <f aca="false">F590*18%</f>
        <v>6300</v>
      </c>
      <c r="H590" s="179" t="n">
        <f aca="false">F590+G590</f>
        <v>41300</v>
      </c>
      <c r="I590" s="178" t="s">
        <v>900</v>
      </c>
    </row>
    <row r="591" customFormat="false" ht="12" hidden="false" customHeight="false" outlineLevel="0" collapsed="false">
      <c r="A591" s="180" t="n">
        <v>45901</v>
      </c>
      <c r="B591" s="181" t="n">
        <v>45917</v>
      </c>
      <c r="C591" s="178" t="s">
        <v>1193</v>
      </c>
      <c r="E591" s="178" t="s">
        <v>836</v>
      </c>
      <c r="F591" s="179" t="n">
        <v>5084.75</v>
      </c>
      <c r="G591" s="179" t="n">
        <f aca="false">F591*18%</f>
        <v>915.255</v>
      </c>
      <c r="H591" s="179" t="n">
        <f aca="false">F591+G591</f>
        <v>6000.005</v>
      </c>
      <c r="I591" s="178" t="s">
        <v>900</v>
      </c>
    </row>
    <row r="592" customFormat="false" ht="12" hidden="false" customHeight="false" outlineLevel="0" collapsed="false">
      <c r="A592" s="180" t="n">
        <v>45901</v>
      </c>
      <c r="B592" s="181" t="n">
        <v>45917</v>
      </c>
      <c r="C592" s="178" t="s">
        <v>832</v>
      </c>
      <c r="E592" s="178" t="s">
        <v>732</v>
      </c>
      <c r="F592" s="179" t="n">
        <v>20000</v>
      </c>
      <c r="G592" s="179" t="n">
        <f aca="false">F592*18%</f>
        <v>3600</v>
      </c>
      <c r="H592" s="179" t="n">
        <f aca="false">F592+G592</f>
        <v>23600</v>
      </c>
      <c r="I592" s="178" t="s">
        <v>900</v>
      </c>
    </row>
    <row r="593" customFormat="false" ht="12" hidden="false" customHeight="false" outlineLevel="0" collapsed="false">
      <c r="A593" s="180" t="n">
        <v>45901</v>
      </c>
      <c r="B593" s="181" t="n">
        <v>45917</v>
      </c>
      <c r="C593" s="178" t="s">
        <v>831</v>
      </c>
      <c r="E593" s="178" t="s">
        <v>830</v>
      </c>
      <c r="F593" s="179" t="n">
        <v>140000</v>
      </c>
      <c r="G593" s="179" t="n">
        <f aca="false">F593*18%</f>
        <v>25200</v>
      </c>
      <c r="H593" s="179" t="n">
        <f aca="false">F593+G593</f>
        <v>165200</v>
      </c>
      <c r="I593" s="178" t="s">
        <v>900</v>
      </c>
    </row>
    <row r="594" customFormat="false" ht="12" hidden="false" customHeight="false" outlineLevel="0" collapsed="false">
      <c r="A594" s="180" t="n">
        <v>45901</v>
      </c>
      <c r="B594" s="181" t="n">
        <v>45917</v>
      </c>
      <c r="C594" s="178" t="s">
        <v>1194</v>
      </c>
      <c r="E594" s="178" t="s">
        <v>652</v>
      </c>
      <c r="F594" s="179" t="n">
        <v>7000</v>
      </c>
      <c r="G594" s="179" t="n">
        <f aca="false">F594*18%</f>
        <v>1260</v>
      </c>
      <c r="H594" s="179" t="n">
        <f aca="false">F594+G594</f>
        <v>8260</v>
      </c>
      <c r="I594" s="178" t="s">
        <v>900</v>
      </c>
    </row>
    <row r="595" customFormat="false" ht="12" hidden="false" customHeight="false" outlineLevel="0" collapsed="false">
      <c r="A595" s="180" t="n">
        <v>45901</v>
      </c>
      <c r="B595" s="181" t="n">
        <v>45917</v>
      </c>
      <c r="C595" s="178" t="s">
        <v>1195</v>
      </c>
      <c r="E595" s="178" t="s">
        <v>514</v>
      </c>
      <c r="F595" s="179" t="n">
        <v>30000</v>
      </c>
      <c r="G595" s="179" t="n">
        <f aca="false">F595*18%</f>
        <v>5400</v>
      </c>
      <c r="H595" s="179" t="n">
        <f aca="false">F595+G595</f>
        <v>35400</v>
      </c>
      <c r="I595" s="178" t="s">
        <v>900</v>
      </c>
    </row>
    <row r="596" customFormat="false" ht="12" hidden="false" customHeight="false" outlineLevel="0" collapsed="false">
      <c r="A596" s="180" t="n">
        <v>45901</v>
      </c>
      <c r="B596" s="181" t="n">
        <v>45917</v>
      </c>
      <c r="C596" s="178" t="s">
        <v>838</v>
      </c>
      <c r="E596" s="178" t="s">
        <v>316</v>
      </c>
      <c r="F596" s="179" t="n">
        <v>13000</v>
      </c>
      <c r="G596" s="179" t="n">
        <f aca="false">F596*18%</f>
        <v>2340</v>
      </c>
      <c r="H596" s="179" t="n">
        <f aca="false">F596+G596</f>
        <v>15340</v>
      </c>
      <c r="I596" s="178" t="s">
        <v>900</v>
      </c>
    </row>
    <row r="597" customFormat="false" ht="12" hidden="false" customHeight="false" outlineLevel="0" collapsed="false">
      <c r="A597" s="180" t="n">
        <v>45901</v>
      </c>
      <c r="B597" s="181" t="n">
        <v>45917</v>
      </c>
      <c r="C597" s="178" t="s">
        <v>840</v>
      </c>
      <c r="E597" s="178" t="s">
        <v>839</v>
      </c>
      <c r="F597" s="179" t="n">
        <v>108000</v>
      </c>
      <c r="G597" s="179" t="n">
        <f aca="false">F597*18%</f>
        <v>19440</v>
      </c>
      <c r="H597" s="179" t="n">
        <f aca="false">F597+G597</f>
        <v>127440</v>
      </c>
      <c r="I597" s="178" t="s">
        <v>900</v>
      </c>
    </row>
    <row r="598" customFormat="false" ht="12" hidden="false" customHeight="false" outlineLevel="0" collapsed="false">
      <c r="A598" s="180" t="n">
        <v>45901</v>
      </c>
      <c r="B598" s="181" t="n">
        <v>45917</v>
      </c>
      <c r="C598" s="178" t="s">
        <v>835</v>
      </c>
      <c r="E598" s="178" t="s">
        <v>834</v>
      </c>
      <c r="F598" s="179" t="n">
        <v>45762.71</v>
      </c>
      <c r="G598" s="179" t="n">
        <f aca="false">F598*18%</f>
        <v>8237.2878</v>
      </c>
      <c r="H598" s="179" t="n">
        <f aca="false">F598+G598</f>
        <v>53999.9978</v>
      </c>
      <c r="I598" s="178" t="s">
        <v>900</v>
      </c>
    </row>
    <row r="599" customFormat="false" ht="12" hidden="false" customHeight="false" outlineLevel="0" collapsed="false">
      <c r="A599" s="180" t="n">
        <v>45901</v>
      </c>
      <c r="B599" s="181" t="n">
        <v>45917</v>
      </c>
      <c r="C599" s="178" t="s">
        <v>833</v>
      </c>
      <c r="E599" s="178" t="s">
        <v>125</v>
      </c>
      <c r="F599" s="179" t="n">
        <v>25000</v>
      </c>
      <c r="G599" s="179" t="n">
        <f aca="false">F599*18%</f>
        <v>4500</v>
      </c>
      <c r="H599" s="179" t="n">
        <f aca="false">F599+G599</f>
        <v>29500</v>
      </c>
      <c r="I599" s="178" t="s">
        <v>900</v>
      </c>
    </row>
    <row r="600" customFormat="false" ht="12" hidden="false" customHeight="false" outlineLevel="0" collapsed="false">
      <c r="A600" s="180" t="n">
        <v>45901</v>
      </c>
      <c r="B600" s="181" t="n">
        <v>45918</v>
      </c>
      <c r="C600" s="178" t="s">
        <v>1196</v>
      </c>
      <c r="E600" s="178" t="s">
        <v>230</v>
      </c>
      <c r="F600" s="179" t="n">
        <v>-21600</v>
      </c>
      <c r="G600" s="179" t="n">
        <f aca="false">F600*18%</f>
        <v>-3888</v>
      </c>
      <c r="H600" s="179" t="n">
        <f aca="false">F600+G600</f>
        <v>-25488</v>
      </c>
      <c r="I600" s="178" t="s">
        <v>900</v>
      </c>
    </row>
    <row r="601" customFormat="false" ht="12" hidden="false" customHeight="false" outlineLevel="0" collapsed="false">
      <c r="A601" s="180" t="n">
        <v>45901</v>
      </c>
      <c r="B601" s="181" t="n">
        <v>45918</v>
      </c>
      <c r="C601" s="178" t="s">
        <v>842</v>
      </c>
      <c r="E601" s="178" t="s">
        <v>841</v>
      </c>
      <c r="F601" s="179" t="n">
        <v>32000</v>
      </c>
      <c r="G601" s="179" t="n">
        <f aca="false">F601*18%</f>
        <v>5760</v>
      </c>
      <c r="H601" s="179" t="n">
        <f aca="false">F601+G601</f>
        <v>37760</v>
      </c>
      <c r="I601" s="178" t="s">
        <v>900</v>
      </c>
    </row>
    <row r="602" customFormat="false" ht="12" hidden="false" customHeight="false" outlineLevel="0" collapsed="false">
      <c r="A602" s="180" t="n">
        <v>45901</v>
      </c>
      <c r="B602" s="181" t="n">
        <v>45918</v>
      </c>
      <c r="C602" s="178" t="s">
        <v>844</v>
      </c>
      <c r="E602" s="178" t="s">
        <v>843</v>
      </c>
      <c r="F602" s="179" t="n">
        <v>40000</v>
      </c>
      <c r="G602" s="179" t="n">
        <f aca="false">F602*18%</f>
        <v>7200</v>
      </c>
      <c r="H602" s="179" t="n">
        <f aca="false">F602+G602</f>
        <v>47200</v>
      </c>
      <c r="I602" s="178" t="s">
        <v>900</v>
      </c>
    </row>
    <row r="603" customFormat="false" ht="12" hidden="false" customHeight="false" outlineLevel="0" collapsed="false">
      <c r="A603" s="180" t="n">
        <v>45901</v>
      </c>
      <c r="B603" s="181" t="n">
        <v>45918</v>
      </c>
      <c r="C603" s="178" t="s">
        <v>1197</v>
      </c>
      <c r="E603" s="178" t="s">
        <v>744</v>
      </c>
      <c r="F603" s="179" t="n">
        <v>28000</v>
      </c>
      <c r="G603" s="179" t="n">
        <f aca="false">F603*18%</f>
        <v>5040</v>
      </c>
      <c r="H603" s="179" t="n">
        <f aca="false">F603+G603</f>
        <v>33040</v>
      </c>
      <c r="I603" s="178" t="s">
        <v>900</v>
      </c>
    </row>
    <row r="604" customFormat="false" ht="12" hidden="false" customHeight="false" outlineLevel="0" collapsed="false">
      <c r="A604" s="180" t="n">
        <v>45901</v>
      </c>
      <c r="B604" s="181" t="n">
        <v>45918</v>
      </c>
      <c r="C604" s="178" t="s">
        <v>1198</v>
      </c>
      <c r="E604" s="178" t="s">
        <v>846</v>
      </c>
      <c r="F604" s="179" t="n">
        <v>5084.75</v>
      </c>
      <c r="G604" s="179" t="n">
        <f aca="false">F604*18%</f>
        <v>915.255</v>
      </c>
      <c r="H604" s="179" t="n">
        <f aca="false">F604+G604</f>
        <v>6000.005</v>
      </c>
      <c r="I604" s="178" t="s">
        <v>900</v>
      </c>
    </row>
    <row r="605" customFormat="false" ht="12" hidden="false" customHeight="false" outlineLevel="0" collapsed="false">
      <c r="A605" s="180" t="n">
        <v>45901</v>
      </c>
      <c r="B605" s="181" t="n">
        <v>45918</v>
      </c>
      <c r="C605" s="178" t="s">
        <v>1199</v>
      </c>
      <c r="E605" s="178" t="s">
        <v>296</v>
      </c>
      <c r="F605" s="179" t="n">
        <v>2500</v>
      </c>
      <c r="G605" s="179" t="n">
        <f aca="false">F605*18%</f>
        <v>450</v>
      </c>
      <c r="H605" s="179" t="n">
        <f aca="false">F605+G605</f>
        <v>2950</v>
      </c>
      <c r="I605" s="178" t="s">
        <v>900</v>
      </c>
    </row>
    <row r="606" customFormat="false" ht="12" hidden="false" customHeight="false" outlineLevel="0" collapsed="false">
      <c r="A606" s="180" t="n">
        <v>45901</v>
      </c>
      <c r="B606" s="181" t="n">
        <v>45918</v>
      </c>
      <c r="C606" s="178" t="s">
        <v>850</v>
      </c>
      <c r="E606" s="178" t="s">
        <v>849</v>
      </c>
      <c r="F606" s="179" t="n">
        <v>35000</v>
      </c>
      <c r="G606" s="179" t="n">
        <f aca="false">F606*18%</f>
        <v>6300</v>
      </c>
      <c r="H606" s="179" t="n">
        <f aca="false">F606+G606</f>
        <v>41300</v>
      </c>
      <c r="I606" s="178" t="s">
        <v>900</v>
      </c>
    </row>
    <row r="607" customFormat="false" ht="12" hidden="false" customHeight="false" outlineLevel="0" collapsed="false">
      <c r="A607" s="180" t="n">
        <v>45901</v>
      </c>
      <c r="B607" s="181" t="n">
        <v>45918</v>
      </c>
      <c r="C607" s="178" t="s">
        <v>852</v>
      </c>
      <c r="E607" s="178" t="s">
        <v>851</v>
      </c>
      <c r="F607" s="179" t="n">
        <v>70000</v>
      </c>
      <c r="G607" s="179" t="n">
        <f aca="false">F607*18%</f>
        <v>12600</v>
      </c>
      <c r="H607" s="179" t="n">
        <f aca="false">F607+G607</f>
        <v>82600</v>
      </c>
      <c r="I607" s="178" t="s">
        <v>900</v>
      </c>
    </row>
    <row r="608" customFormat="false" ht="12" hidden="false" customHeight="false" outlineLevel="0" collapsed="false">
      <c r="A608" s="180" t="n">
        <v>45901</v>
      </c>
      <c r="B608" s="181" t="n">
        <v>45918</v>
      </c>
      <c r="C608" s="178" t="s">
        <v>1200</v>
      </c>
      <c r="E608" s="178" t="s">
        <v>898</v>
      </c>
      <c r="F608" s="179" t="n">
        <v>2114.4</v>
      </c>
      <c r="G608" s="179" t="n">
        <f aca="false">F608*18%</f>
        <v>380.592</v>
      </c>
      <c r="H608" s="179" t="n">
        <f aca="false">F608+G608</f>
        <v>2494.992</v>
      </c>
      <c r="I608" s="178" t="s">
        <v>898</v>
      </c>
    </row>
    <row r="609" customFormat="false" ht="12" hidden="false" customHeight="false" outlineLevel="0" collapsed="false">
      <c r="A609" s="180" t="n">
        <v>45901</v>
      </c>
      <c r="B609" s="181" t="n">
        <v>45919</v>
      </c>
      <c r="C609" s="178" t="s">
        <v>1201</v>
      </c>
      <c r="E609" s="178" t="s">
        <v>322</v>
      </c>
      <c r="F609" s="179" t="n">
        <v>126000</v>
      </c>
      <c r="G609" s="179" t="n">
        <f aca="false">F609*18%</f>
        <v>22680</v>
      </c>
      <c r="H609" s="179" t="n">
        <f aca="false">F609+G609</f>
        <v>148680</v>
      </c>
      <c r="I609" s="178" t="s">
        <v>900</v>
      </c>
    </row>
    <row r="610" customFormat="false" ht="12" hidden="false" customHeight="false" outlineLevel="0" collapsed="false">
      <c r="A610" s="180" t="n">
        <v>45901</v>
      </c>
      <c r="B610" s="181" t="n">
        <v>45919</v>
      </c>
      <c r="C610" s="178" t="s">
        <v>1202</v>
      </c>
      <c r="E610" s="178" t="s">
        <v>133</v>
      </c>
      <c r="F610" s="179" t="n">
        <v>18000</v>
      </c>
      <c r="G610" s="179" t="n">
        <f aca="false">F610*18%</f>
        <v>3240</v>
      </c>
      <c r="H610" s="179" t="n">
        <f aca="false">F610+G610</f>
        <v>21240</v>
      </c>
      <c r="I610" s="178" t="s">
        <v>900</v>
      </c>
    </row>
    <row r="611" customFormat="false" ht="12" hidden="false" customHeight="false" outlineLevel="0" collapsed="false">
      <c r="A611" s="180" t="n">
        <v>45901</v>
      </c>
      <c r="B611" s="181" t="n">
        <v>45919</v>
      </c>
      <c r="C611" s="178" t="s">
        <v>1203</v>
      </c>
      <c r="E611" s="178" t="s">
        <v>566</v>
      </c>
      <c r="F611" s="179" t="n">
        <v>5000</v>
      </c>
      <c r="G611" s="179" t="n">
        <f aca="false">F611*18%</f>
        <v>900</v>
      </c>
      <c r="H611" s="179" t="n">
        <f aca="false">F611+G611</f>
        <v>5900</v>
      </c>
      <c r="I611" s="178" t="s">
        <v>900</v>
      </c>
    </row>
    <row r="612" customFormat="false" ht="12" hidden="false" customHeight="false" outlineLevel="0" collapsed="false">
      <c r="A612" s="180" t="n">
        <v>45901</v>
      </c>
      <c r="B612" s="181" t="n">
        <v>45919</v>
      </c>
      <c r="C612" s="178" t="s">
        <v>1204</v>
      </c>
      <c r="E612" s="178" t="s">
        <v>898</v>
      </c>
      <c r="F612" s="179" t="n">
        <v>9739.84</v>
      </c>
      <c r="G612" s="179" t="n">
        <f aca="false">F612*18%</f>
        <v>1753.1712</v>
      </c>
      <c r="H612" s="179" t="n">
        <f aca="false">F612+G612</f>
        <v>11493.0112</v>
      </c>
      <c r="I612" s="178" t="s">
        <v>898</v>
      </c>
    </row>
    <row r="613" customFormat="false" ht="12" hidden="false" customHeight="false" outlineLevel="0" collapsed="false">
      <c r="A613" s="180" t="n">
        <v>45901</v>
      </c>
      <c r="B613" s="181" t="n">
        <v>45920</v>
      </c>
      <c r="C613" s="178" t="s">
        <v>1205</v>
      </c>
      <c r="E613" s="178" t="s">
        <v>853</v>
      </c>
      <c r="F613" s="179" t="n">
        <v>5084.75</v>
      </c>
      <c r="G613" s="179" t="n">
        <f aca="false">F613*18%</f>
        <v>915.255</v>
      </c>
      <c r="H613" s="179" t="n">
        <f aca="false">F613+G613</f>
        <v>6000.005</v>
      </c>
      <c r="I613" s="178" t="s">
        <v>900</v>
      </c>
    </row>
    <row r="614" customFormat="false" ht="12" hidden="false" customHeight="false" outlineLevel="0" collapsed="false">
      <c r="A614" s="180" t="n">
        <v>45901</v>
      </c>
      <c r="B614" s="181" t="n">
        <v>45921</v>
      </c>
      <c r="C614" s="178" t="s">
        <v>1206</v>
      </c>
      <c r="E614" s="178" t="s">
        <v>344</v>
      </c>
      <c r="F614" s="179" t="n">
        <v>10000</v>
      </c>
      <c r="G614" s="179" t="n">
        <f aca="false">F614*18%</f>
        <v>1800</v>
      </c>
      <c r="H614" s="179" t="n">
        <f aca="false">F614+G614</f>
        <v>11800</v>
      </c>
      <c r="I614" s="178" t="s">
        <v>900</v>
      </c>
    </row>
    <row r="615" customFormat="false" ht="12" hidden="false" customHeight="false" outlineLevel="0" collapsed="false">
      <c r="A615" s="180" t="n">
        <v>45901</v>
      </c>
      <c r="B615" s="181" t="n">
        <v>45921</v>
      </c>
      <c r="C615" s="178" t="s">
        <v>1207</v>
      </c>
      <c r="E615" s="178" t="s">
        <v>286</v>
      </c>
      <c r="F615" s="179" t="n">
        <v>29166.1</v>
      </c>
      <c r="G615" s="179" t="n">
        <f aca="false">F615*18%</f>
        <v>5249.898</v>
      </c>
      <c r="H615" s="179" t="n">
        <f aca="false">F615+G615</f>
        <v>34415.998</v>
      </c>
      <c r="I615" s="178" t="s">
        <v>900</v>
      </c>
    </row>
    <row r="616" customFormat="false" ht="12" hidden="false" customHeight="false" outlineLevel="0" collapsed="false">
      <c r="A616" s="180" t="n">
        <v>45901</v>
      </c>
      <c r="B616" s="181" t="n">
        <v>45922</v>
      </c>
      <c r="C616" s="178" t="s">
        <v>1208</v>
      </c>
      <c r="E616" s="178" t="s">
        <v>286</v>
      </c>
      <c r="F616" s="179" t="n">
        <v>-5833.9</v>
      </c>
      <c r="G616" s="179" t="n">
        <f aca="false">F616*18%</f>
        <v>-1050.102</v>
      </c>
      <c r="H616" s="179" t="n">
        <f aca="false">F616+G616</f>
        <v>-6884.002</v>
      </c>
      <c r="I616" s="178" t="s">
        <v>900</v>
      </c>
    </row>
    <row r="617" customFormat="false" ht="12" hidden="false" customHeight="false" outlineLevel="0" collapsed="false">
      <c r="A617" s="180" t="n">
        <v>45901</v>
      </c>
      <c r="B617" s="181" t="n">
        <v>45922</v>
      </c>
      <c r="C617" s="178" t="s">
        <v>1209</v>
      </c>
      <c r="E617" s="178" t="s">
        <v>286</v>
      </c>
      <c r="F617" s="179" t="n">
        <v>-5833.9</v>
      </c>
      <c r="G617" s="179" t="n">
        <f aca="false">F617*18%</f>
        <v>-1050.102</v>
      </c>
      <c r="H617" s="179" t="n">
        <f aca="false">F617+G617</f>
        <v>-6884.002</v>
      </c>
      <c r="I617" s="178" t="s">
        <v>900</v>
      </c>
    </row>
    <row r="618" customFormat="false" ht="12" hidden="false" customHeight="false" outlineLevel="0" collapsed="false">
      <c r="A618" s="180" t="n">
        <v>45901</v>
      </c>
      <c r="B618" s="181" t="n">
        <v>45922</v>
      </c>
      <c r="C618" s="178" t="s">
        <v>1210</v>
      </c>
      <c r="E618" s="178" t="s">
        <v>157</v>
      </c>
      <c r="F618" s="179" t="n">
        <v>15000</v>
      </c>
      <c r="G618" s="179" t="n">
        <f aca="false">F618*18%</f>
        <v>2700</v>
      </c>
      <c r="H618" s="179" t="n">
        <f aca="false">F618+G618</f>
        <v>17700</v>
      </c>
      <c r="I618" s="178" t="s">
        <v>900</v>
      </c>
    </row>
    <row r="619" customFormat="false" ht="12" hidden="false" customHeight="false" outlineLevel="0" collapsed="false">
      <c r="A619" s="180" t="n">
        <v>45901</v>
      </c>
      <c r="B619" s="181" t="n">
        <v>45923</v>
      </c>
      <c r="C619" s="178" t="s">
        <v>856</v>
      </c>
      <c r="E619" s="178" t="s">
        <v>855</v>
      </c>
      <c r="F619" s="179" t="n">
        <v>70000</v>
      </c>
      <c r="G619" s="179" t="n">
        <f aca="false">F619*18%</f>
        <v>12600</v>
      </c>
      <c r="H619" s="179" t="n">
        <f aca="false">F619+G619</f>
        <v>82600</v>
      </c>
      <c r="I619" s="178" t="s">
        <v>900</v>
      </c>
    </row>
    <row r="620" customFormat="false" ht="12" hidden="false" customHeight="false" outlineLevel="0" collapsed="false">
      <c r="A620" s="180" t="n">
        <v>45901</v>
      </c>
      <c r="B620" s="181" t="n">
        <v>45923</v>
      </c>
      <c r="C620" s="178" t="s">
        <v>858</v>
      </c>
      <c r="E620" s="178" t="s">
        <v>857</v>
      </c>
      <c r="F620" s="179" t="n">
        <v>8474.58</v>
      </c>
      <c r="G620" s="179" t="n">
        <f aca="false">F620*18%</f>
        <v>1525.4244</v>
      </c>
      <c r="H620" s="179" t="n">
        <f aca="false">F620+G620</f>
        <v>10000.0044</v>
      </c>
      <c r="I620" s="178" t="s">
        <v>900</v>
      </c>
    </row>
    <row r="621" customFormat="false" ht="12" hidden="false" customHeight="false" outlineLevel="0" collapsed="false">
      <c r="A621" s="180" t="n">
        <v>45901</v>
      </c>
      <c r="B621" s="181" t="n">
        <v>45925</v>
      </c>
      <c r="C621" s="178" t="s">
        <v>860</v>
      </c>
      <c r="E621" s="178" t="s">
        <v>859</v>
      </c>
      <c r="F621" s="179" t="n">
        <v>10000</v>
      </c>
      <c r="G621" s="179" t="n">
        <f aca="false">F621*18%</f>
        <v>1800</v>
      </c>
      <c r="H621" s="179" t="n">
        <f aca="false">F621+G621</f>
        <v>11800</v>
      </c>
      <c r="I621" s="178" t="s">
        <v>900</v>
      </c>
    </row>
    <row r="622" customFormat="false" ht="12" hidden="false" customHeight="false" outlineLevel="0" collapsed="false">
      <c r="A622" s="180" t="n">
        <v>45901</v>
      </c>
      <c r="B622" s="181" t="n">
        <v>45925</v>
      </c>
      <c r="C622" s="178" t="s">
        <v>861</v>
      </c>
      <c r="E622" s="178" t="s">
        <v>575</v>
      </c>
      <c r="F622" s="179" t="n">
        <v>18000</v>
      </c>
      <c r="G622" s="179" t="n">
        <f aca="false">F622*18%</f>
        <v>3240</v>
      </c>
      <c r="H622" s="179" t="n">
        <f aca="false">F622+G622</f>
        <v>21240</v>
      </c>
      <c r="I622" s="178" t="s">
        <v>900</v>
      </c>
    </row>
    <row r="623" customFormat="false" ht="12" hidden="false" customHeight="false" outlineLevel="0" collapsed="false">
      <c r="A623" s="180" t="n">
        <v>45901</v>
      </c>
      <c r="B623" s="181" t="n">
        <v>45925</v>
      </c>
      <c r="C623" s="178" t="s">
        <v>863</v>
      </c>
      <c r="E623" s="178" t="s">
        <v>862</v>
      </c>
      <c r="F623" s="179" t="n">
        <v>40000</v>
      </c>
      <c r="G623" s="179" t="n">
        <f aca="false">F623*18%</f>
        <v>7200</v>
      </c>
      <c r="H623" s="179" t="n">
        <f aca="false">F623+G623</f>
        <v>47200</v>
      </c>
      <c r="I623" s="178" t="s">
        <v>900</v>
      </c>
    </row>
    <row r="624" customFormat="false" ht="12" hidden="false" customHeight="false" outlineLevel="0" collapsed="false">
      <c r="A624" s="180" t="n">
        <v>45901</v>
      </c>
      <c r="B624" s="181" t="n">
        <v>45925</v>
      </c>
      <c r="C624" s="178" t="s">
        <v>1211</v>
      </c>
      <c r="E624" s="178" t="s">
        <v>865</v>
      </c>
      <c r="F624" s="179" t="n">
        <v>6779.66</v>
      </c>
      <c r="G624" s="179" t="n">
        <f aca="false">F624*18%</f>
        <v>1220.3388</v>
      </c>
      <c r="H624" s="179" t="n">
        <f aca="false">F624+G624</f>
        <v>7999.9988</v>
      </c>
      <c r="I624" s="178" t="s">
        <v>900</v>
      </c>
    </row>
    <row r="625" customFormat="false" ht="12" hidden="false" customHeight="false" outlineLevel="0" collapsed="false">
      <c r="A625" s="180" t="n">
        <v>45901</v>
      </c>
      <c r="B625" s="181" t="n">
        <v>45925</v>
      </c>
      <c r="C625" s="178" t="s">
        <v>868</v>
      </c>
      <c r="E625" s="178" t="s">
        <v>867</v>
      </c>
      <c r="F625" s="179" t="n">
        <v>10000</v>
      </c>
      <c r="G625" s="179" t="n">
        <f aca="false">F625*18%</f>
        <v>1800</v>
      </c>
      <c r="H625" s="179" t="n">
        <f aca="false">F625+G625</f>
        <v>11800</v>
      </c>
      <c r="I625" s="178" t="s">
        <v>900</v>
      </c>
    </row>
    <row r="626" customFormat="false" ht="12" hidden="false" customHeight="false" outlineLevel="0" collapsed="false">
      <c r="A626" s="180" t="n">
        <v>45901</v>
      </c>
      <c r="B626" s="181" t="n">
        <v>45925</v>
      </c>
      <c r="C626" s="178" t="s">
        <v>870</v>
      </c>
      <c r="E626" s="178" t="s">
        <v>869</v>
      </c>
      <c r="F626" s="179" t="n">
        <v>11086.47</v>
      </c>
      <c r="G626" s="179" t="n">
        <f aca="false">F626*18%</f>
        <v>1995.5646</v>
      </c>
      <c r="H626" s="179" t="n">
        <f aca="false">F626+G626</f>
        <v>13082.0346</v>
      </c>
      <c r="I626" s="178" t="s">
        <v>900</v>
      </c>
    </row>
    <row r="627" customFormat="false" ht="12" hidden="false" customHeight="false" outlineLevel="0" collapsed="false">
      <c r="A627" s="180" t="n">
        <v>45901</v>
      </c>
      <c r="B627" s="181" t="n">
        <v>45926</v>
      </c>
      <c r="C627" s="178" t="s">
        <v>874</v>
      </c>
      <c r="E627" s="178" t="s">
        <v>873</v>
      </c>
      <c r="F627" s="179" t="n">
        <v>59322.03</v>
      </c>
      <c r="G627" s="179" t="n">
        <f aca="false">F627*18%</f>
        <v>10677.9654</v>
      </c>
      <c r="H627" s="179" t="n">
        <f aca="false">F627+G627</f>
        <v>69999.9954</v>
      </c>
      <c r="I627" s="178" t="s">
        <v>900</v>
      </c>
    </row>
    <row r="628" customFormat="false" ht="12" hidden="false" customHeight="false" outlineLevel="0" collapsed="false">
      <c r="A628" s="180" t="n">
        <v>45901</v>
      </c>
      <c r="B628" s="181" t="n">
        <v>45926</v>
      </c>
      <c r="C628" s="178" t="s">
        <v>1212</v>
      </c>
      <c r="E628" s="178" t="s">
        <v>299</v>
      </c>
      <c r="F628" s="179" t="n">
        <v>-10000</v>
      </c>
      <c r="G628" s="179" t="n">
        <f aca="false">F628*18%</f>
        <v>-1800</v>
      </c>
      <c r="H628" s="179" t="n">
        <f aca="false">F628+G628</f>
        <v>-11800</v>
      </c>
      <c r="I628" s="178" t="s">
        <v>900</v>
      </c>
    </row>
    <row r="629" customFormat="false" ht="12" hidden="false" customHeight="false" outlineLevel="0" collapsed="false">
      <c r="A629" s="180" t="n">
        <v>45901</v>
      </c>
      <c r="B629" s="181" t="n">
        <v>45926</v>
      </c>
      <c r="C629" s="178" t="s">
        <v>1213</v>
      </c>
      <c r="E629" s="178" t="s">
        <v>238</v>
      </c>
      <c r="F629" s="179" t="n">
        <v>12000</v>
      </c>
      <c r="G629" s="179" t="n">
        <f aca="false">F629*18%</f>
        <v>2160</v>
      </c>
      <c r="H629" s="179" t="n">
        <f aca="false">F629+G629</f>
        <v>14160</v>
      </c>
      <c r="I629" s="178" t="s">
        <v>900</v>
      </c>
    </row>
    <row r="630" customFormat="false" ht="12" hidden="false" customHeight="false" outlineLevel="0" collapsed="false">
      <c r="A630" s="180" t="n">
        <v>45901</v>
      </c>
      <c r="B630" s="181" t="n">
        <v>45926</v>
      </c>
      <c r="C630" s="178" t="s">
        <v>889</v>
      </c>
      <c r="E630" s="178" t="s">
        <v>286</v>
      </c>
      <c r="F630" s="179" t="n">
        <v>4000</v>
      </c>
      <c r="G630" s="179" t="n">
        <f aca="false">F630*18%</f>
        <v>720</v>
      </c>
      <c r="H630" s="179" t="n">
        <f aca="false">F630+G630</f>
        <v>4720</v>
      </c>
      <c r="I630" s="178" t="s">
        <v>900</v>
      </c>
    </row>
    <row r="631" customFormat="false" ht="12" hidden="false" customHeight="false" outlineLevel="0" collapsed="false">
      <c r="A631" s="180" t="n">
        <v>45901</v>
      </c>
      <c r="B631" s="181" t="n">
        <v>45926</v>
      </c>
      <c r="C631" s="178" t="s">
        <v>878</v>
      </c>
      <c r="E631" s="178" t="s">
        <v>877</v>
      </c>
      <c r="F631" s="179" t="n">
        <v>67796.61</v>
      </c>
      <c r="G631" s="179" t="n">
        <f aca="false">F631*18%</f>
        <v>12203.3898</v>
      </c>
      <c r="H631" s="179" t="n">
        <f aca="false">F631+G631</f>
        <v>79999.9998</v>
      </c>
      <c r="I631" s="178" t="s">
        <v>900</v>
      </c>
    </row>
    <row r="632" customFormat="false" ht="12" hidden="false" customHeight="false" outlineLevel="0" collapsed="false">
      <c r="A632" s="180" t="n">
        <v>45901</v>
      </c>
      <c r="B632" s="181" t="n">
        <v>45926</v>
      </c>
      <c r="C632" s="178" t="s">
        <v>872</v>
      </c>
      <c r="E632" s="178" t="s">
        <v>871</v>
      </c>
      <c r="F632" s="179" t="n">
        <v>40000</v>
      </c>
      <c r="G632" s="179" t="n">
        <f aca="false">F632*18%</f>
        <v>7200</v>
      </c>
      <c r="H632" s="179" t="n">
        <f aca="false">F632+G632</f>
        <v>47200</v>
      </c>
      <c r="I632" s="178" t="s">
        <v>900</v>
      </c>
    </row>
    <row r="633" customFormat="false" ht="12" hidden="false" customHeight="false" outlineLevel="0" collapsed="false">
      <c r="A633" s="180" t="n">
        <v>45901</v>
      </c>
      <c r="B633" s="181" t="n">
        <v>45926</v>
      </c>
      <c r="C633" s="178" t="s">
        <v>876</v>
      </c>
      <c r="E633" s="178" t="s">
        <v>875</v>
      </c>
      <c r="F633" s="179" t="n">
        <v>16200</v>
      </c>
      <c r="G633" s="179" t="n">
        <f aca="false">F633*18%</f>
        <v>2916</v>
      </c>
      <c r="H633" s="179" t="n">
        <f aca="false">F633+G633</f>
        <v>19116</v>
      </c>
      <c r="I633" s="178" t="s">
        <v>900</v>
      </c>
    </row>
    <row r="634" customFormat="false" ht="12" hidden="false" customHeight="false" outlineLevel="0" collapsed="false">
      <c r="A634" s="180" t="n">
        <v>45901</v>
      </c>
      <c r="B634" s="181" t="n">
        <v>45928</v>
      </c>
      <c r="C634" s="178" t="s">
        <v>1214</v>
      </c>
      <c r="E634" s="178" t="s">
        <v>344</v>
      </c>
      <c r="F634" s="179" t="n">
        <v>-10000</v>
      </c>
      <c r="G634" s="179" t="n">
        <f aca="false">F634*18%</f>
        <v>-1800</v>
      </c>
      <c r="H634" s="179" t="n">
        <f aca="false">F634+G634</f>
        <v>-11800</v>
      </c>
      <c r="I634" s="178" t="s">
        <v>900</v>
      </c>
    </row>
    <row r="635" customFormat="false" ht="12" hidden="false" customHeight="false" outlineLevel="0" collapsed="false">
      <c r="A635" s="180" t="n">
        <v>45901</v>
      </c>
      <c r="B635" s="181" t="n">
        <v>45928</v>
      </c>
      <c r="C635" s="178" t="s">
        <v>1215</v>
      </c>
      <c r="E635" s="178" t="s">
        <v>344</v>
      </c>
      <c r="F635" s="179" t="n">
        <v>-10000</v>
      </c>
      <c r="G635" s="179" t="n">
        <f aca="false">F635*18%</f>
        <v>-1800</v>
      </c>
      <c r="H635" s="179" t="n">
        <f aca="false">F635+G635</f>
        <v>-11800</v>
      </c>
      <c r="I635" s="178" t="s">
        <v>900</v>
      </c>
    </row>
    <row r="636" customFormat="false" ht="12" hidden="false" customHeight="false" outlineLevel="0" collapsed="false">
      <c r="A636" s="180" t="n">
        <v>45901</v>
      </c>
      <c r="B636" s="181" t="n">
        <v>45928</v>
      </c>
      <c r="C636" s="178" t="s">
        <v>1216</v>
      </c>
      <c r="E636" s="178" t="s">
        <v>344</v>
      </c>
      <c r="F636" s="179" t="n">
        <v>-10000</v>
      </c>
      <c r="G636" s="179" t="n">
        <f aca="false">F636*18%</f>
        <v>-1800</v>
      </c>
      <c r="H636" s="179" t="n">
        <f aca="false">F636+G636</f>
        <v>-11800</v>
      </c>
      <c r="I636" s="178" t="s">
        <v>900</v>
      </c>
    </row>
    <row r="637" customFormat="false" ht="12" hidden="false" customHeight="false" outlineLevel="0" collapsed="false">
      <c r="A637" s="180" t="n">
        <v>45901</v>
      </c>
      <c r="B637" s="181" t="n">
        <v>45928</v>
      </c>
      <c r="C637" s="178" t="s">
        <v>1217</v>
      </c>
      <c r="E637" s="178" t="s">
        <v>344</v>
      </c>
      <c r="F637" s="179" t="n">
        <v>-10000</v>
      </c>
      <c r="G637" s="179" t="n">
        <f aca="false">F637*18%</f>
        <v>-1800</v>
      </c>
      <c r="H637" s="179" t="n">
        <f aca="false">F637+G637</f>
        <v>-11800</v>
      </c>
      <c r="I637" s="178" t="s">
        <v>900</v>
      </c>
    </row>
    <row r="638" customFormat="false" ht="12" hidden="false" customHeight="false" outlineLevel="0" collapsed="false">
      <c r="A638" s="180" t="n">
        <v>45901</v>
      </c>
      <c r="B638" s="181" t="n">
        <v>45929</v>
      </c>
      <c r="C638" s="178" t="s">
        <v>1218</v>
      </c>
      <c r="E638" s="178" t="s">
        <v>284</v>
      </c>
      <c r="F638" s="179" t="n">
        <v>6779.66</v>
      </c>
      <c r="G638" s="179" t="n">
        <f aca="false">F638*18%</f>
        <v>1220.3388</v>
      </c>
      <c r="H638" s="179" t="n">
        <f aca="false">F638+G638</f>
        <v>7999.9988</v>
      </c>
      <c r="I638" s="178" t="s">
        <v>900</v>
      </c>
    </row>
    <row r="639" customFormat="false" ht="12" hidden="false" customHeight="false" outlineLevel="0" collapsed="false">
      <c r="A639" s="180" t="n">
        <v>45901</v>
      </c>
      <c r="B639" s="181" t="n">
        <v>45929</v>
      </c>
      <c r="C639" s="178" t="s">
        <v>880</v>
      </c>
      <c r="E639" s="178" t="s">
        <v>1219</v>
      </c>
      <c r="F639" s="179" t="n">
        <v>169491.53</v>
      </c>
      <c r="G639" s="179" t="n">
        <f aca="false">F639*18%</f>
        <v>30508.4754</v>
      </c>
      <c r="H639" s="179" t="n">
        <f aca="false">F639+G639</f>
        <v>200000.0054</v>
      </c>
      <c r="I639" s="178" t="s">
        <v>900</v>
      </c>
    </row>
    <row r="640" customFormat="false" ht="12" hidden="false" customHeight="false" outlineLevel="0" collapsed="false">
      <c r="A640" s="180" t="n">
        <v>45901</v>
      </c>
      <c r="B640" s="181" t="n">
        <v>45929</v>
      </c>
      <c r="C640" s="178" t="s">
        <v>1220</v>
      </c>
      <c r="E640" s="178" t="s">
        <v>882</v>
      </c>
      <c r="F640" s="179" t="n">
        <v>84000</v>
      </c>
      <c r="G640" s="179" t="n">
        <f aca="false">F640*18%</f>
        <v>15120</v>
      </c>
      <c r="H640" s="179" t="n">
        <f aca="false">F640+G640</f>
        <v>99120</v>
      </c>
      <c r="I640" s="178" t="s">
        <v>900</v>
      </c>
    </row>
    <row r="641" customFormat="false" ht="12" hidden="false" customHeight="false" outlineLevel="0" collapsed="false">
      <c r="A641" s="180" t="n">
        <v>45901</v>
      </c>
      <c r="B641" s="181" t="n">
        <v>45929</v>
      </c>
      <c r="C641" s="178" t="s">
        <v>885</v>
      </c>
      <c r="E641" s="178" t="s">
        <v>884</v>
      </c>
      <c r="F641" s="179" t="n">
        <v>42372.88</v>
      </c>
      <c r="G641" s="179" t="n">
        <f aca="false">F641*18%</f>
        <v>7627.1184</v>
      </c>
      <c r="H641" s="179" t="n">
        <f aca="false">F641+G641</f>
        <v>49999.9984</v>
      </c>
      <c r="I641" s="178" t="s">
        <v>900</v>
      </c>
    </row>
    <row r="642" customFormat="false" ht="12" hidden="false" customHeight="false" outlineLevel="0" collapsed="false">
      <c r="A642" s="180" t="n">
        <v>45901</v>
      </c>
      <c r="B642" s="181" t="n">
        <v>45929</v>
      </c>
      <c r="C642" s="178" t="s">
        <v>886</v>
      </c>
      <c r="E642" s="178" t="s">
        <v>624</v>
      </c>
      <c r="F642" s="179" t="n">
        <v>63000</v>
      </c>
      <c r="G642" s="179" t="n">
        <f aca="false">F642*18%</f>
        <v>11340</v>
      </c>
      <c r="H642" s="179" t="n">
        <f aca="false">F642+G642</f>
        <v>74340</v>
      </c>
      <c r="I642" s="178" t="s">
        <v>900</v>
      </c>
    </row>
    <row r="643" customFormat="false" ht="12" hidden="false" customHeight="false" outlineLevel="0" collapsed="false">
      <c r="A643" s="180" t="n">
        <v>45901</v>
      </c>
      <c r="B643" s="181" t="n">
        <v>45930</v>
      </c>
      <c r="C643" s="178" t="s">
        <v>1221</v>
      </c>
      <c r="E643" s="178" t="s">
        <v>177</v>
      </c>
      <c r="F643" s="179" t="n">
        <v>-209576</v>
      </c>
      <c r="G643" s="179" t="n">
        <f aca="false">F643*18%</f>
        <v>-37723.68</v>
      </c>
      <c r="H643" s="179" t="n">
        <f aca="false">F643+G643</f>
        <v>-247299.68</v>
      </c>
      <c r="I643" s="178" t="s">
        <v>900</v>
      </c>
    </row>
    <row r="644" customFormat="false" ht="12" hidden="false" customHeight="false" outlineLevel="0" collapsed="false">
      <c r="A644" s="180" t="n">
        <v>45901</v>
      </c>
      <c r="B644" s="181" t="n">
        <v>45930</v>
      </c>
      <c r="C644" s="178" t="s">
        <v>1222</v>
      </c>
      <c r="E644" s="178" t="s">
        <v>612</v>
      </c>
      <c r="F644" s="179" t="n">
        <v>-20000</v>
      </c>
      <c r="G644" s="179" t="n">
        <f aca="false">F644*18%</f>
        <v>-3600</v>
      </c>
      <c r="H644" s="179" t="n">
        <f aca="false">F644+G644</f>
        <v>-23600</v>
      </c>
      <c r="I644" s="178" t="s">
        <v>900</v>
      </c>
    </row>
    <row r="645" customFormat="false" ht="12" hidden="false" customHeight="false" outlineLevel="0" collapsed="false">
      <c r="A645" s="180" t="n">
        <v>45901</v>
      </c>
      <c r="B645" s="181" t="n">
        <v>45930</v>
      </c>
      <c r="C645" s="178" t="s">
        <v>888</v>
      </c>
      <c r="E645" s="178" t="s">
        <v>887</v>
      </c>
      <c r="F645" s="179" t="n">
        <v>110169.5</v>
      </c>
      <c r="G645" s="179" t="n">
        <f aca="false">F645*18%</f>
        <v>19830.51</v>
      </c>
      <c r="H645" s="179" t="n">
        <f aca="false">F645+G645</f>
        <v>130000.01</v>
      </c>
      <c r="I645" s="178" t="s">
        <v>900</v>
      </c>
    </row>
    <row r="646" customFormat="false" ht="12" hidden="false" customHeight="false" outlineLevel="0" collapsed="false">
      <c r="A646" s="180" t="n">
        <v>45901</v>
      </c>
      <c r="B646" s="181" t="n">
        <v>45930</v>
      </c>
      <c r="C646" s="178" t="s">
        <v>1223</v>
      </c>
      <c r="E646" s="178" t="s">
        <v>986</v>
      </c>
      <c r="F646" s="179" t="n">
        <v>35000</v>
      </c>
      <c r="G646" s="179" t="n">
        <f aca="false">F646*18%</f>
        <v>6300</v>
      </c>
      <c r="H646" s="179" t="n">
        <f aca="false">F646+G646</f>
        <v>41300</v>
      </c>
      <c r="I646" s="178" t="s">
        <v>900</v>
      </c>
    </row>
    <row r="647" customFormat="false" ht="12" hidden="false" customHeight="false" outlineLevel="0" collapsed="false">
      <c r="A647" s="180" t="n">
        <v>45931</v>
      </c>
      <c r="B647" s="181" t="n">
        <v>45931</v>
      </c>
      <c r="C647" s="178" t="s">
        <v>1224</v>
      </c>
      <c r="E647" s="178" t="s">
        <v>412</v>
      </c>
      <c r="F647" s="179" t="n">
        <v>120000</v>
      </c>
      <c r="G647" s="179" t="n">
        <f aca="false">F647*18%</f>
        <v>21600</v>
      </c>
      <c r="H647" s="179" t="n">
        <f aca="false">F647+G647</f>
        <v>141600</v>
      </c>
      <c r="I647" s="178" t="s">
        <v>900</v>
      </c>
    </row>
    <row r="648" customFormat="false" ht="12" hidden="false" customHeight="false" outlineLevel="0" collapsed="false">
      <c r="A648" s="180" t="n">
        <v>45931</v>
      </c>
      <c r="B648" s="181" t="n">
        <v>45931</v>
      </c>
      <c r="C648" s="178" t="s">
        <v>1225</v>
      </c>
      <c r="E648" s="178" t="s">
        <v>593</v>
      </c>
      <c r="F648" s="179" t="n">
        <v>30000</v>
      </c>
      <c r="G648" s="179" t="n">
        <f aca="false">F648*18%</f>
        <v>5400</v>
      </c>
      <c r="H648" s="179" t="n">
        <f aca="false">F648+G648</f>
        <v>35400</v>
      </c>
      <c r="I648" s="178" t="s">
        <v>900</v>
      </c>
    </row>
    <row r="649" customFormat="false" ht="12" hidden="false" customHeight="false" outlineLevel="0" collapsed="false">
      <c r="A649" s="180" t="n">
        <v>45931</v>
      </c>
      <c r="B649" s="181" t="n">
        <v>45931</v>
      </c>
      <c r="C649" s="178" t="s">
        <v>1226</v>
      </c>
      <c r="E649" s="178" t="s">
        <v>145</v>
      </c>
      <c r="F649" s="179" t="n">
        <v>67796.61</v>
      </c>
      <c r="G649" s="179" t="n">
        <f aca="false">F649*18%</f>
        <v>12203.3898</v>
      </c>
      <c r="H649" s="179" t="n">
        <f aca="false">F649+G649</f>
        <v>79999.9998</v>
      </c>
      <c r="I649" s="178" t="s">
        <v>900</v>
      </c>
    </row>
    <row r="650" customFormat="false" ht="12" hidden="false" customHeight="false" outlineLevel="0" collapsed="false">
      <c r="A650" s="180" t="n">
        <v>45931</v>
      </c>
      <c r="B650" s="181" t="n">
        <v>45931</v>
      </c>
      <c r="C650" s="178" t="s">
        <v>1227</v>
      </c>
      <c r="E650" s="178" t="s">
        <v>898</v>
      </c>
      <c r="F650" s="179" t="n">
        <v>422.88</v>
      </c>
      <c r="G650" s="179" t="n">
        <f aca="false">F650*18%</f>
        <v>76.1184</v>
      </c>
      <c r="H650" s="179" t="n">
        <f aca="false">F650+G650</f>
        <v>498.9984</v>
      </c>
      <c r="I650" s="178" t="s">
        <v>898</v>
      </c>
    </row>
    <row r="651" customFormat="false" ht="12" hidden="false" customHeight="false" outlineLevel="0" collapsed="false">
      <c r="A651" s="180" t="n">
        <v>45931</v>
      </c>
      <c r="B651" s="181" t="n">
        <v>45931</v>
      </c>
      <c r="C651" s="178" t="s">
        <v>1228</v>
      </c>
      <c r="E651" s="178" t="s">
        <v>596</v>
      </c>
      <c r="F651" s="179" t="n">
        <v>11400</v>
      </c>
      <c r="G651" s="179" t="n">
        <f aca="false">F651*18%</f>
        <v>2052</v>
      </c>
      <c r="H651" s="179" t="n">
        <f aca="false">F651+G651</f>
        <v>13452</v>
      </c>
      <c r="I651" s="178" t="s">
        <v>900</v>
      </c>
    </row>
    <row r="652" customFormat="false" ht="12" hidden="false" customHeight="false" outlineLevel="0" collapsed="false">
      <c r="A652" s="180" t="n">
        <v>45931</v>
      </c>
      <c r="B652" s="181" t="n">
        <v>45931</v>
      </c>
      <c r="C652" s="178" t="s">
        <v>1229</v>
      </c>
      <c r="E652" s="178" t="s">
        <v>669</v>
      </c>
      <c r="F652" s="179" t="n">
        <v>3389.83</v>
      </c>
      <c r="G652" s="179" t="n">
        <f aca="false">F652*18%</f>
        <v>610.1694</v>
      </c>
      <c r="H652" s="179" t="n">
        <f aca="false">F652+G652</f>
        <v>3999.9994</v>
      </c>
      <c r="I652" s="178" t="s">
        <v>900</v>
      </c>
    </row>
    <row r="653" customFormat="false" ht="12" hidden="false" customHeight="false" outlineLevel="0" collapsed="false">
      <c r="A653" s="180" t="n">
        <v>45931</v>
      </c>
      <c r="B653" s="181" t="n">
        <v>45932</v>
      </c>
      <c r="C653" s="178" t="s">
        <v>1230</v>
      </c>
      <c r="E653" s="178" t="s">
        <v>612</v>
      </c>
      <c r="F653" s="179" t="n">
        <v>20000</v>
      </c>
      <c r="G653" s="179" t="n">
        <f aca="false">F653*18%</f>
        <v>3600</v>
      </c>
      <c r="H653" s="179" t="n">
        <f aca="false">F653+G653</f>
        <v>23600</v>
      </c>
      <c r="I653" s="178" t="s">
        <v>900</v>
      </c>
    </row>
    <row r="654" customFormat="false" ht="12" hidden="false" customHeight="false" outlineLevel="0" collapsed="false">
      <c r="A654" s="180" t="n">
        <v>45931</v>
      </c>
      <c r="B654" s="181" t="n">
        <v>45933</v>
      </c>
      <c r="C654" s="178" t="s">
        <v>1231</v>
      </c>
      <c r="E654" s="178" t="s">
        <v>125</v>
      </c>
      <c r="F654" s="179" t="n">
        <v>100000</v>
      </c>
      <c r="G654" s="179" t="n">
        <f aca="false">F654*18%</f>
        <v>18000</v>
      </c>
      <c r="H654" s="179" t="n">
        <f aca="false">F654+G654</f>
        <v>118000</v>
      </c>
      <c r="I654" s="178" t="s">
        <v>900</v>
      </c>
    </row>
    <row r="655" customFormat="false" ht="12" hidden="false" customHeight="false" outlineLevel="0" collapsed="false">
      <c r="A655" s="180" t="n">
        <v>45931</v>
      </c>
      <c r="B655" s="181" t="n">
        <v>45932</v>
      </c>
      <c r="C655" s="178" t="s">
        <v>1232</v>
      </c>
      <c r="E655" s="178" t="s">
        <v>1233</v>
      </c>
      <c r="F655" s="179" t="n">
        <v>70000</v>
      </c>
      <c r="G655" s="179" t="n">
        <f aca="false">F655*18%</f>
        <v>12600</v>
      </c>
      <c r="H655" s="179" t="n">
        <f aca="false">F655+G655</f>
        <v>82600</v>
      </c>
      <c r="I655" s="178" t="s">
        <v>900</v>
      </c>
    </row>
    <row r="656" customFormat="false" ht="12" hidden="false" customHeight="false" outlineLevel="0" collapsed="false">
      <c r="A656" s="180" t="n">
        <v>45931</v>
      </c>
      <c r="B656" s="181" t="n">
        <v>45933</v>
      </c>
      <c r="C656" s="178" t="s">
        <v>1234</v>
      </c>
      <c r="E656" s="178" t="s">
        <v>125</v>
      </c>
      <c r="F656" s="179" t="n">
        <v>35000</v>
      </c>
      <c r="G656" s="179" t="n">
        <f aca="false">F656*18%</f>
        <v>6300</v>
      </c>
      <c r="H656" s="179" t="n">
        <f aca="false">F656+G656</f>
        <v>41300</v>
      </c>
      <c r="I656" s="178" t="s">
        <v>900</v>
      </c>
    </row>
    <row r="657" customFormat="false" ht="12" hidden="false" customHeight="false" outlineLevel="0" collapsed="false">
      <c r="A657" s="180" t="n">
        <v>45931</v>
      </c>
      <c r="B657" s="181" t="n">
        <v>45933</v>
      </c>
      <c r="C657" s="178" t="s">
        <v>1235</v>
      </c>
      <c r="E657" s="178" t="s">
        <v>1236</v>
      </c>
      <c r="F657" s="179" t="n">
        <v>42372.88</v>
      </c>
      <c r="G657" s="179" t="n">
        <f aca="false">F657*18%</f>
        <v>7627.1184</v>
      </c>
      <c r="H657" s="179" t="n">
        <f aca="false">F657+G657</f>
        <v>49999.9984</v>
      </c>
      <c r="I657" s="178" t="s">
        <v>900</v>
      </c>
    </row>
    <row r="658" customFormat="false" ht="12" hidden="false" customHeight="false" outlineLevel="0" collapsed="false">
      <c r="A658" s="180" t="n">
        <v>45931</v>
      </c>
      <c r="B658" s="181" t="n">
        <v>45933</v>
      </c>
      <c r="C658" s="178" t="s">
        <v>1237</v>
      </c>
      <c r="E658" s="178" t="s">
        <v>273</v>
      </c>
      <c r="F658" s="179" t="n">
        <v>103500</v>
      </c>
      <c r="G658" s="179" t="n">
        <f aca="false">F658*18%</f>
        <v>18630</v>
      </c>
      <c r="H658" s="179" t="n">
        <f aca="false">F658+G658</f>
        <v>122130</v>
      </c>
      <c r="I658" s="178" t="s">
        <v>900</v>
      </c>
    </row>
    <row r="659" customFormat="false" ht="12" hidden="false" customHeight="false" outlineLevel="0" collapsed="false">
      <c r="A659" s="180" t="n">
        <v>45931</v>
      </c>
      <c r="B659" s="181" t="n">
        <v>45933</v>
      </c>
      <c r="C659" s="178" t="s">
        <v>1238</v>
      </c>
      <c r="E659" s="178" t="s">
        <v>1239</v>
      </c>
      <c r="F659" s="179" t="n">
        <v>5000</v>
      </c>
      <c r="G659" s="179" t="n">
        <f aca="false">F659*18%</f>
        <v>900</v>
      </c>
      <c r="H659" s="179" t="n">
        <f aca="false">F659+G659</f>
        <v>5900</v>
      </c>
      <c r="I659" s="178" t="s">
        <v>900</v>
      </c>
    </row>
    <row r="660" customFormat="false" ht="12" hidden="false" customHeight="false" outlineLevel="0" collapsed="false">
      <c r="A660" s="180" t="n">
        <v>45931</v>
      </c>
      <c r="B660" s="181" t="n">
        <v>45935</v>
      </c>
      <c r="C660" s="178" t="s">
        <v>1240</v>
      </c>
      <c r="E660" s="178" t="s">
        <v>898</v>
      </c>
      <c r="F660" s="179" t="n">
        <v>2117.8</v>
      </c>
      <c r="G660" s="179" t="n">
        <f aca="false">F660*18%</f>
        <v>381.204</v>
      </c>
      <c r="H660" s="179" t="n">
        <f aca="false">F660+G660</f>
        <v>2499.004</v>
      </c>
      <c r="I660" s="178" t="s">
        <v>898</v>
      </c>
    </row>
    <row r="661" customFormat="false" ht="12" hidden="false" customHeight="false" outlineLevel="0" collapsed="false">
      <c r="A661" s="180" t="n">
        <v>45931</v>
      </c>
      <c r="B661" s="181" t="n">
        <v>45935</v>
      </c>
      <c r="C661" s="178" t="s">
        <v>1241</v>
      </c>
      <c r="E661" s="178" t="s">
        <v>898</v>
      </c>
      <c r="F661" s="179" t="n">
        <v>422.88</v>
      </c>
      <c r="G661" s="179" t="n">
        <f aca="false">F661*18%</f>
        <v>76.1184</v>
      </c>
      <c r="H661" s="179" t="n">
        <f aca="false">F661+G661</f>
        <v>498.9984</v>
      </c>
      <c r="I661" s="178" t="s">
        <v>898</v>
      </c>
    </row>
    <row r="662" customFormat="false" ht="12" hidden="false" customHeight="false" outlineLevel="0" collapsed="false">
      <c r="A662" s="180" t="n">
        <v>45931</v>
      </c>
      <c r="B662" s="181" t="n">
        <v>45936</v>
      </c>
      <c r="C662" s="178" t="s">
        <v>1242</v>
      </c>
      <c r="E662" s="178" t="s">
        <v>299</v>
      </c>
      <c r="F662" s="179" t="n">
        <v>10000</v>
      </c>
      <c r="G662" s="179" t="n">
        <f aca="false">F662*18%</f>
        <v>1800</v>
      </c>
      <c r="H662" s="179" t="n">
        <f aca="false">F662+G662</f>
        <v>11800</v>
      </c>
      <c r="I662" s="178" t="s">
        <v>900</v>
      </c>
    </row>
    <row r="663" customFormat="false" ht="12" hidden="false" customHeight="false" outlineLevel="0" collapsed="false">
      <c r="A663" s="180" t="n">
        <v>45931</v>
      </c>
      <c r="B663" s="181" t="n">
        <v>45936</v>
      </c>
      <c r="C663" s="178" t="s">
        <v>1243</v>
      </c>
      <c r="E663" s="178" t="s">
        <v>1244</v>
      </c>
      <c r="F663" s="179" t="n">
        <v>30000</v>
      </c>
      <c r="G663" s="179" t="n">
        <f aca="false">F663*18%</f>
        <v>5400</v>
      </c>
      <c r="H663" s="179" t="n">
        <f aca="false">F663+G663</f>
        <v>35400</v>
      </c>
      <c r="I663" s="178" t="s">
        <v>900</v>
      </c>
    </row>
    <row r="664" customFormat="false" ht="12" hidden="false" customHeight="false" outlineLevel="0" collapsed="false">
      <c r="A664" s="180" t="n">
        <v>45931</v>
      </c>
      <c r="B664" s="181" t="n">
        <v>45936</v>
      </c>
      <c r="C664" s="178" t="s">
        <v>1245</v>
      </c>
      <c r="E664" s="178" t="s">
        <v>1246</v>
      </c>
      <c r="F664" s="179" t="n">
        <v>7500</v>
      </c>
      <c r="G664" s="179" t="n">
        <f aca="false">F664*18%</f>
        <v>1350</v>
      </c>
      <c r="H664" s="179" t="n">
        <f aca="false">F664+G664</f>
        <v>8850</v>
      </c>
      <c r="I664" s="178" t="s">
        <v>900</v>
      </c>
    </row>
    <row r="665" customFormat="false" ht="12" hidden="false" customHeight="false" outlineLevel="0" collapsed="false">
      <c r="A665" s="180" t="n">
        <v>45931</v>
      </c>
      <c r="B665" s="181" t="n">
        <v>45936</v>
      </c>
      <c r="C665" s="178" t="s">
        <v>1247</v>
      </c>
      <c r="E665" s="178" t="s">
        <v>234</v>
      </c>
      <c r="F665" s="179" t="n">
        <v>153116.13</v>
      </c>
      <c r="G665" s="179" t="n">
        <f aca="false">F665*18%</f>
        <v>27560.9034</v>
      </c>
      <c r="H665" s="179" t="n">
        <f aca="false">F665+G665</f>
        <v>180677.0334</v>
      </c>
      <c r="I665" s="178" t="s">
        <v>900</v>
      </c>
    </row>
    <row r="666" customFormat="false" ht="12" hidden="false" customHeight="false" outlineLevel="0" collapsed="false">
      <c r="A666" s="180" t="n">
        <v>45931</v>
      </c>
      <c r="B666" s="181" t="n">
        <v>45937</v>
      </c>
      <c r="C666" s="178" t="s">
        <v>1248</v>
      </c>
      <c r="E666" s="178" t="s">
        <v>162</v>
      </c>
      <c r="F666" s="179" t="n">
        <v>16949.15</v>
      </c>
      <c r="G666" s="179" t="n">
        <f aca="false">F666*18%</f>
        <v>3050.847</v>
      </c>
      <c r="H666" s="179" t="n">
        <f aca="false">F666+G666</f>
        <v>19999.997</v>
      </c>
      <c r="I666" s="178" t="s">
        <v>900</v>
      </c>
    </row>
    <row r="667" customFormat="false" ht="12" hidden="false" customHeight="false" outlineLevel="0" collapsed="false">
      <c r="A667" s="180" t="n">
        <v>45931</v>
      </c>
      <c r="B667" s="181" t="n">
        <v>45937</v>
      </c>
      <c r="C667" s="178" t="s">
        <v>1249</v>
      </c>
      <c r="E667" s="178" t="s">
        <v>1250</v>
      </c>
      <c r="F667" s="179" t="n">
        <v>12500</v>
      </c>
      <c r="G667" s="179" t="n">
        <f aca="false">F667*18%</f>
        <v>2250</v>
      </c>
      <c r="H667" s="179" t="n">
        <f aca="false">F667+G667</f>
        <v>14750</v>
      </c>
      <c r="I667" s="178" t="s">
        <v>900</v>
      </c>
    </row>
    <row r="668" customFormat="false" ht="12" hidden="false" customHeight="false" outlineLevel="0" collapsed="false">
      <c r="A668" s="180" t="n">
        <v>45931</v>
      </c>
      <c r="B668" s="181" t="n">
        <v>45938</v>
      </c>
      <c r="C668" s="178" t="s">
        <v>1251</v>
      </c>
      <c r="E668" s="178" t="s">
        <v>1252</v>
      </c>
      <c r="F668" s="179" t="n">
        <v>85000</v>
      </c>
      <c r="G668" s="179" t="n">
        <f aca="false">F668*18%</f>
        <v>15300</v>
      </c>
      <c r="H668" s="179" t="n">
        <f aca="false">F668+G668</f>
        <v>100300</v>
      </c>
      <c r="I668" s="178" t="s">
        <v>900</v>
      </c>
    </row>
    <row r="669" customFormat="false" ht="12" hidden="false" customHeight="false" outlineLevel="0" collapsed="false">
      <c r="A669" s="180" t="n">
        <v>45931</v>
      </c>
      <c r="B669" s="181" t="n">
        <v>45938</v>
      </c>
      <c r="C669" s="178" t="s">
        <v>1253</v>
      </c>
      <c r="E669" s="178" t="s">
        <v>898</v>
      </c>
      <c r="F669" s="179" t="n">
        <v>422.88</v>
      </c>
      <c r="G669" s="179" t="n">
        <f aca="false">F669*18%</f>
        <v>76.1184</v>
      </c>
      <c r="H669" s="179" t="n">
        <f aca="false">F669+G669</f>
        <v>498.9984</v>
      </c>
      <c r="I669" s="178" t="s">
        <v>898</v>
      </c>
    </row>
    <row r="670" customFormat="false" ht="12" hidden="false" customHeight="false" outlineLevel="0" collapsed="false">
      <c r="A670" s="180" t="n">
        <v>45931</v>
      </c>
      <c r="B670" s="181" t="n">
        <v>45938</v>
      </c>
      <c r="C670" s="178" t="s">
        <v>1254</v>
      </c>
      <c r="E670" s="178" t="s">
        <v>1255</v>
      </c>
      <c r="F670" s="179" t="n">
        <v>6000</v>
      </c>
      <c r="G670" s="179" t="n">
        <f aca="false">F670*18%</f>
        <v>1080</v>
      </c>
      <c r="H670" s="179" t="n">
        <f aca="false">F670+G670</f>
        <v>7080</v>
      </c>
      <c r="I670" s="178" t="s">
        <v>900</v>
      </c>
    </row>
    <row r="671" customFormat="false" ht="12" hidden="false" customHeight="false" outlineLevel="0" collapsed="false">
      <c r="A671" s="180" t="n">
        <v>45931</v>
      </c>
      <c r="B671" s="181" t="n">
        <v>45939</v>
      </c>
      <c r="C671" s="178" t="s">
        <v>1256</v>
      </c>
      <c r="E671" s="178" t="s">
        <v>278</v>
      </c>
      <c r="F671" s="179" t="n">
        <v>3388.98</v>
      </c>
      <c r="G671" s="179" t="n">
        <f aca="false">F671*18%</f>
        <v>610.0164</v>
      </c>
      <c r="H671" s="179" t="n">
        <f aca="false">F671+G671</f>
        <v>3998.9964</v>
      </c>
      <c r="I671" s="178" t="s">
        <v>900</v>
      </c>
    </row>
    <row r="672" customFormat="false" ht="12" hidden="false" customHeight="false" outlineLevel="0" collapsed="false">
      <c r="A672" s="180" t="n">
        <v>45931</v>
      </c>
      <c r="B672" s="181" t="n">
        <v>45939</v>
      </c>
      <c r="C672" s="178" t="s">
        <v>1257</v>
      </c>
      <c r="E672" s="178" t="s">
        <v>898</v>
      </c>
      <c r="F672" s="179" t="n">
        <v>422.88</v>
      </c>
      <c r="G672" s="179" t="n">
        <f aca="false">F672*18%</f>
        <v>76.1184</v>
      </c>
      <c r="H672" s="179" t="n">
        <f aca="false">F672+G672</f>
        <v>498.9984</v>
      </c>
      <c r="I672" s="178" t="s">
        <v>898</v>
      </c>
    </row>
    <row r="673" customFormat="false" ht="12" hidden="false" customHeight="false" outlineLevel="0" collapsed="false">
      <c r="A673" s="180" t="n">
        <v>45931</v>
      </c>
      <c r="B673" s="181" t="n">
        <v>45939</v>
      </c>
      <c r="C673" s="178" t="s">
        <v>1258</v>
      </c>
      <c r="E673" s="178" t="s">
        <v>116</v>
      </c>
      <c r="F673" s="179" t="n">
        <v>26193.55</v>
      </c>
      <c r="G673" s="179" t="n">
        <f aca="false">F673*18%</f>
        <v>4714.839</v>
      </c>
      <c r="H673" s="179" t="n">
        <f aca="false">F673+G673</f>
        <v>30908.389</v>
      </c>
      <c r="I673" s="178" t="s">
        <v>900</v>
      </c>
    </row>
    <row r="674" customFormat="false" ht="12" hidden="false" customHeight="false" outlineLevel="0" collapsed="false">
      <c r="A674" s="180" t="n">
        <v>45931</v>
      </c>
      <c r="B674" s="181" t="n">
        <v>45939</v>
      </c>
      <c r="C674" s="178" t="s">
        <v>1259</v>
      </c>
      <c r="E674" s="178" t="s">
        <v>622</v>
      </c>
      <c r="F674" s="179" t="n">
        <v>1101600</v>
      </c>
      <c r="G674" s="179" t="n">
        <f aca="false">F674*18%</f>
        <v>198288</v>
      </c>
      <c r="H674" s="179" t="n">
        <f aca="false">F674+G674</f>
        <v>1299888</v>
      </c>
      <c r="I674" s="178" t="s">
        <v>900</v>
      </c>
    </row>
    <row r="675" customFormat="false" ht="12" hidden="false" customHeight="false" outlineLevel="0" collapsed="false">
      <c r="A675" s="180" t="n">
        <v>45931</v>
      </c>
      <c r="B675" s="181" t="n">
        <v>45939</v>
      </c>
      <c r="C675" s="178" t="s">
        <v>1260</v>
      </c>
      <c r="E675" s="178" t="s">
        <v>898</v>
      </c>
      <c r="F675" s="179" t="n">
        <v>422.88</v>
      </c>
      <c r="G675" s="179" t="n">
        <f aca="false">F675*18%</f>
        <v>76.1184</v>
      </c>
      <c r="H675" s="179" t="n">
        <f aca="false">F675+G675</f>
        <v>498.9984</v>
      </c>
      <c r="I675" s="178" t="s">
        <v>898</v>
      </c>
    </row>
    <row r="676" customFormat="false" ht="12" hidden="false" customHeight="false" outlineLevel="0" collapsed="false">
      <c r="A676" s="180" t="n">
        <v>45931</v>
      </c>
      <c r="B676" s="181" t="n">
        <v>45940</v>
      </c>
      <c r="C676" s="178" t="s">
        <v>1261</v>
      </c>
      <c r="E676" s="178" t="s">
        <v>249</v>
      </c>
      <c r="F676" s="179" t="n">
        <v>8729</v>
      </c>
      <c r="G676" s="179" t="n">
        <f aca="false">F676*18%</f>
        <v>1571.22</v>
      </c>
      <c r="H676" s="179" t="n">
        <f aca="false">F676+G676</f>
        <v>10300.22</v>
      </c>
      <c r="I676" s="178" t="s">
        <v>900</v>
      </c>
    </row>
    <row r="677" customFormat="false" ht="12" hidden="false" customHeight="false" outlineLevel="0" collapsed="false">
      <c r="A677" s="180" t="n">
        <v>45931</v>
      </c>
      <c r="B677" s="181" t="n">
        <v>45940</v>
      </c>
      <c r="C677" s="178" t="s">
        <v>1262</v>
      </c>
      <c r="E677" s="178" t="s">
        <v>322</v>
      </c>
      <c r="F677" s="179" t="n">
        <v>16258.06</v>
      </c>
      <c r="G677" s="179" t="n">
        <f aca="false">F677*18%</f>
        <v>2926.4508</v>
      </c>
      <c r="H677" s="179" t="n">
        <f aca="false">F677+G677</f>
        <v>19184.5108</v>
      </c>
      <c r="I677" s="178" t="s">
        <v>900</v>
      </c>
    </row>
    <row r="678" customFormat="false" ht="12" hidden="false" customHeight="false" outlineLevel="0" collapsed="false">
      <c r="A678" s="180" t="n">
        <v>45931</v>
      </c>
      <c r="B678" s="181" t="n">
        <v>45941</v>
      </c>
      <c r="C678" s="178" t="s">
        <v>1263</v>
      </c>
      <c r="E678" s="178" t="s">
        <v>540</v>
      </c>
      <c r="F678" s="179" t="n">
        <v>8474.58</v>
      </c>
      <c r="G678" s="179" t="n">
        <f aca="false">F678*18%</f>
        <v>1525.4244</v>
      </c>
      <c r="H678" s="179" t="n">
        <f aca="false">F678+G678</f>
        <v>10000.0044</v>
      </c>
      <c r="I678" s="178" t="s">
        <v>900</v>
      </c>
    </row>
    <row r="679" customFormat="false" ht="12" hidden="false" customHeight="false" outlineLevel="0" collapsed="false">
      <c r="A679" s="180" t="n">
        <v>45931</v>
      </c>
      <c r="B679" s="181" t="n">
        <v>45942</v>
      </c>
      <c r="C679" s="178" t="s">
        <v>1264</v>
      </c>
      <c r="E679" s="178" t="s">
        <v>281</v>
      </c>
      <c r="F679" s="179" t="n">
        <v>4237.29</v>
      </c>
      <c r="G679" s="179" t="n">
        <f aca="false">F679*18%</f>
        <v>762.7122</v>
      </c>
      <c r="H679" s="179" t="n">
        <f aca="false">F679+G679</f>
        <v>5000.0022</v>
      </c>
      <c r="I679" s="178" t="s">
        <v>900</v>
      </c>
    </row>
    <row r="680" customFormat="false" ht="12" hidden="false" customHeight="false" outlineLevel="0" collapsed="false">
      <c r="A680" s="180" t="n">
        <v>45931</v>
      </c>
      <c r="B680" s="181" t="n">
        <v>45942</v>
      </c>
      <c r="C680" s="178" t="s">
        <v>1265</v>
      </c>
      <c r="E680" s="178" t="s">
        <v>451</v>
      </c>
      <c r="F680" s="179" t="n">
        <v>10000</v>
      </c>
      <c r="G680" s="179" t="n">
        <f aca="false">F680*18%</f>
        <v>1800</v>
      </c>
      <c r="H680" s="179" t="n">
        <f aca="false">F680+G680</f>
        <v>11800</v>
      </c>
      <c r="I680" s="178" t="s">
        <v>900</v>
      </c>
    </row>
    <row r="681" customFormat="false" ht="12" hidden="false" customHeight="false" outlineLevel="0" collapsed="false">
      <c r="A681" s="180" t="n">
        <v>45931</v>
      </c>
      <c r="B681" s="181" t="n">
        <v>45943</v>
      </c>
      <c r="C681" s="178" t="s">
        <v>1266</v>
      </c>
      <c r="E681" s="178" t="s">
        <v>1267</v>
      </c>
      <c r="F681" s="179" t="n">
        <v>25000</v>
      </c>
      <c r="G681" s="179" t="n">
        <f aca="false">F681*18%</f>
        <v>4500</v>
      </c>
      <c r="H681" s="179" t="n">
        <f aca="false">F681+G681</f>
        <v>29500</v>
      </c>
      <c r="I681" s="178" t="s">
        <v>900</v>
      </c>
    </row>
    <row r="682" customFormat="false" ht="12" hidden="false" customHeight="false" outlineLevel="0" collapsed="false">
      <c r="A682" s="180" t="n">
        <v>45931</v>
      </c>
      <c r="B682" s="181" t="n">
        <v>45943</v>
      </c>
      <c r="C682" s="178" t="s">
        <v>1268</v>
      </c>
      <c r="E682" s="178" t="s">
        <v>1269</v>
      </c>
      <c r="F682" s="179" t="n">
        <v>70000</v>
      </c>
      <c r="G682" s="179" t="n">
        <f aca="false">F682*18%</f>
        <v>12600</v>
      </c>
      <c r="H682" s="179" t="n">
        <f aca="false">F682+G682</f>
        <v>82600</v>
      </c>
      <c r="I682" s="178" t="s">
        <v>900</v>
      </c>
    </row>
    <row r="683" customFormat="false" ht="12" hidden="false" customHeight="false" outlineLevel="0" collapsed="false">
      <c r="A683" s="180" t="n">
        <v>45931</v>
      </c>
      <c r="B683" s="181" t="n">
        <v>45944</v>
      </c>
      <c r="C683" s="178" t="s">
        <v>1270</v>
      </c>
      <c r="E683" s="178" t="s">
        <v>1271</v>
      </c>
      <c r="F683" s="179" t="n">
        <v>4500</v>
      </c>
      <c r="G683" s="179" t="n">
        <f aca="false">F683*18%</f>
        <v>810</v>
      </c>
      <c r="H683" s="179" t="n">
        <f aca="false">F683+G683</f>
        <v>5310</v>
      </c>
      <c r="I683" s="178" t="s">
        <v>900</v>
      </c>
    </row>
    <row r="684" customFormat="false" ht="12" hidden="false" customHeight="false" outlineLevel="0" collapsed="false">
      <c r="A684" s="180" t="n">
        <v>45931</v>
      </c>
      <c r="B684" s="181" t="n">
        <v>45944</v>
      </c>
      <c r="C684" s="178" t="s">
        <v>1272</v>
      </c>
      <c r="E684" s="178" t="s">
        <v>1273</v>
      </c>
      <c r="F684" s="179" t="n">
        <v>12500</v>
      </c>
      <c r="G684" s="179" t="n">
        <f aca="false">F684*18%</f>
        <v>2250</v>
      </c>
      <c r="H684" s="179" t="n">
        <f aca="false">F684+G684</f>
        <v>14750</v>
      </c>
      <c r="I684" s="178" t="s">
        <v>900</v>
      </c>
    </row>
    <row r="685" customFormat="false" ht="12" hidden="false" customHeight="false" outlineLevel="0" collapsed="false">
      <c r="A685" s="180" t="n">
        <v>45931</v>
      </c>
      <c r="B685" s="181" t="n">
        <v>45944</v>
      </c>
      <c r="C685" s="178" t="s">
        <v>1274</v>
      </c>
      <c r="E685" s="178" t="s">
        <v>1275</v>
      </c>
      <c r="F685" s="179" t="n">
        <v>12500</v>
      </c>
      <c r="G685" s="179" t="n">
        <f aca="false">F685*18%</f>
        <v>2250</v>
      </c>
      <c r="H685" s="179" t="n">
        <f aca="false">F685+G685</f>
        <v>14750</v>
      </c>
      <c r="I685" s="178" t="s">
        <v>900</v>
      </c>
    </row>
    <row r="686" customFormat="false" ht="12" hidden="false" customHeight="false" outlineLevel="0" collapsed="false">
      <c r="A686" s="180" t="n">
        <v>45931</v>
      </c>
      <c r="B686" s="181" t="n">
        <v>45944</v>
      </c>
      <c r="C686" s="178" t="s">
        <v>1276</v>
      </c>
      <c r="E686" s="178" t="s">
        <v>1277</v>
      </c>
      <c r="F686" s="179" t="n">
        <v>4500</v>
      </c>
      <c r="G686" s="179" t="n">
        <f aca="false">F686*18%</f>
        <v>810</v>
      </c>
      <c r="H686" s="179" t="n">
        <f aca="false">F686+G686</f>
        <v>5310</v>
      </c>
      <c r="I686" s="178" t="s">
        <v>900</v>
      </c>
    </row>
    <row r="687" customFormat="false" ht="12" hidden="false" customHeight="false" outlineLevel="0" collapsed="false">
      <c r="A687" s="180" t="n">
        <v>45931</v>
      </c>
      <c r="B687" s="181" t="n">
        <v>45944</v>
      </c>
      <c r="C687" s="178" t="s">
        <v>1278</v>
      </c>
      <c r="E687" s="178" t="s">
        <v>1279</v>
      </c>
      <c r="F687" s="179" t="n">
        <v>12500</v>
      </c>
      <c r="G687" s="179" t="n">
        <f aca="false">F687*18%</f>
        <v>2250</v>
      </c>
      <c r="H687" s="179" t="n">
        <f aca="false">F687+G687</f>
        <v>14750</v>
      </c>
      <c r="I687" s="178" t="s">
        <v>900</v>
      </c>
    </row>
    <row r="688" customFormat="false" ht="12" hidden="false" customHeight="false" outlineLevel="0" collapsed="false">
      <c r="A688" s="180" t="n">
        <v>45931</v>
      </c>
      <c r="B688" s="181" t="n">
        <v>45944</v>
      </c>
      <c r="C688" s="178" t="s">
        <v>1280</v>
      </c>
      <c r="E688" s="178" t="s">
        <v>1281</v>
      </c>
      <c r="F688" s="179" t="n">
        <v>12500</v>
      </c>
      <c r="G688" s="179" t="n">
        <f aca="false">F688*18%</f>
        <v>2250</v>
      </c>
      <c r="H688" s="179" t="n">
        <f aca="false">F688+G688</f>
        <v>14750</v>
      </c>
      <c r="I688" s="178" t="s">
        <v>900</v>
      </c>
    </row>
    <row r="689" customFormat="false" ht="12" hidden="false" customHeight="false" outlineLevel="0" collapsed="false">
      <c r="A689" s="180" t="n">
        <v>45931</v>
      </c>
      <c r="B689" s="181" t="n">
        <v>45944</v>
      </c>
      <c r="C689" s="178" t="s">
        <v>1282</v>
      </c>
      <c r="E689" s="178" t="s">
        <v>1283</v>
      </c>
      <c r="F689" s="179" t="n">
        <v>4500</v>
      </c>
      <c r="G689" s="179" t="n">
        <f aca="false">F689*18%</f>
        <v>810</v>
      </c>
      <c r="H689" s="179" t="n">
        <f aca="false">F689+G689</f>
        <v>5310</v>
      </c>
      <c r="I689" s="178" t="s">
        <v>900</v>
      </c>
    </row>
    <row r="690" customFormat="false" ht="12" hidden="false" customHeight="false" outlineLevel="0" collapsed="false">
      <c r="A690" s="180" t="n">
        <v>45931</v>
      </c>
      <c r="B690" s="181" t="n">
        <v>45944</v>
      </c>
      <c r="C690" s="178" t="s">
        <v>1284</v>
      </c>
      <c r="E690" s="178" t="s">
        <v>1285</v>
      </c>
      <c r="F690" s="179" t="n">
        <v>70000</v>
      </c>
      <c r="G690" s="179" t="n">
        <f aca="false">F690*18%</f>
        <v>12600</v>
      </c>
      <c r="H690" s="179" t="n">
        <f aca="false">F690+G690</f>
        <v>82600</v>
      </c>
      <c r="I690" s="178" t="s">
        <v>900</v>
      </c>
    </row>
    <row r="691" customFormat="false" ht="12" hidden="false" customHeight="false" outlineLevel="0" collapsed="false">
      <c r="A691" s="180" t="n">
        <v>45931</v>
      </c>
      <c r="B691" s="181" t="n">
        <v>45944</v>
      </c>
      <c r="C691" s="178" t="s">
        <v>1286</v>
      </c>
      <c r="E691" s="178" t="s">
        <v>1287</v>
      </c>
      <c r="F691" s="179" t="n">
        <v>5000</v>
      </c>
      <c r="G691" s="179" t="n">
        <f aca="false">F691*18%</f>
        <v>900</v>
      </c>
      <c r="H691" s="179" t="n">
        <f aca="false">F691+G691</f>
        <v>5900</v>
      </c>
      <c r="I691" s="178" t="s">
        <v>900</v>
      </c>
    </row>
    <row r="692" customFormat="false" ht="12" hidden="false" customHeight="false" outlineLevel="0" collapsed="false">
      <c r="A692" s="180" t="n">
        <v>45931</v>
      </c>
      <c r="B692" s="181" t="n">
        <v>45944</v>
      </c>
      <c r="C692" s="178" t="s">
        <v>1288</v>
      </c>
      <c r="E692" s="178" t="s">
        <v>1289</v>
      </c>
      <c r="F692" s="179" t="n">
        <v>8000</v>
      </c>
      <c r="G692" s="179" t="n">
        <f aca="false">F692*18%</f>
        <v>1440</v>
      </c>
      <c r="H692" s="179" t="n">
        <f aca="false">F692+G692</f>
        <v>9440</v>
      </c>
      <c r="I692" s="178" t="s">
        <v>900</v>
      </c>
    </row>
    <row r="693" customFormat="false" ht="12" hidden="false" customHeight="false" outlineLevel="0" collapsed="false">
      <c r="A693" s="180" t="n">
        <v>45931</v>
      </c>
      <c r="B693" s="181" t="n">
        <v>45945</v>
      </c>
      <c r="C693" s="178" t="s">
        <v>1290</v>
      </c>
      <c r="E693" s="178" t="s">
        <v>184</v>
      </c>
      <c r="F693" s="179" t="n">
        <v>16950</v>
      </c>
      <c r="G693" s="179" t="n">
        <f aca="false">F693*18%</f>
        <v>3051</v>
      </c>
      <c r="H693" s="179" t="n">
        <f aca="false">F693+G693</f>
        <v>20001</v>
      </c>
      <c r="I693" s="178" t="s">
        <v>900</v>
      </c>
    </row>
    <row r="694" customFormat="false" ht="12" hidden="false" customHeight="false" outlineLevel="0" collapsed="false">
      <c r="A694" s="180" t="n">
        <v>45931</v>
      </c>
      <c r="B694" s="181" t="n">
        <v>45945</v>
      </c>
      <c r="C694" s="178" t="s">
        <v>1291</v>
      </c>
      <c r="E694" s="178" t="s">
        <v>1292</v>
      </c>
      <c r="F694" s="179" t="n">
        <v>4500</v>
      </c>
      <c r="G694" s="179" t="n">
        <f aca="false">F694*18%</f>
        <v>810</v>
      </c>
      <c r="H694" s="179" t="n">
        <f aca="false">F694+G694</f>
        <v>5310</v>
      </c>
      <c r="I694" s="178" t="s">
        <v>900</v>
      </c>
    </row>
    <row r="695" customFormat="false" ht="12" hidden="false" customHeight="false" outlineLevel="0" collapsed="false">
      <c r="A695" s="180" t="n">
        <v>45931</v>
      </c>
      <c r="B695" s="181" t="n">
        <v>45945</v>
      </c>
      <c r="C695" s="178" t="s">
        <v>1293</v>
      </c>
      <c r="E695" s="178" t="s">
        <v>1294</v>
      </c>
      <c r="F695" s="179" t="n">
        <v>4500</v>
      </c>
      <c r="G695" s="179" t="n">
        <f aca="false">F695*18%</f>
        <v>810</v>
      </c>
      <c r="H695" s="179" t="n">
        <f aca="false">F695+G695</f>
        <v>5310</v>
      </c>
      <c r="I695" s="178" t="s">
        <v>900</v>
      </c>
    </row>
    <row r="696" customFormat="false" ht="12" hidden="false" customHeight="false" outlineLevel="0" collapsed="false">
      <c r="A696" s="180" t="n">
        <v>45931</v>
      </c>
      <c r="B696" s="181" t="n">
        <v>45945</v>
      </c>
      <c r="C696" s="178" t="s">
        <v>1295</v>
      </c>
      <c r="E696" s="178" t="s">
        <v>1296</v>
      </c>
      <c r="F696" s="179" t="n">
        <v>4500</v>
      </c>
      <c r="G696" s="179" t="n">
        <f aca="false">F696*18%</f>
        <v>810</v>
      </c>
      <c r="H696" s="179" t="n">
        <f aca="false">F696+G696</f>
        <v>5310</v>
      </c>
      <c r="I696" s="178" t="s">
        <v>900</v>
      </c>
    </row>
    <row r="697" customFormat="false" ht="12" hidden="false" customHeight="false" outlineLevel="0" collapsed="false">
      <c r="A697" s="180" t="n">
        <v>45931</v>
      </c>
      <c r="B697" s="181" t="n">
        <v>45945</v>
      </c>
      <c r="C697" s="178" t="s">
        <v>1297</v>
      </c>
      <c r="E697" s="178" t="s">
        <v>1298</v>
      </c>
      <c r="F697" s="179" t="n">
        <v>12500</v>
      </c>
      <c r="G697" s="179" t="n">
        <f aca="false">F697*18%</f>
        <v>2250</v>
      </c>
      <c r="H697" s="179" t="n">
        <f aca="false">F697+G697</f>
        <v>14750</v>
      </c>
      <c r="I697" s="178" t="s">
        <v>900</v>
      </c>
    </row>
    <row r="698" customFormat="false" ht="12" hidden="false" customHeight="false" outlineLevel="0" collapsed="false">
      <c r="A698" s="180" t="n">
        <v>45931</v>
      </c>
      <c r="B698" s="181" t="n">
        <v>45945</v>
      </c>
      <c r="C698" s="178" t="s">
        <v>753</v>
      </c>
      <c r="E698" s="178" t="s">
        <v>177</v>
      </c>
      <c r="F698" s="179" t="n">
        <v>150000</v>
      </c>
      <c r="G698" s="179" t="n">
        <f aca="false">F698*18%</f>
        <v>27000</v>
      </c>
      <c r="H698" s="179" t="n">
        <f aca="false">F698+G698</f>
        <v>177000</v>
      </c>
      <c r="I698" s="178" t="s">
        <v>900</v>
      </c>
    </row>
    <row r="699" customFormat="false" ht="12" hidden="false" customHeight="false" outlineLevel="0" collapsed="false">
      <c r="A699" s="180" t="n">
        <v>45931</v>
      </c>
      <c r="B699" s="181" t="n">
        <v>45945</v>
      </c>
      <c r="C699" s="178" t="s">
        <v>753</v>
      </c>
      <c r="E699" s="178" t="s">
        <v>177</v>
      </c>
      <c r="F699" s="179" t="n">
        <v>2708</v>
      </c>
      <c r="G699" s="179" t="n">
        <f aca="false">F699*18%</f>
        <v>487.44</v>
      </c>
      <c r="H699" s="179" t="n">
        <f aca="false">F699+G699</f>
        <v>3195.44</v>
      </c>
      <c r="I699" s="178" t="s">
        <v>900</v>
      </c>
    </row>
    <row r="700" customFormat="false" ht="12" hidden="false" customHeight="false" outlineLevel="0" collapsed="false">
      <c r="A700" s="180" t="n">
        <v>45931</v>
      </c>
      <c r="B700" s="181" t="n">
        <v>45945</v>
      </c>
      <c r="C700" s="178" t="s">
        <v>1299</v>
      </c>
      <c r="E700" s="178" t="s">
        <v>122</v>
      </c>
      <c r="F700" s="179" t="n">
        <v>993600</v>
      </c>
      <c r="G700" s="179" t="n">
        <f aca="false">F700*18%</f>
        <v>178848</v>
      </c>
      <c r="H700" s="179" t="n">
        <f aca="false">F700+G700</f>
        <v>1172448</v>
      </c>
      <c r="I700" s="178" t="s">
        <v>900</v>
      </c>
    </row>
    <row r="701" customFormat="false" ht="12" hidden="false" customHeight="false" outlineLevel="0" collapsed="false">
      <c r="A701" s="180" t="n">
        <v>45931</v>
      </c>
      <c r="B701" s="181" t="n">
        <v>45945</v>
      </c>
      <c r="C701" s="178" t="s">
        <v>1300</v>
      </c>
      <c r="E701" s="178" t="s">
        <v>1301</v>
      </c>
      <c r="F701" s="179" t="n">
        <v>8000</v>
      </c>
      <c r="G701" s="179" t="n">
        <f aca="false">F701*18%</f>
        <v>1440</v>
      </c>
      <c r="H701" s="179" t="n">
        <f aca="false">F701+G701</f>
        <v>9440</v>
      </c>
      <c r="I701" s="178" t="s">
        <v>900</v>
      </c>
    </row>
    <row r="702" customFormat="false" ht="12" hidden="false" customHeight="false" outlineLevel="0" collapsed="false">
      <c r="A702" s="180" t="n">
        <v>45931</v>
      </c>
      <c r="B702" s="181" t="n">
        <v>45945</v>
      </c>
      <c r="C702" s="178" t="s">
        <v>1302</v>
      </c>
      <c r="E702" s="178" t="s">
        <v>1303</v>
      </c>
      <c r="F702" s="179" t="n">
        <v>1015200</v>
      </c>
      <c r="G702" s="179" t="n">
        <f aca="false">F702*18%</f>
        <v>182736</v>
      </c>
      <c r="H702" s="179" t="n">
        <f aca="false">F702+G702</f>
        <v>1197936</v>
      </c>
      <c r="I702" s="178" t="s">
        <v>900</v>
      </c>
    </row>
    <row r="703" customFormat="false" ht="12" hidden="false" customHeight="false" outlineLevel="0" collapsed="false">
      <c r="A703" s="180" t="n">
        <v>45931</v>
      </c>
      <c r="B703" s="181" t="n">
        <v>45946</v>
      </c>
      <c r="C703" s="178" t="s">
        <v>1304</v>
      </c>
      <c r="E703" s="178" t="s">
        <v>1305</v>
      </c>
      <c r="F703" s="179" t="n">
        <v>4500</v>
      </c>
      <c r="G703" s="179" t="n">
        <f aca="false">F703*18%</f>
        <v>810</v>
      </c>
      <c r="H703" s="179" t="n">
        <f aca="false">F703+G703</f>
        <v>5310</v>
      </c>
      <c r="I703" s="178" t="s">
        <v>900</v>
      </c>
    </row>
    <row r="704" customFormat="false" ht="12" hidden="false" customHeight="false" outlineLevel="0" collapsed="false">
      <c r="A704" s="180" t="n">
        <v>45931</v>
      </c>
      <c r="B704" s="181" t="n">
        <v>45947</v>
      </c>
      <c r="C704" s="178" t="s">
        <v>1306</v>
      </c>
      <c r="E704" s="178" t="s">
        <v>514</v>
      </c>
      <c r="F704" s="179" t="n">
        <v>30000</v>
      </c>
      <c r="G704" s="179" t="n">
        <f aca="false">F704*18%</f>
        <v>5400</v>
      </c>
      <c r="H704" s="179" t="n">
        <f aca="false">F704+G704</f>
        <v>35400</v>
      </c>
      <c r="I704" s="178" t="s">
        <v>900</v>
      </c>
    </row>
    <row r="705" customFormat="false" ht="12" hidden="false" customHeight="false" outlineLevel="0" collapsed="false">
      <c r="A705" s="180" t="n">
        <v>45931</v>
      </c>
      <c r="B705" s="181" t="n">
        <v>45947</v>
      </c>
      <c r="C705" s="178" t="s">
        <v>1307</v>
      </c>
      <c r="E705" s="178" t="s">
        <v>652</v>
      </c>
      <c r="F705" s="179" t="n">
        <v>7000</v>
      </c>
      <c r="G705" s="179" t="n">
        <f aca="false">F705*18%</f>
        <v>1260</v>
      </c>
      <c r="H705" s="179" t="n">
        <f aca="false">F705+G705</f>
        <v>8260</v>
      </c>
      <c r="I705" s="178" t="s">
        <v>900</v>
      </c>
    </row>
    <row r="706" customFormat="false" ht="12" hidden="false" customHeight="false" outlineLevel="0" collapsed="false">
      <c r="A706" s="180" t="n">
        <v>45931</v>
      </c>
      <c r="B706" s="181" t="n">
        <v>45947</v>
      </c>
      <c r="C706" s="178" t="s">
        <v>1308</v>
      </c>
      <c r="E706" s="178" t="s">
        <v>836</v>
      </c>
      <c r="F706" s="179" t="n">
        <v>5084.75</v>
      </c>
      <c r="G706" s="179" t="n">
        <f aca="false">F706*18%</f>
        <v>915.255</v>
      </c>
      <c r="H706" s="179" t="n">
        <f aca="false">F706+G706</f>
        <v>6000.005</v>
      </c>
      <c r="I706" s="178" t="s">
        <v>900</v>
      </c>
    </row>
    <row r="707" customFormat="false" ht="12" hidden="false" customHeight="false" outlineLevel="0" collapsed="false">
      <c r="A707" s="180" t="n">
        <v>45931</v>
      </c>
      <c r="B707" s="181" t="n">
        <v>45947</v>
      </c>
      <c r="C707" s="178" t="s">
        <v>1309</v>
      </c>
      <c r="E707" s="178" t="s">
        <v>1310</v>
      </c>
      <c r="F707" s="179" t="n">
        <v>300000</v>
      </c>
      <c r="G707" s="179" t="n">
        <f aca="false">F707*18%</f>
        <v>54000</v>
      </c>
      <c r="H707" s="179" t="n">
        <f aca="false">F707+G707</f>
        <v>354000</v>
      </c>
      <c r="I707" s="178" t="s">
        <v>900</v>
      </c>
    </row>
    <row r="708" customFormat="false" ht="12" hidden="false" customHeight="false" outlineLevel="0" collapsed="false">
      <c r="A708" s="180" t="n">
        <v>45931</v>
      </c>
      <c r="B708" s="181" t="n">
        <v>45948</v>
      </c>
      <c r="C708" s="178" t="s">
        <v>1311</v>
      </c>
      <c r="E708" s="178" t="s">
        <v>744</v>
      </c>
      <c r="F708" s="179" t="n">
        <v>28000</v>
      </c>
      <c r="G708" s="179" t="n">
        <f aca="false">F708*18%</f>
        <v>5040</v>
      </c>
      <c r="H708" s="179" t="n">
        <f aca="false">F708+G708</f>
        <v>33040</v>
      </c>
      <c r="I708" s="178" t="s">
        <v>900</v>
      </c>
    </row>
    <row r="709" customFormat="false" ht="12" hidden="false" customHeight="false" outlineLevel="0" collapsed="false">
      <c r="A709" s="180" t="n">
        <v>45931</v>
      </c>
      <c r="B709" s="181" t="n">
        <v>45948</v>
      </c>
      <c r="C709" s="178" t="s">
        <v>1312</v>
      </c>
      <c r="E709" s="178" t="s">
        <v>846</v>
      </c>
      <c r="F709" s="179" t="n">
        <v>5084.75</v>
      </c>
      <c r="G709" s="179" t="n">
        <f aca="false">F709*18%</f>
        <v>915.255</v>
      </c>
      <c r="H709" s="179" t="n">
        <f aca="false">F709+G709</f>
        <v>6000.005</v>
      </c>
      <c r="I709" s="178" t="s">
        <v>900</v>
      </c>
    </row>
    <row r="710" customFormat="false" ht="12" hidden="false" customHeight="false" outlineLevel="0" collapsed="false">
      <c r="A710" s="180" t="n">
        <v>45931</v>
      </c>
      <c r="B710" s="181" t="n">
        <v>45948</v>
      </c>
      <c r="C710" s="178" t="s">
        <v>1313</v>
      </c>
      <c r="E710" s="178" t="s">
        <v>296</v>
      </c>
      <c r="F710" s="179" t="n">
        <v>2500</v>
      </c>
      <c r="G710" s="179" t="n">
        <f aca="false">F710*18%</f>
        <v>450</v>
      </c>
      <c r="H710" s="179" t="n">
        <f aca="false">F710+G710</f>
        <v>2950</v>
      </c>
      <c r="I710" s="178" t="s">
        <v>900</v>
      </c>
    </row>
    <row r="711" customFormat="false" ht="12" hidden="false" customHeight="false" outlineLevel="0" collapsed="false">
      <c r="A711" s="180" t="n">
        <v>45931</v>
      </c>
      <c r="B711" s="181" t="n">
        <v>45948</v>
      </c>
      <c r="C711" s="178" t="s">
        <v>1314</v>
      </c>
      <c r="E711" s="178" t="s">
        <v>1315</v>
      </c>
      <c r="F711" s="179" t="n">
        <v>5084.75</v>
      </c>
      <c r="G711" s="179" t="n">
        <f aca="false">F711*18%</f>
        <v>915.255</v>
      </c>
      <c r="H711" s="179" t="n">
        <f aca="false">F711+G711</f>
        <v>6000.005</v>
      </c>
      <c r="I711" s="178" t="s">
        <v>900</v>
      </c>
    </row>
    <row r="712" customFormat="false" ht="12" hidden="false" customHeight="false" outlineLevel="0" collapsed="false">
      <c r="A712" s="180" t="n">
        <v>45931</v>
      </c>
      <c r="B712" s="181" t="n">
        <v>45949</v>
      </c>
      <c r="C712" s="178" t="s">
        <v>1316</v>
      </c>
      <c r="E712" s="178" t="s">
        <v>563</v>
      </c>
      <c r="F712" s="179" t="n">
        <v>6000</v>
      </c>
      <c r="G712" s="179" t="n">
        <f aca="false">F712*18%</f>
        <v>1080</v>
      </c>
      <c r="H712" s="179" t="n">
        <f aca="false">F712+G712</f>
        <v>7080</v>
      </c>
      <c r="I712" s="178" t="s">
        <v>900</v>
      </c>
    </row>
    <row r="713" customFormat="false" ht="12" hidden="false" customHeight="false" outlineLevel="0" collapsed="false">
      <c r="A713" s="180" t="n">
        <v>45931</v>
      </c>
      <c r="B713" s="181" t="n">
        <v>45949</v>
      </c>
      <c r="C713" s="178" t="s">
        <v>1317</v>
      </c>
      <c r="E713" s="178" t="s">
        <v>566</v>
      </c>
      <c r="F713" s="179" t="n">
        <v>5000</v>
      </c>
      <c r="G713" s="179" t="n">
        <f aca="false">F713*18%</f>
        <v>900</v>
      </c>
      <c r="H713" s="179" t="n">
        <f aca="false">F713+G713</f>
        <v>5900</v>
      </c>
      <c r="I713" s="178" t="s">
        <v>900</v>
      </c>
    </row>
    <row r="714" customFormat="false" ht="12" hidden="false" customHeight="false" outlineLevel="0" collapsed="false">
      <c r="A714" s="180" t="n">
        <v>45931</v>
      </c>
      <c r="B714" s="181" t="n">
        <v>45950</v>
      </c>
      <c r="C714" s="178" t="s">
        <v>1318</v>
      </c>
      <c r="E714" s="178" t="s">
        <v>853</v>
      </c>
      <c r="F714" s="179" t="n">
        <v>5084.75</v>
      </c>
      <c r="G714" s="179" t="n">
        <f aca="false">F714*18%</f>
        <v>915.255</v>
      </c>
      <c r="H714" s="179" t="n">
        <f aca="false">F714+G714</f>
        <v>6000.005</v>
      </c>
      <c r="I714" s="178" t="s">
        <v>900</v>
      </c>
    </row>
    <row r="715" customFormat="false" ht="12" hidden="false" customHeight="false" outlineLevel="0" collapsed="false">
      <c r="A715" s="180" t="n">
        <v>45931</v>
      </c>
      <c r="B715" s="181" t="n">
        <v>45951</v>
      </c>
      <c r="C715" s="178" t="s">
        <v>1319</v>
      </c>
      <c r="E715" s="178" t="s">
        <v>898</v>
      </c>
      <c r="F715" s="179" t="n">
        <v>2117.8</v>
      </c>
      <c r="G715" s="179" t="n">
        <f aca="false">F715*18%</f>
        <v>381.204</v>
      </c>
      <c r="H715" s="179" t="n">
        <f aca="false">F715+G715</f>
        <v>2499.004</v>
      </c>
      <c r="I715" s="178" t="s">
        <v>898</v>
      </c>
    </row>
    <row r="716" customFormat="false" ht="12" hidden="false" customHeight="false" outlineLevel="0" collapsed="false">
      <c r="A716" s="180" t="n">
        <v>45931</v>
      </c>
      <c r="B716" s="181" t="n">
        <v>45951</v>
      </c>
      <c r="C716" s="178" t="s">
        <v>1320</v>
      </c>
      <c r="E716" s="178" t="s">
        <v>286</v>
      </c>
      <c r="F716" s="179" t="n">
        <v>29166.1</v>
      </c>
      <c r="G716" s="179" t="n">
        <f aca="false">F716*18%</f>
        <v>5249.898</v>
      </c>
      <c r="H716" s="179" t="n">
        <f aca="false">F716+G716</f>
        <v>34415.998</v>
      </c>
      <c r="I716" s="178" t="s">
        <v>900</v>
      </c>
    </row>
    <row r="717" customFormat="false" ht="12" hidden="false" customHeight="false" outlineLevel="0" collapsed="false">
      <c r="A717" s="180" t="n">
        <v>45931</v>
      </c>
      <c r="B717" s="181" t="n">
        <v>45952</v>
      </c>
      <c r="C717" s="178" t="s">
        <v>1321</v>
      </c>
      <c r="E717" s="178" t="s">
        <v>157</v>
      </c>
      <c r="F717" s="179" t="n">
        <v>15000</v>
      </c>
      <c r="G717" s="179" t="n">
        <f aca="false">F717*18%</f>
        <v>2700</v>
      </c>
      <c r="H717" s="179" t="n">
        <f aca="false">F717+G717</f>
        <v>17700</v>
      </c>
      <c r="I717" s="178" t="s">
        <v>900</v>
      </c>
    </row>
    <row r="718" customFormat="false" ht="12" hidden="false" customHeight="false" outlineLevel="0" collapsed="false">
      <c r="A718" s="180" t="n">
        <v>45931</v>
      </c>
      <c r="B718" s="181" t="n">
        <v>45953</v>
      </c>
      <c r="C718" s="178" t="s">
        <v>1322</v>
      </c>
      <c r="E718" s="178" t="s">
        <v>1323</v>
      </c>
      <c r="F718" s="179" t="n">
        <v>180000</v>
      </c>
      <c r="G718" s="179" t="n">
        <f aca="false">F718*18%</f>
        <v>32400</v>
      </c>
      <c r="H718" s="179" t="n">
        <f aca="false">F718+G718</f>
        <v>212400</v>
      </c>
      <c r="I718" s="178" t="s">
        <v>900</v>
      </c>
    </row>
    <row r="719" customFormat="false" ht="12" hidden="false" customHeight="false" outlineLevel="0" collapsed="false">
      <c r="A719" s="180" t="n">
        <v>45931</v>
      </c>
      <c r="B719" s="181" t="n">
        <v>45953</v>
      </c>
      <c r="C719" s="178" t="s">
        <v>1324</v>
      </c>
      <c r="E719" s="178" t="s">
        <v>1325</v>
      </c>
      <c r="F719" s="179" t="n">
        <v>8000</v>
      </c>
      <c r="G719" s="179" t="n">
        <f aca="false">F719*18%</f>
        <v>1440</v>
      </c>
      <c r="H719" s="179" t="n">
        <f aca="false">F719+G719</f>
        <v>9440</v>
      </c>
      <c r="I719" s="178" t="s">
        <v>900</v>
      </c>
    </row>
    <row r="720" customFormat="false" ht="12" hidden="false" customHeight="false" outlineLevel="0" collapsed="false">
      <c r="A720" s="180" t="n">
        <v>45931</v>
      </c>
      <c r="B720" s="181" t="n">
        <v>45954</v>
      </c>
      <c r="C720" s="178" t="s">
        <v>1326</v>
      </c>
      <c r="E720" s="178" t="s">
        <v>808</v>
      </c>
      <c r="F720" s="179" t="n">
        <v>120000</v>
      </c>
      <c r="G720" s="179" t="n">
        <f aca="false">F720*18%</f>
        <v>21600</v>
      </c>
      <c r="H720" s="179" t="n">
        <f aca="false">F720+G720</f>
        <v>141600</v>
      </c>
      <c r="I720" s="178" t="s">
        <v>900</v>
      </c>
    </row>
    <row r="721" customFormat="false" ht="12" hidden="false" customHeight="false" outlineLevel="0" collapsed="false">
      <c r="A721" s="180" t="n">
        <v>45931</v>
      </c>
      <c r="B721" s="181" t="n">
        <v>45954</v>
      </c>
      <c r="C721" s="178" t="s">
        <v>1327</v>
      </c>
      <c r="E721" s="178" t="s">
        <v>869</v>
      </c>
      <c r="F721" s="179" t="n">
        <v>10970.69</v>
      </c>
      <c r="G721" s="179" t="n">
        <f aca="false">F721*18%</f>
        <v>1974.7242</v>
      </c>
      <c r="H721" s="179" t="n">
        <f aca="false">F721+G721</f>
        <v>12945.4142</v>
      </c>
      <c r="I721" s="178" t="s">
        <v>900</v>
      </c>
    </row>
    <row r="722" customFormat="false" ht="12" hidden="false" customHeight="false" outlineLevel="0" collapsed="false">
      <c r="A722" s="180" t="n">
        <v>45931</v>
      </c>
      <c r="B722" s="181" t="n">
        <v>45954</v>
      </c>
      <c r="C722" s="178" t="s">
        <v>1328</v>
      </c>
      <c r="E722" s="178" t="s">
        <v>1329</v>
      </c>
      <c r="F722" s="179" t="n">
        <v>60169.49</v>
      </c>
      <c r="G722" s="179" t="n">
        <f aca="false">F722*18%</f>
        <v>10830.5082</v>
      </c>
      <c r="H722" s="179" t="n">
        <f aca="false">F722+G722</f>
        <v>70999.9982</v>
      </c>
      <c r="I722" s="178" t="s">
        <v>900</v>
      </c>
    </row>
    <row r="723" customFormat="false" ht="12" hidden="false" customHeight="false" outlineLevel="0" collapsed="false">
      <c r="A723" s="180" t="n">
        <v>45931</v>
      </c>
      <c r="B723" s="181" t="n">
        <v>45955</v>
      </c>
      <c r="C723" s="178" t="s">
        <v>1330</v>
      </c>
      <c r="E723" s="178" t="s">
        <v>865</v>
      </c>
      <c r="F723" s="179" t="n">
        <v>6779.66</v>
      </c>
      <c r="G723" s="179" t="n">
        <f aca="false">F723*18%</f>
        <v>1220.3388</v>
      </c>
      <c r="H723" s="179" t="n">
        <f aca="false">F723+G723</f>
        <v>7999.9988</v>
      </c>
      <c r="I723" s="178" t="s">
        <v>900</v>
      </c>
    </row>
    <row r="724" customFormat="false" ht="12" hidden="false" customHeight="false" outlineLevel="0" collapsed="false">
      <c r="A724" s="180" t="n">
        <v>45931</v>
      </c>
      <c r="B724" s="181" t="n">
        <v>45956</v>
      </c>
      <c r="C724" s="178" t="s">
        <v>1331</v>
      </c>
      <c r="E724" s="178" t="s">
        <v>238</v>
      </c>
      <c r="F724" s="179" t="n">
        <v>12000</v>
      </c>
      <c r="G724" s="179" t="n">
        <f aca="false">F724*18%</f>
        <v>2160</v>
      </c>
      <c r="H724" s="179" t="n">
        <f aca="false">F724+G724</f>
        <v>14160</v>
      </c>
      <c r="I724" s="178" t="s">
        <v>900</v>
      </c>
    </row>
    <row r="725" customFormat="false" ht="12" hidden="false" customHeight="false" outlineLevel="0" collapsed="false">
      <c r="A725" s="180" t="n">
        <v>45931</v>
      </c>
      <c r="B725" s="181" t="n">
        <v>45957</v>
      </c>
      <c r="C725" s="178" t="s">
        <v>1332</v>
      </c>
      <c r="E725" s="178" t="s">
        <v>1333</v>
      </c>
      <c r="F725" s="179" t="n">
        <v>29661.02</v>
      </c>
      <c r="G725" s="179" t="n">
        <f aca="false">F725*18%</f>
        <v>5338.9836</v>
      </c>
      <c r="H725" s="179" t="n">
        <f aca="false">F725+G725</f>
        <v>35000.0036</v>
      </c>
      <c r="I725" s="178" t="s">
        <v>900</v>
      </c>
    </row>
    <row r="726" customFormat="false" ht="12" hidden="false" customHeight="false" outlineLevel="0" collapsed="false">
      <c r="A726" s="180" t="n">
        <v>45931</v>
      </c>
      <c r="B726" s="181" t="n">
        <v>45957</v>
      </c>
      <c r="C726" s="178" t="s">
        <v>1334</v>
      </c>
      <c r="E726" s="178" t="s">
        <v>882</v>
      </c>
      <c r="F726" s="179" t="n">
        <v>10000</v>
      </c>
      <c r="G726" s="179" t="n">
        <f aca="false">F726*18%</f>
        <v>1800</v>
      </c>
      <c r="H726" s="179" t="n">
        <f aca="false">F726+G726</f>
        <v>11800</v>
      </c>
      <c r="I726" s="178" t="s">
        <v>900</v>
      </c>
    </row>
    <row r="727" customFormat="false" ht="12" hidden="false" customHeight="false" outlineLevel="0" collapsed="false">
      <c r="A727" s="180" t="n">
        <v>45931</v>
      </c>
      <c r="B727" s="181" t="n">
        <v>45957</v>
      </c>
      <c r="C727" s="178" t="s">
        <v>1335</v>
      </c>
      <c r="E727" s="178" t="s">
        <v>632</v>
      </c>
      <c r="F727" s="179" t="n">
        <v>13200</v>
      </c>
      <c r="G727" s="179" t="n">
        <f aca="false">F727*18%</f>
        <v>2376</v>
      </c>
      <c r="H727" s="179" t="n">
        <f aca="false">F727+G727</f>
        <v>15576</v>
      </c>
      <c r="I727" s="178" t="s">
        <v>900</v>
      </c>
    </row>
    <row r="728" customFormat="false" ht="12" hidden="false" customHeight="false" outlineLevel="0" collapsed="false">
      <c r="A728" s="180" t="n">
        <v>45931</v>
      </c>
      <c r="B728" s="181" t="n">
        <v>45958</v>
      </c>
      <c r="C728" s="178" t="s">
        <v>1336</v>
      </c>
      <c r="E728" s="178" t="s">
        <v>1337</v>
      </c>
      <c r="F728" s="179" t="n">
        <v>63000</v>
      </c>
      <c r="G728" s="179" t="n">
        <f aca="false">F728*18%</f>
        <v>11340</v>
      </c>
      <c r="H728" s="179" t="n">
        <f aca="false">F728+G728</f>
        <v>74340</v>
      </c>
      <c r="I728" s="178" t="s">
        <v>900</v>
      </c>
    </row>
    <row r="729" customFormat="false" ht="12" hidden="false" customHeight="false" outlineLevel="0" collapsed="false">
      <c r="A729" s="180" t="n">
        <v>45931</v>
      </c>
      <c r="B729" s="181" t="n">
        <v>45958</v>
      </c>
      <c r="C729" s="178" t="s">
        <v>1338</v>
      </c>
      <c r="E729" s="178" t="s">
        <v>1339</v>
      </c>
      <c r="F729" s="179" t="n">
        <v>35313.85</v>
      </c>
      <c r="G729" s="179" t="n">
        <f aca="false">F729*18%</f>
        <v>6356.493</v>
      </c>
      <c r="H729" s="179" t="n">
        <f aca="false">F729+G729</f>
        <v>41670.343</v>
      </c>
      <c r="I729" s="178" t="s">
        <v>900</v>
      </c>
    </row>
    <row r="730" customFormat="false" ht="12" hidden="false" customHeight="false" outlineLevel="0" collapsed="false">
      <c r="A730" s="180" t="n">
        <v>45931</v>
      </c>
      <c r="B730" s="181" t="n">
        <v>45959</v>
      </c>
      <c r="C730" s="178" t="s">
        <v>1340</v>
      </c>
      <c r="E730" s="178" t="s">
        <v>252</v>
      </c>
      <c r="F730" s="179" t="n">
        <v>33898.4</v>
      </c>
      <c r="G730" s="179" t="n">
        <f aca="false">F730*18%</f>
        <v>6101.712</v>
      </c>
      <c r="H730" s="179" t="n">
        <f aca="false">F730+G730</f>
        <v>40000.112</v>
      </c>
      <c r="I730" s="178" t="s">
        <v>900</v>
      </c>
    </row>
    <row r="731" customFormat="false" ht="12" hidden="false" customHeight="false" outlineLevel="0" collapsed="false">
      <c r="A731" s="180" t="n">
        <v>45931</v>
      </c>
      <c r="B731" s="181" t="n">
        <v>45959</v>
      </c>
      <c r="C731" s="178" t="s">
        <v>1341</v>
      </c>
      <c r="E731" s="178" t="s">
        <v>898</v>
      </c>
      <c r="F731" s="179" t="n">
        <v>7199.16</v>
      </c>
      <c r="G731" s="179" t="n">
        <f aca="false">F731*18%</f>
        <v>1295.8488</v>
      </c>
      <c r="H731" s="179" t="n">
        <f aca="false">F731+G731</f>
        <v>8495.0088</v>
      </c>
      <c r="I731" s="178" t="s">
        <v>898</v>
      </c>
    </row>
    <row r="732" customFormat="false" ht="12" hidden="false" customHeight="false" outlineLevel="0" collapsed="false">
      <c r="A732" s="180" t="n">
        <v>45931</v>
      </c>
      <c r="B732" s="181" t="n">
        <v>45959</v>
      </c>
      <c r="C732" s="178" t="s">
        <v>1342</v>
      </c>
      <c r="E732" s="178" t="s">
        <v>1343</v>
      </c>
      <c r="F732" s="179" t="n">
        <v>6000</v>
      </c>
      <c r="G732" s="179" t="n">
        <f aca="false">F732*18%</f>
        <v>1080</v>
      </c>
      <c r="H732" s="179" t="n">
        <f aca="false">F732+G732</f>
        <v>7080</v>
      </c>
      <c r="I732" s="178" t="s">
        <v>900</v>
      </c>
    </row>
    <row r="733" customFormat="false" ht="12" hidden="false" customHeight="false" outlineLevel="0" collapsed="false">
      <c r="A733" s="180" t="n">
        <v>45931</v>
      </c>
      <c r="B733" s="181" t="n">
        <v>45960</v>
      </c>
      <c r="C733" s="178" t="s">
        <v>1344</v>
      </c>
      <c r="E733" s="178" t="s">
        <v>1345</v>
      </c>
      <c r="F733" s="179" t="n">
        <v>7000</v>
      </c>
      <c r="G733" s="179" t="n">
        <f aca="false">F733*18%</f>
        <v>1260</v>
      </c>
      <c r="H733" s="179" t="n">
        <f aca="false">F733+G733</f>
        <v>8260</v>
      </c>
      <c r="I733" s="178" t="s">
        <v>900</v>
      </c>
    </row>
    <row r="734" customFormat="false" ht="12" hidden="false" customHeight="false" outlineLevel="0" collapsed="false">
      <c r="A734" s="180" t="n">
        <v>45931</v>
      </c>
      <c r="B734" s="181" t="n">
        <v>45960</v>
      </c>
      <c r="C734" s="178" t="s">
        <v>1346</v>
      </c>
      <c r="E734" s="178" t="s">
        <v>867</v>
      </c>
      <c r="F734" s="179" t="n">
        <v>35000</v>
      </c>
      <c r="G734" s="179" t="n">
        <f aca="false">F734*18%</f>
        <v>6300</v>
      </c>
      <c r="H734" s="179" t="n">
        <f aca="false">F734+G734</f>
        <v>41300</v>
      </c>
      <c r="I734" s="178" t="s">
        <v>900</v>
      </c>
    </row>
    <row r="735" customFormat="false" ht="12" hidden="false" customHeight="false" outlineLevel="0" collapsed="false">
      <c r="A735" s="180" t="n">
        <v>45931</v>
      </c>
      <c r="B735" s="181" t="n">
        <v>45960</v>
      </c>
      <c r="C735" s="178" t="s">
        <v>1347</v>
      </c>
      <c r="E735" s="178" t="s">
        <v>799</v>
      </c>
      <c r="F735" s="179" t="n">
        <v>200</v>
      </c>
      <c r="G735" s="179" t="n">
        <f aca="false">F735*18%</f>
        <v>36</v>
      </c>
      <c r="H735" s="179" t="n">
        <f aca="false">F735+G735</f>
        <v>236</v>
      </c>
      <c r="I735" s="178" t="s">
        <v>900</v>
      </c>
    </row>
    <row r="736" customFormat="false" ht="12" hidden="false" customHeight="false" outlineLevel="0" collapsed="false">
      <c r="A736" s="180" t="n">
        <v>45931</v>
      </c>
      <c r="B736" s="181" t="n">
        <v>45960</v>
      </c>
      <c r="C736" s="178" t="s">
        <v>1348</v>
      </c>
      <c r="E736" s="178" t="s">
        <v>1349</v>
      </c>
      <c r="F736" s="179" t="n">
        <v>70000</v>
      </c>
      <c r="G736" s="179" t="n">
        <f aca="false">F736*18%</f>
        <v>12600</v>
      </c>
      <c r="H736" s="179" t="n">
        <f aca="false">F736+G736</f>
        <v>82600</v>
      </c>
      <c r="I736" s="178" t="s">
        <v>900</v>
      </c>
    </row>
    <row r="737" customFormat="false" ht="12" hidden="false" customHeight="false" outlineLevel="0" collapsed="false">
      <c r="A737" s="180" t="n">
        <v>45931</v>
      </c>
      <c r="B737" s="181" t="n">
        <v>45960</v>
      </c>
      <c r="C737" s="178" t="s">
        <v>1350</v>
      </c>
      <c r="E737" s="178" t="s">
        <v>1351</v>
      </c>
      <c r="F737" s="179" t="n">
        <v>21186.44</v>
      </c>
      <c r="G737" s="179" t="n">
        <f aca="false">F737*18%</f>
        <v>3813.5592</v>
      </c>
      <c r="H737" s="179" t="n">
        <f aca="false">F737+G737</f>
        <v>24999.9992</v>
      </c>
      <c r="I737" s="178" t="s">
        <v>900</v>
      </c>
    </row>
    <row r="738" customFormat="false" ht="12" hidden="false" customHeight="false" outlineLevel="0" collapsed="false">
      <c r="A738" s="180" t="n">
        <v>45931</v>
      </c>
      <c r="B738" s="181" t="n">
        <v>45961</v>
      </c>
      <c r="C738" s="178" t="s">
        <v>1352</v>
      </c>
      <c r="E738" s="178" t="s">
        <v>1353</v>
      </c>
      <c r="F738" s="179" t="n">
        <v>100002</v>
      </c>
      <c r="G738" s="179" t="n">
        <f aca="false">F738*18%</f>
        <v>18000.36</v>
      </c>
      <c r="H738" s="179" t="n">
        <f aca="false">F738+G738</f>
        <v>118002.36</v>
      </c>
      <c r="I738" s="178" t="s">
        <v>900</v>
      </c>
    </row>
    <row r="739" customFormat="false" ht="12" hidden="false" customHeight="false" outlineLevel="0" collapsed="false">
      <c r="A739" s="180" t="n">
        <v>45931</v>
      </c>
      <c r="B739" s="181" t="n">
        <v>45961</v>
      </c>
      <c r="C739" s="178" t="s">
        <v>1354</v>
      </c>
      <c r="E739" s="178" t="s">
        <v>1355</v>
      </c>
      <c r="F739" s="179" t="n">
        <v>8000</v>
      </c>
      <c r="G739" s="179" t="n">
        <f aca="false">F739*18%</f>
        <v>1440</v>
      </c>
      <c r="H739" s="179" t="n">
        <f aca="false">F739+G739</f>
        <v>9440</v>
      </c>
      <c r="I739" s="178" t="s">
        <v>900</v>
      </c>
    </row>
    <row r="740" customFormat="false" ht="12" hidden="false" customHeight="false" outlineLevel="0" collapsed="false">
      <c r="A740" s="180" t="n">
        <v>45931</v>
      </c>
      <c r="B740" s="181" t="n">
        <v>45961</v>
      </c>
      <c r="C740" s="178" t="s">
        <v>1356</v>
      </c>
      <c r="E740" s="178" t="s">
        <v>1357</v>
      </c>
      <c r="F740" s="179" t="n">
        <v>18000</v>
      </c>
      <c r="G740" s="179" t="n">
        <f aca="false">F740*18%</f>
        <v>3240</v>
      </c>
      <c r="H740" s="179" t="n">
        <f aca="false">F740+G740</f>
        <v>21240</v>
      </c>
      <c r="I740" s="178" t="s">
        <v>900</v>
      </c>
    </row>
    <row r="741" customFormat="false" ht="12" hidden="false" customHeight="false" outlineLevel="0" collapsed="false">
      <c r="A741" s="180" t="n">
        <v>45931</v>
      </c>
      <c r="B741" s="181" t="n">
        <v>45961</v>
      </c>
      <c r="C741" s="178" t="s">
        <v>1358</v>
      </c>
      <c r="E741" s="178" t="s">
        <v>1359</v>
      </c>
      <c r="F741" s="179" t="n">
        <v>4237.29</v>
      </c>
      <c r="G741" s="179" t="n">
        <f aca="false">F741*18%</f>
        <v>762.7122</v>
      </c>
      <c r="H741" s="179" t="n">
        <f aca="false">F741+G741</f>
        <v>5000.0022</v>
      </c>
      <c r="I741" s="178" t="s">
        <v>900</v>
      </c>
    </row>
    <row r="742" customFormat="false" ht="12" hidden="false" customHeight="false" outlineLevel="0" collapsed="false">
      <c r="A742" s="180" t="n">
        <v>45931</v>
      </c>
      <c r="B742" s="181" t="n">
        <v>45961</v>
      </c>
      <c r="C742" s="178" t="s">
        <v>1360</v>
      </c>
      <c r="E742" s="178" t="s">
        <v>1361</v>
      </c>
      <c r="F742" s="179" t="n">
        <v>6779.66</v>
      </c>
      <c r="G742" s="179" t="n">
        <f aca="false">F742*18%</f>
        <v>1220.3388</v>
      </c>
      <c r="H742" s="179" t="n">
        <f aca="false">F742+G742</f>
        <v>7999.9988</v>
      </c>
      <c r="I742" s="178" t="s">
        <v>900</v>
      </c>
    </row>
    <row r="743" customFormat="false" ht="12" hidden="false" customHeight="false" outlineLevel="0" collapsed="false">
      <c r="A743" s="180" t="n">
        <v>45931</v>
      </c>
      <c r="B743" s="181" t="n">
        <v>45961</v>
      </c>
      <c r="C743" s="178" t="s">
        <v>1362</v>
      </c>
      <c r="E743" s="178" t="s">
        <v>1363</v>
      </c>
      <c r="F743" s="179" t="n">
        <v>37500</v>
      </c>
      <c r="G743" s="179" t="n">
        <f aca="false">F743*18%</f>
        <v>6750</v>
      </c>
      <c r="H743" s="179" t="n">
        <f aca="false">F743+G743</f>
        <v>44250</v>
      </c>
      <c r="I743" s="178" t="s">
        <v>900</v>
      </c>
    </row>
    <row r="744" customFormat="false" ht="12" hidden="false" customHeight="false" outlineLevel="0" collapsed="false">
      <c r="A744" s="180" t="n">
        <v>45931</v>
      </c>
      <c r="B744" s="181" t="n">
        <v>45957</v>
      </c>
      <c r="C744" s="178" t="s">
        <v>1364</v>
      </c>
      <c r="E744" s="178" t="s">
        <v>882</v>
      </c>
      <c r="F744" s="179" t="n">
        <v>-84000</v>
      </c>
      <c r="G744" s="179" t="n">
        <f aca="false">F744*18%</f>
        <v>-15120</v>
      </c>
      <c r="H744" s="179" t="n">
        <f aca="false">F744+G744</f>
        <v>-99120</v>
      </c>
      <c r="I744" s="178" t="s">
        <v>900</v>
      </c>
    </row>
    <row r="745" customFormat="false" ht="12" hidden="false" customHeight="false" outlineLevel="0" collapsed="false">
      <c r="A745" s="180" t="n">
        <v>45931</v>
      </c>
      <c r="B745" s="181" t="n">
        <v>45961</v>
      </c>
      <c r="C745" s="178" t="s">
        <v>1365</v>
      </c>
      <c r="E745" s="178" t="s">
        <v>331</v>
      </c>
      <c r="F745" s="179" t="n">
        <v>-92540</v>
      </c>
      <c r="G745" s="179" t="n">
        <f aca="false">F745*18%</f>
        <v>-16657.2</v>
      </c>
      <c r="H745" s="179" t="n">
        <f aca="false">F745+G745</f>
        <v>-109197.2</v>
      </c>
      <c r="I745" s="178" t="s">
        <v>900</v>
      </c>
    </row>
  </sheetData>
  <autoFilter ref="A3:I745"/>
  <conditionalFormatting sqref="E557:E558">
    <cfRule type="duplicateValues" priority="2" aboveAverage="0" equalAverage="0" bottom="0" percent="0" rank="0" text="" dxfId="35"/>
  </conditionalFormatting>
  <conditionalFormatting sqref="E557:E559">
    <cfRule type="duplicateValues" priority="3" aboveAverage="0" equalAverage="0" bottom="0" percent="0" rank="0" text="" dxfId="36"/>
  </conditionalFormatting>
  <conditionalFormatting sqref="E559 E557">
    <cfRule type="duplicateValues" priority="4" aboveAverage="0" equalAverage="0" bottom="0" percent="0" rank="0" text="" dxfId="37"/>
    <cfRule type="duplicateValues" priority="5" aboveAverage="0" equalAverage="0" bottom="0" percent="0" rank="0" text="" dxfId="38"/>
    <cfRule type="duplicateValues" priority="6" aboveAverage="0" equalAverage="0" bottom="0" percent="0" rank="0" text="" dxfId="39"/>
  </conditionalFormatting>
  <conditionalFormatting sqref="E1:E308 E376:E556 E561:E1048576">
    <cfRule type="duplicateValues" priority="7" aboveAverage="0" equalAverage="0" bottom="0" percent="0" rank="0" text="" dxfId="40"/>
  </conditionalFormatting>
  <conditionalFormatting sqref="E56:E83">
    <cfRule type="duplicateValues" priority="8" aboveAverage="0" equalAverage="0" bottom="0" percent="0" rank="0" text="" dxfId="4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89"/>
  <sheetViews>
    <sheetView showFormulas="false" showGridLines="true" showRowColHeaders="true" showZeros="true" rightToLeft="false" tabSelected="false" showOutlineSymbols="true" defaultGridColor="true" view="normal" topLeftCell="U268" colorId="64" zoomScale="100" zoomScaleNormal="100" zoomScalePageLayoutView="100" workbookViewId="0">
      <selection pane="topLeft" activeCell="AD2" activeCellId="1" sqref="AC4:AE412 AD2"/>
    </sheetView>
  </sheetViews>
  <sheetFormatPr defaultColWidth="8.73046875" defaultRowHeight="13.5" zeroHeight="false" outlineLevelRow="0" outlineLevelCol="0"/>
  <cols>
    <col collapsed="false" customWidth="true" hidden="false" outlineLevel="0" max="2" min="1" style="201" width="30"/>
    <col collapsed="false" customWidth="true" hidden="false" outlineLevel="0" max="3" min="3" style="201" width="4.54"/>
    <col collapsed="false" customWidth="true" hidden="false" outlineLevel="0" max="5" min="4" style="201" width="30"/>
    <col collapsed="false" customWidth="true" hidden="false" outlineLevel="0" max="6" min="6" style="201" width="2.91"/>
    <col collapsed="false" customWidth="true" hidden="false" outlineLevel="0" max="8" min="7" style="201" width="30"/>
    <col collapsed="false" customWidth="true" hidden="false" outlineLevel="0" max="9" min="9" style="201" width="7"/>
    <col collapsed="false" customWidth="true" hidden="false" outlineLevel="0" max="11" min="10" style="201" width="30"/>
    <col collapsed="false" customWidth="true" hidden="false" outlineLevel="0" max="12" min="12" style="201" width="9.09"/>
    <col collapsed="false" customWidth="true" hidden="false" outlineLevel="0" max="14" min="13" style="201" width="30"/>
    <col collapsed="false" customWidth="true" hidden="false" outlineLevel="0" max="15" min="15" style="201" width="8.09"/>
    <col collapsed="false" customWidth="true" hidden="false" outlineLevel="0" max="17" min="16" style="201" width="30"/>
    <col collapsed="false" customWidth="true" hidden="false" outlineLevel="0" max="18" min="18" style="201" width="6.27"/>
    <col collapsed="false" customWidth="true" hidden="false" outlineLevel="0" max="20" min="19" style="201" width="30"/>
    <col collapsed="false" customWidth="false" hidden="false" outlineLevel="0" max="16384" min="21" style="201" width="8.73"/>
  </cols>
  <sheetData>
    <row r="1" customFormat="false" ht="16.4" hidden="false" customHeight="false" outlineLevel="0" collapsed="false">
      <c r="A1" s="202" t="n">
        <v>45627</v>
      </c>
      <c r="D1" s="202" t="n">
        <v>45658</v>
      </c>
      <c r="G1" s="201" t="s">
        <v>1366</v>
      </c>
      <c r="J1" s="201" t="s">
        <v>1367</v>
      </c>
      <c r="M1" s="202" t="n">
        <v>45748</v>
      </c>
      <c r="P1" s="201" t="s">
        <v>1368</v>
      </c>
      <c r="S1" s="201" t="s">
        <v>1369</v>
      </c>
      <c r="U1" s="201" t="s">
        <v>668</v>
      </c>
      <c r="X1" s="202" t="n">
        <v>45870</v>
      </c>
      <c r="AA1" s="201" t="s">
        <v>1370</v>
      </c>
      <c r="AD1" s="201" t="s">
        <v>1371</v>
      </c>
    </row>
    <row r="2" customFormat="false" ht="35.05" hidden="false" customHeight="false" outlineLevel="0" collapsed="false">
      <c r="A2" s="203" t="s">
        <v>445</v>
      </c>
      <c r="B2" s="204" t="str">
        <f aca="false">VLOOKUP(A2,D:D,1,0)</f>
        <v>
The Guild | Advocates &amp; Associate Counsel</v>
      </c>
      <c r="D2" s="205" t="s">
        <v>436</v>
      </c>
      <c r="E2" s="201" t="str">
        <f aca="false">VLOOKUP(D2,G:G,1,0)</f>
        <v>Shyam Kapadia</v>
      </c>
      <c r="G2" s="206" t="s">
        <v>445</v>
      </c>
      <c r="H2" s="204" t="str">
        <f aca="false">VLOOKUP(G2,J:J,1,0)</f>
        <v>
The Guild | Advocates &amp; Associate Counsel</v>
      </c>
      <c r="J2" s="206" t="s">
        <v>445</v>
      </c>
      <c r="K2" s="204" t="str">
        <f aca="false">VLOOKUP(J2,M:M,1,0)</f>
        <v>
The Guild | Advocates &amp; Associate Counsel</v>
      </c>
      <c r="M2" s="206" t="s">
        <v>116</v>
      </c>
      <c r="N2" s="201" t="str">
        <f aca="false">VLOOKUP(M2,P:P,1,0)</f>
        <v>Touchstone Partners</v>
      </c>
      <c r="P2" s="206" t="s">
        <v>116</v>
      </c>
      <c r="Q2" s="201" t="str">
        <f aca="false">VLOOKUP(P2,S:S,1,0)</f>
        <v>Touchstone Partners</v>
      </c>
      <c r="S2" s="206" t="s">
        <v>116</v>
      </c>
      <c r="T2" s="201" t="e">
        <f aca="false">VLOOKUP(S2,U:U,1,0)</f>
        <v>#N/A</v>
      </c>
      <c r="U2" s="128" t="s">
        <v>122</v>
      </c>
      <c r="V2" s="201" t="str">
        <f aca="false">VLOOKUP(U2,X:X,1,0)</f>
        <v>Veritas Legal Advocates and Solicitors</v>
      </c>
      <c r="X2" s="159" t="s">
        <v>445</v>
      </c>
      <c r="Y2" s="204" t="str">
        <f aca="false">VLOOKUP(X2,AA:AA,1,0)</f>
        <v>
The Guild | Advocates &amp; Associate Counsel</v>
      </c>
      <c r="AA2" s="128" t="s">
        <v>122</v>
      </c>
      <c r="AB2" s="201" t="str">
        <f aca="false">VLOOKUP(AA2,AD:AD,1,0)</f>
        <v>Veritas Legal Advocates and Solicitors</v>
      </c>
      <c r="AD2" s="201" t="s">
        <v>122</v>
      </c>
      <c r="AE2" s="201" t="str">
        <f aca="false">VLOOKUP(AD2,AA:AA,1,0)</f>
        <v>Veritas Legal Advocates and Solicitors</v>
      </c>
    </row>
    <row r="3" customFormat="false" ht="23.85" hidden="false" customHeight="false" outlineLevel="0" collapsed="false">
      <c r="A3" s="201" t="s">
        <v>284</v>
      </c>
      <c r="B3" s="201" t="str">
        <f aca="false">VLOOKUP(A3,D:D,1,0)</f>
        <v>SRCO Legal / Salvador Raghav &amp; Co.</v>
      </c>
      <c r="D3" s="205" t="s">
        <v>434</v>
      </c>
      <c r="E3" s="201" t="str">
        <f aca="false">VLOOKUP(D3,G:G,1,0)</f>
        <v>Naushad Engineer</v>
      </c>
      <c r="G3" s="205" t="s">
        <v>427</v>
      </c>
      <c r="H3" s="201" t="str">
        <f aca="false">VLOOKUP(G3,J:J,1,0)</f>
        <v>Abel Tom Benny // Thomas and Thomas Advocates</v>
      </c>
      <c r="J3" s="205" t="s">
        <v>427</v>
      </c>
      <c r="K3" s="201" t="str">
        <f aca="false">VLOOKUP(J3,M:M,1,0)</f>
        <v>Abel Tom Benny // Thomas and Thomas Advocates</v>
      </c>
      <c r="M3" s="207" t="s">
        <v>120</v>
      </c>
      <c r="N3" s="201" t="str">
        <f aca="false">VLOOKUP(M3,P:P,1,0)</f>
        <v>Bimal Rajasekhar</v>
      </c>
      <c r="P3" s="205" t="s">
        <v>120</v>
      </c>
      <c r="Q3" s="201" t="e">
        <f aca="false">VLOOKUP(P3,S:S,1,0)</f>
        <v>#N/A</v>
      </c>
      <c r="S3" s="205" t="s">
        <v>122</v>
      </c>
      <c r="T3" s="201" t="str">
        <f aca="false">VLOOKUP(S3,U:U,1,0)</f>
        <v>Veritas Legal Advocates and Solicitors</v>
      </c>
      <c r="U3" s="128" t="s">
        <v>127</v>
      </c>
      <c r="V3" s="201" t="str">
        <f aca="false">VLOOKUP(U3,X:X,1,0)</f>
        <v>VACUITAS COUNSELLOR LLP</v>
      </c>
      <c r="X3" s="159" t="s">
        <v>596</v>
      </c>
      <c r="Y3" s="201" t="str">
        <f aca="false">VLOOKUP(X3,AA:AA,1,0)</f>
        <v>Aanchal Basur</v>
      </c>
      <c r="AA3" s="128" t="s">
        <v>127</v>
      </c>
      <c r="AB3" s="201" t="str">
        <f aca="false">VLOOKUP(AA3,AD:AD,1,0)</f>
        <v>VACUITAS COUNSELLOR LLP</v>
      </c>
      <c r="AD3" s="201" t="s">
        <v>127</v>
      </c>
      <c r="AE3" s="201" t="str">
        <f aca="false">VLOOKUP(AD3,AA:AA,1,0)</f>
        <v>VACUITAS COUNSELLOR LLP</v>
      </c>
    </row>
    <row r="4" customFormat="false" ht="13.8" hidden="false" customHeight="false" outlineLevel="0" collapsed="false">
      <c r="A4" s="201" t="s">
        <v>462</v>
      </c>
      <c r="B4" s="201" t="str">
        <f aca="false">VLOOKUP(A4,D:D,1,0)</f>
        <v>Office of ASG (N. Venkatraman)</v>
      </c>
      <c r="D4" s="207" t="s">
        <v>284</v>
      </c>
      <c r="E4" s="201" t="str">
        <f aca="false">VLOOKUP(D4,G:G,1,0)</f>
        <v>SRCO Legal / Salvador Raghav &amp; Co.</v>
      </c>
      <c r="G4" s="205" t="s">
        <v>448</v>
      </c>
      <c r="H4" s="201" t="str">
        <f aca="false">VLOOKUP(G4,J:J,1,0)</f>
        <v>Abhimanyu Garg / Methodica Legal </v>
      </c>
      <c r="J4" s="205" t="s">
        <v>448</v>
      </c>
      <c r="K4" s="201" t="str">
        <f aca="false">VLOOKUP(J4,M:M,1,0)</f>
        <v>Abhimanyu Garg / Methodica Legal </v>
      </c>
      <c r="M4" s="205" t="s">
        <v>122</v>
      </c>
      <c r="N4" s="201" t="str">
        <f aca="false">VLOOKUP(M4,P:P,1,0)</f>
        <v>Veritas Legal Advocates and Solicitors</v>
      </c>
      <c r="P4" s="205" t="s">
        <v>122</v>
      </c>
      <c r="Q4" s="201" t="str">
        <f aca="false">VLOOKUP(P4,S:S,1,0)</f>
        <v>Veritas Legal Advocates and Solicitors</v>
      </c>
      <c r="S4" s="205" t="s">
        <v>127</v>
      </c>
      <c r="T4" s="201" t="str">
        <f aca="false">VLOOKUP(S4,U:U,1,0)</f>
        <v>VACUITAS COUNSELLOR LLP</v>
      </c>
      <c r="U4" s="208" t="s">
        <v>138</v>
      </c>
      <c r="V4" s="201" t="str">
        <f aca="false">VLOOKUP(U4,X:X,1,0)</f>
        <v>Dileep Poolakkot</v>
      </c>
      <c r="X4" s="145" t="s">
        <v>427</v>
      </c>
      <c r="Y4" s="201" t="str">
        <f aca="false">VLOOKUP(X4,AA:AA,1,0)</f>
        <v>Abel Tom Benny // Thomas and Thomas Advocates</v>
      </c>
      <c r="AA4" s="128" t="s">
        <v>138</v>
      </c>
      <c r="AB4" s="201" t="str">
        <f aca="false">VLOOKUP(AA4,AD:AD,1,0)</f>
        <v>Dileep Poolakkot</v>
      </c>
      <c r="AD4" s="201" t="s">
        <v>138</v>
      </c>
      <c r="AE4" s="201" t="str">
        <f aca="false">VLOOKUP(AD4,AA:AA,1,0)</f>
        <v>Dileep Poolakkot</v>
      </c>
    </row>
    <row r="5" customFormat="false" ht="13.8" hidden="false" customHeight="false" outlineLevel="0" collapsed="false">
      <c r="A5" s="201" t="s">
        <v>439</v>
      </c>
      <c r="B5" s="201" t="str">
        <f aca="false">VLOOKUP(A5,D:D,1,0)</f>
        <v>Aditya Sikka / Tvashta Law</v>
      </c>
      <c r="D5" s="207" t="s">
        <v>241</v>
      </c>
      <c r="E5" s="201" t="str">
        <f aca="false">VLOOKUP(D5,G:G,1,0)</f>
        <v>Saswat Mohanty</v>
      </c>
      <c r="G5" s="207" t="s">
        <v>439</v>
      </c>
      <c r="H5" s="201" t="str">
        <f aca="false">J53</f>
        <v>Tvashta Law</v>
      </c>
      <c r="J5" s="207" t="s">
        <v>145</v>
      </c>
      <c r="K5" s="201" t="str">
        <f aca="false">VLOOKUP(J5,M:M,1,0)</f>
        <v>Agama Law Associates</v>
      </c>
      <c r="M5" s="205" t="s">
        <v>125</v>
      </c>
      <c r="N5" s="201" t="str">
        <f aca="false">VLOOKUP(M5,P:P,1,0)</f>
        <v>LEGALOGIC CONSULTING LLP</v>
      </c>
      <c r="P5" s="207" t="s">
        <v>125</v>
      </c>
      <c r="Q5" s="201" t="str">
        <f aca="false">VLOOKUP(P5,S:S,1,0)</f>
        <v>LEGALOGIC CONSULTING LLP</v>
      </c>
      <c r="S5" s="207" t="s">
        <v>133</v>
      </c>
      <c r="T5" s="201" t="str">
        <f aca="false">VLOOKUP(S5,U:U,1,0)</f>
        <v>U. S. GANDHI &amp; CO.</v>
      </c>
      <c r="U5" s="128" t="s">
        <v>145</v>
      </c>
      <c r="V5" s="201" t="str">
        <f aca="false">VLOOKUP(U5,X:X,1,0)</f>
        <v>Agama Law Associates</v>
      </c>
      <c r="X5" s="145" t="s">
        <v>448</v>
      </c>
      <c r="Y5" s="201" t="str">
        <f aca="false">VLOOKUP(X5,AA:AA,1,0)</f>
        <v>Abhimanyu Garg / Methodica Legal </v>
      </c>
      <c r="AA5" s="128" t="s">
        <v>145</v>
      </c>
      <c r="AB5" s="201" t="str">
        <f aca="false">VLOOKUP(AA5,AD:AD,1,0)</f>
        <v>Agama Law Associates</v>
      </c>
      <c r="AD5" s="201" t="s">
        <v>145</v>
      </c>
      <c r="AE5" s="201" t="str">
        <f aca="false">VLOOKUP(AD5,AA:AA,1,0)</f>
        <v>Agama Law Associates</v>
      </c>
    </row>
    <row r="6" customFormat="false" ht="13.8" hidden="false" customHeight="false" outlineLevel="0" collapsed="false">
      <c r="A6" s="201" t="s">
        <v>501</v>
      </c>
      <c r="B6" s="201" t="e">
        <f aca="false">VLOOKUP(A6,D:D,1,0)</f>
        <v>#N/A</v>
      </c>
      <c r="D6" s="207" t="s">
        <v>278</v>
      </c>
      <c r="E6" s="201" t="str">
        <f aca="false">VLOOKUP(D6,G:G,1,0)</f>
        <v>Manish kelker</v>
      </c>
      <c r="G6" s="207" t="s">
        <v>145</v>
      </c>
      <c r="H6" s="201" t="str">
        <f aca="false">VLOOKUP(G6,J:J,1,0)</f>
        <v>Agama Law Associates</v>
      </c>
      <c r="J6" s="207" t="s">
        <v>466</v>
      </c>
      <c r="K6" s="201" t="str">
        <f aca="false">VLOOKUP(J6,M:M,1,0)</f>
        <v>Akriti Chaubey</v>
      </c>
      <c r="M6" s="207" t="s">
        <v>127</v>
      </c>
      <c r="N6" s="201" t="str">
        <f aca="false">VLOOKUP(M6,P:P,1,0)</f>
        <v>VACUITAS COUNSELLOR LLP</v>
      </c>
      <c r="P6" s="207" t="s">
        <v>127</v>
      </c>
      <c r="Q6" s="201" t="str">
        <f aca="false">VLOOKUP(P6,S:S,1,0)</f>
        <v>VACUITAS COUNSELLOR LLP</v>
      </c>
      <c r="S6" s="207" t="s">
        <v>138</v>
      </c>
      <c r="T6" s="201" t="str">
        <f aca="false">VLOOKUP(S6,U:U,1,0)</f>
        <v>Dileep Poolakkot</v>
      </c>
      <c r="U6" s="128" t="s">
        <v>149</v>
      </c>
      <c r="V6" s="201" t="str">
        <f aca="false">VLOOKUP(U6,X:X,1,0)</f>
        <v>Venkatesh Dhond</v>
      </c>
      <c r="X6" s="159" t="s">
        <v>624</v>
      </c>
      <c r="Y6" s="201" t="str">
        <f aca="false">VLOOKUP(X6,AA:AA,1,0)</f>
        <v>Acuity Law LLP</v>
      </c>
      <c r="AA6" s="128" t="s">
        <v>154</v>
      </c>
      <c r="AB6" s="201" t="str">
        <f aca="false">VLOOKUP(AA6,AD:AD,1,0)</f>
        <v>PSN Legal Advocates and Legal Consultants</v>
      </c>
      <c r="AD6" s="201" t="s">
        <v>154</v>
      </c>
      <c r="AE6" s="201" t="str">
        <f aca="false">VLOOKUP(AD6,AA:AA,1,0)</f>
        <v>PSN Legal Advocates and Legal Consultants</v>
      </c>
    </row>
    <row r="7" customFormat="false" ht="13.8" hidden="false" customHeight="false" outlineLevel="0" collapsed="false">
      <c r="A7" s="201" t="s">
        <v>476</v>
      </c>
      <c r="B7" s="201" t="str">
        <f aca="false">VLOOKUP(A7,D:D,1,0)</f>
        <v>Kanungo &amp; Co.</v>
      </c>
      <c r="D7" s="209" t="s">
        <v>442</v>
      </c>
      <c r="E7" s="201" t="str">
        <f aca="false">VLOOKUP(D7,G:G,1,0)</f>
        <v>Ish Jain / Regius Partners LLP</v>
      </c>
      <c r="G7" s="207" t="s">
        <v>481</v>
      </c>
      <c r="H7" s="201" t="e">
        <f aca="false">VLOOKUP(G7,J:J,1,0)</f>
        <v>#N/A</v>
      </c>
      <c r="J7" s="207" t="s">
        <v>396</v>
      </c>
      <c r="K7" s="201" t="e">
        <f aca="false">VLOOKUP(J7,M:M,1,0)</f>
        <v>#N/A</v>
      </c>
      <c r="M7" s="207" t="s">
        <v>130</v>
      </c>
      <c r="N7" s="201" t="str">
        <f aca="false">VLOOKUP(M7,P:P,1,0)</f>
        <v>Tvashta Law</v>
      </c>
      <c r="P7" s="207" t="s">
        <v>133</v>
      </c>
      <c r="Q7" s="201" t="str">
        <f aca="false">VLOOKUP(P7,S:S,1,0)</f>
        <v>U. S. GANDHI &amp; CO.</v>
      </c>
      <c r="S7" s="207" t="s">
        <v>140</v>
      </c>
      <c r="T7" s="201" t="e">
        <f aca="false">VLOOKUP(S7,U:U,1,0)</f>
        <v>#N/A</v>
      </c>
      <c r="U7" s="128" t="s">
        <v>154</v>
      </c>
      <c r="V7" s="201" t="str">
        <f aca="false">VLOOKUP(U7,X:X,1,0)</f>
        <v>PSN Legal Advocates and Legal Consultants</v>
      </c>
      <c r="X7" s="159" t="s">
        <v>145</v>
      </c>
      <c r="Y7" s="201" t="str">
        <f aca="false">VLOOKUP(X7,AA:AA,1,0)</f>
        <v>Agama Law Associates</v>
      </c>
      <c r="AA7" s="128" t="s">
        <v>162</v>
      </c>
      <c r="AB7" s="201" t="str">
        <f aca="false">VLOOKUP(AA7,AD:AD,1,0)</f>
        <v>Darius J. Khambata</v>
      </c>
      <c r="AD7" s="201" t="s">
        <v>162</v>
      </c>
      <c r="AE7" s="201" t="str">
        <f aca="false">VLOOKUP(AD7,AA:AA,1,0)</f>
        <v>Darius J. Khambata</v>
      </c>
    </row>
    <row r="8" customFormat="false" ht="13.8" hidden="false" customHeight="false" outlineLevel="0" collapsed="false">
      <c r="A8" s="201" t="s">
        <v>481</v>
      </c>
      <c r="B8" s="201" t="str">
        <f aca="false">VLOOKUP(A8,D:D,1,0)</f>
        <v>ANG</v>
      </c>
      <c r="D8" s="207" t="s">
        <v>478</v>
      </c>
      <c r="E8" s="201" t="e">
        <f aca="false">VLOOKUP(D8,G:G,1,0)</f>
        <v>#N/A</v>
      </c>
      <c r="G8" s="209" t="s">
        <v>236</v>
      </c>
      <c r="H8" s="201" t="str">
        <f aca="false">VLOOKUP(G8,J:J,1,0)</f>
        <v>Argus Partners</v>
      </c>
      <c r="J8" s="209" t="s">
        <v>393</v>
      </c>
      <c r="K8" s="201" t="str">
        <f aca="false">VLOOKUP(J8,M:M,1,0)</f>
        <v>Amrita Panda / ADP Chambers- 62</v>
      </c>
      <c r="M8" s="207" t="s">
        <v>133</v>
      </c>
      <c r="N8" s="201" t="str">
        <f aca="false">VLOOKUP(M8,P:P,1,0)</f>
        <v>U. S. GANDHI &amp; CO.</v>
      </c>
      <c r="P8" s="209" t="s">
        <v>136</v>
      </c>
      <c r="Q8" s="201" t="e">
        <f aca="false">VLOOKUP(P8,S:S,1,0)</f>
        <v>#N/A</v>
      </c>
      <c r="S8" s="207" t="s">
        <v>142</v>
      </c>
      <c r="T8" s="201" t="e">
        <f aca="false">VLOOKUP(S8,U:U,1,0)</f>
        <v>#N/A</v>
      </c>
      <c r="U8" s="128" t="s">
        <v>157</v>
      </c>
      <c r="V8" s="201" t="str">
        <f aca="false">VLOOKUP(U8,X:X,1,0)</f>
        <v>Swapna Sheshadri</v>
      </c>
      <c r="X8" s="159" t="s">
        <v>530</v>
      </c>
      <c r="Y8" s="201" t="str">
        <f aca="false">VLOOKUP(X8,AA:AA,1,0)</f>
        <v>Agraa Legal</v>
      </c>
      <c r="AA8" s="128" t="s">
        <v>174</v>
      </c>
      <c r="AB8" s="201" t="str">
        <f aca="false">VLOOKUP(AA8,AD:AD,1,0)</f>
        <v>Rashmikant and Partners</v>
      </c>
      <c r="AD8" s="201" t="s">
        <v>174</v>
      </c>
      <c r="AE8" s="201" t="str">
        <f aca="false">VLOOKUP(AD8,AA:AA,1,0)</f>
        <v>Rashmikant and Partners</v>
      </c>
    </row>
    <row r="9" customFormat="false" ht="13.8" hidden="false" customHeight="false" outlineLevel="0" collapsed="false">
      <c r="A9" s="201" t="s">
        <v>416</v>
      </c>
      <c r="B9" s="201" t="str">
        <f aca="false">VLOOKUP(A9,D:D,1,0)</f>
        <v>Ratan Kumar Singh</v>
      </c>
      <c r="D9" s="205" t="s">
        <v>448</v>
      </c>
      <c r="E9" s="201" t="str">
        <f aca="false">VLOOKUP(D9,G:G,1,0)</f>
        <v>Abhimanyu Garg / Methodica Legal </v>
      </c>
      <c r="G9" s="205" t="s">
        <v>318</v>
      </c>
      <c r="H9" s="201" t="str">
        <f aca="false">VLOOKUP(G9,J:J,1,0)</f>
        <v>Asahi Legal LLP</v>
      </c>
      <c r="J9" s="209" t="s">
        <v>236</v>
      </c>
      <c r="K9" s="201" t="str">
        <f aca="false">VLOOKUP(J9,M:M,1,0)</f>
        <v>Argus Partners</v>
      </c>
      <c r="M9" s="209" t="s">
        <v>136</v>
      </c>
      <c r="N9" s="201" t="str">
        <f aca="false">VLOOKUP(M9,P:P,1,0)</f>
        <v>Advocate Rohit Jaiswal</v>
      </c>
      <c r="P9" s="207" t="s">
        <v>138</v>
      </c>
      <c r="Q9" s="201" t="str">
        <f aca="false">VLOOKUP(P9,S:S,1,0)</f>
        <v>Dileep Poolakkot</v>
      </c>
      <c r="S9" s="207" t="s">
        <v>145</v>
      </c>
      <c r="T9" s="201" t="str">
        <f aca="false">VLOOKUP(S9,U:U,1,0)</f>
        <v>Agama Law Associates</v>
      </c>
      <c r="U9" s="128" t="s">
        <v>159</v>
      </c>
      <c r="V9" s="201" t="e">
        <f aca="false">VLOOKUP(U9,X:X,1,0)</f>
        <v>#N/A</v>
      </c>
      <c r="X9" s="210" t="s">
        <v>232</v>
      </c>
      <c r="Y9" s="201" t="str">
        <f aca="false">VLOOKUP(X9,AA:AA,1,0)</f>
        <v>AHUJA VALECHA &amp; ASSOCIATES LLP</v>
      </c>
      <c r="AA9" s="128" t="s">
        <v>179</v>
      </c>
      <c r="AB9" s="201" t="str">
        <f aca="false">VLOOKUP(AA9,AD:AD,1,0)</f>
        <v>Shreeyash Lalit</v>
      </c>
      <c r="AD9" s="201" t="s">
        <v>179</v>
      </c>
      <c r="AE9" s="201" t="str">
        <f aca="false">VLOOKUP(AD9,AA:AA,1,0)</f>
        <v>Shreeyash Lalit</v>
      </c>
    </row>
    <row r="10" customFormat="false" ht="13.8" hidden="false" customHeight="false" outlineLevel="0" collapsed="false">
      <c r="A10" s="201" t="s">
        <v>278</v>
      </c>
      <c r="B10" s="201" t="str">
        <f aca="false">VLOOKUP(A10,D:D,1,0)</f>
        <v>Manish kelker</v>
      </c>
      <c r="D10" s="207" t="s">
        <v>391</v>
      </c>
      <c r="E10" s="201" t="e">
        <f aca="false">VLOOKUP(D10,G:G,1,0)</f>
        <v>#N/A</v>
      </c>
      <c r="G10" s="207" t="s">
        <v>189</v>
      </c>
      <c r="H10" s="201" t="e">
        <f aca="false">VLOOKUP(G10,J:J,1,0)</f>
        <v>#N/A</v>
      </c>
      <c r="J10" s="207" t="s">
        <v>318</v>
      </c>
      <c r="K10" s="201" t="str">
        <f aca="false">VLOOKUP(J10,M:M,1,0)</f>
        <v>Asahi Legal LLP</v>
      </c>
      <c r="M10" s="207" t="s">
        <v>138</v>
      </c>
      <c r="N10" s="201" t="str">
        <f aca="false">VLOOKUP(M10,P:P,1,0)</f>
        <v>Dileep Poolakkot</v>
      </c>
      <c r="P10" s="207" t="s">
        <v>140</v>
      </c>
      <c r="Q10" s="201" t="str">
        <f aca="false">VLOOKUP(P10,S:S,1,0)</f>
        <v>Utkarsh Joshi</v>
      </c>
      <c r="S10" s="207" t="s">
        <v>149</v>
      </c>
      <c r="T10" s="201" t="str">
        <f aca="false">VLOOKUP(S10,U:U,1,0)</f>
        <v>Venkatesh Dhond</v>
      </c>
      <c r="U10" s="128" t="s">
        <v>162</v>
      </c>
      <c r="V10" s="201" t="str">
        <f aca="false">VLOOKUP(U10,X:X,1,0)</f>
        <v>Darius J. Khambata</v>
      </c>
      <c r="X10" s="210" t="s">
        <v>761</v>
      </c>
      <c r="Y10" s="201" t="str">
        <f aca="false">VLOOKUP(X10,AA:AA,1,0)</f>
        <v>Akkash Bhadana</v>
      </c>
      <c r="AA10" s="128" t="s">
        <v>184</v>
      </c>
      <c r="AB10" s="201" t="str">
        <f aca="false">VLOOKUP(AA10,AD:AD,1,0)</f>
        <v>R. Vishnu Kumar, Advocate</v>
      </c>
      <c r="AD10" s="201" t="s">
        <v>184</v>
      </c>
      <c r="AE10" s="201" t="str">
        <f aca="false">VLOOKUP(AD10,AA:AA,1,0)</f>
        <v>R. Vishnu Kumar, Advocate</v>
      </c>
    </row>
    <row r="11" customFormat="false" ht="13.8" hidden="false" customHeight="false" outlineLevel="0" collapsed="false">
      <c r="A11" s="201" t="s">
        <v>496</v>
      </c>
      <c r="B11" s="201" t="e">
        <f aca="false">VLOOKUP(A11,D:D,1,0)</f>
        <v>#N/A</v>
      </c>
      <c r="D11" s="205" t="s">
        <v>462</v>
      </c>
      <c r="E11" s="201" t="str">
        <f aca="false">VLOOKUP(D11,G:G,1,0)</f>
        <v>Office of ASG (N. Venkatraman)</v>
      </c>
      <c r="G11" s="207" t="s">
        <v>162</v>
      </c>
      <c r="H11" s="201" t="str">
        <f aca="false">VLOOKUP(G11,J:J,1,0)</f>
        <v>Darius J. Khambata</v>
      </c>
      <c r="J11" s="207" t="s">
        <v>418</v>
      </c>
      <c r="K11" s="201" t="str">
        <f aca="false">VLOOKUP(J11,M:M,1,0)</f>
        <v>Balbir Singh</v>
      </c>
      <c r="M11" s="209" t="s">
        <v>140</v>
      </c>
      <c r="N11" s="201" t="str">
        <f aca="false">VLOOKUP(M11,P:P,1,0)</f>
        <v>Utkarsh Joshi</v>
      </c>
      <c r="P11" s="207" t="s">
        <v>142</v>
      </c>
      <c r="Q11" s="201" t="str">
        <f aca="false">VLOOKUP(P11,S:S,1,0)</f>
        <v>Karan Butalia</v>
      </c>
      <c r="S11" s="209" t="s">
        <v>154</v>
      </c>
      <c r="T11" s="201" t="str">
        <f aca="false">VLOOKUP(S11,U:U,1,0)</f>
        <v>PSN Legal Advocates and Legal Consultants</v>
      </c>
      <c r="U11" s="128" t="s">
        <v>164</v>
      </c>
      <c r="V11" s="201" t="str">
        <f aca="false">VLOOKUP(U11,X:X,1,0)</f>
        <v>Miglani Varma &amp; Co.</v>
      </c>
      <c r="X11" s="159" t="s">
        <v>566</v>
      </c>
      <c r="Y11" s="201" t="str">
        <f aca="false">VLOOKUP(X11,AA:AA,1,0)</f>
        <v>Amit Bhagat</v>
      </c>
      <c r="AA11" s="128" t="s">
        <v>191</v>
      </c>
      <c r="AB11" s="201" t="str">
        <f aca="false">VLOOKUP(AA11,AD:AD,1,0)</f>
        <v>NC Legal</v>
      </c>
      <c r="AD11" s="201" t="s">
        <v>191</v>
      </c>
      <c r="AE11" s="201" t="str">
        <f aca="false">VLOOKUP(AD11,AA:AA,1,0)</f>
        <v>NC Legal</v>
      </c>
    </row>
    <row r="12" customFormat="false" ht="13.8" hidden="false" customHeight="false" outlineLevel="0" collapsed="false">
      <c r="A12" s="201" t="s">
        <v>412</v>
      </c>
      <c r="B12" s="201" t="e">
        <f aca="false">VLOOKUP(A12,D:D,1,0)</f>
        <v>#N/A</v>
      </c>
      <c r="D12" s="205" t="s">
        <v>458</v>
      </c>
      <c r="E12" s="201" t="str">
        <f aca="false">VLOOKUP(D12,G:G,1,0)</f>
        <v>Shiraz Rustomjee</v>
      </c>
      <c r="G12" s="205" t="s">
        <v>460</v>
      </c>
      <c r="H12" s="201" t="str">
        <f aca="false">VLOOKUP(G12,J:J,1,0)</f>
        <v>Dipankar Majumdar</v>
      </c>
      <c r="J12" s="205" t="s">
        <v>401</v>
      </c>
      <c r="K12" s="201" t="str">
        <f aca="false">VLOOKUP(J12,M:M,1,0)</f>
        <v>Burgeon Law LLP</v>
      </c>
      <c r="M12" s="207" t="s">
        <v>142</v>
      </c>
      <c r="N12" s="201" t="str">
        <f aca="false">VLOOKUP(M12,P:P,1,0)</f>
        <v>Karan Butalia</v>
      </c>
      <c r="P12" s="207" t="s">
        <v>145</v>
      </c>
      <c r="Q12" s="201" t="str">
        <f aca="false">VLOOKUP(P12,S:S,1,0)</f>
        <v>Agama Law Associates</v>
      </c>
      <c r="S12" s="207" t="s">
        <v>157</v>
      </c>
      <c r="T12" s="201" t="str">
        <f aca="false">VLOOKUP(S12,U:U,1,0)</f>
        <v>Swapna Sheshadri</v>
      </c>
      <c r="U12" s="128" t="s">
        <v>174</v>
      </c>
      <c r="V12" s="201" t="str">
        <f aca="false">VLOOKUP(U12,X:X,1,0)</f>
        <v>Rashmikant and Partners</v>
      </c>
      <c r="X12" s="210" t="s">
        <v>768</v>
      </c>
      <c r="Y12" s="201" t="str">
        <f aca="false">VLOOKUP(X12,AA:AA,1,0)</f>
        <v>Amrit Grewal</v>
      </c>
      <c r="AA12" s="128" t="s">
        <v>197</v>
      </c>
      <c r="AB12" s="201" t="str">
        <f aca="false">VLOOKUP(AA12,AD:AD,1,0)</f>
        <v>RPV LEGAL</v>
      </c>
      <c r="AD12" s="201" t="s">
        <v>197</v>
      </c>
      <c r="AE12" s="201" t="str">
        <f aca="false">VLOOKUP(AD12,AA:AA,1,0)</f>
        <v>RPV LEGAL</v>
      </c>
    </row>
    <row r="13" customFormat="false" ht="13.8" hidden="false" customHeight="false" outlineLevel="0" collapsed="false">
      <c r="A13" s="201" t="s">
        <v>498</v>
      </c>
      <c r="B13" s="201" t="e">
        <f aca="false">VLOOKUP(A13,D:D,1,0)</f>
        <v>#N/A</v>
      </c>
      <c r="D13" s="207" t="s">
        <v>281</v>
      </c>
      <c r="E13" s="201" t="str">
        <f aca="false">VLOOKUP(D13,G:G,1,0)</f>
        <v>Diwan Law Associates</v>
      </c>
      <c r="G13" s="207" t="s">
        <v>281</v>
      </c>
      <c r="H13" s="201" t="str">
        <f aca="false">VLOOKUP(G13,J:J,1,0)</f>
        <v>Diwan Law Associates</v>
      </c>
      <c r="J13" s="209" t="s">
        <v>243</v>
      </c>
      <c r="K13" s="201" t="str">
        <f aca="false">VLOOKUP(J13,M:M,1,0)</f>
        <v>Chambers of Aman Vachher</v>
      </c>
      <c r="M13" s="207" t="s">
        <v>145</v>
      </c>
      <c r="N13" s="201" t="str">
        <f aca="false">VLOOKUP(M13,P:P,1,0)</f>
        <v>Agama Law Associates</v>
      </c>
      <c r="P13" s="207" t="s">
        <v>147</v>
      </c>
      <c r="Q13" s="201" t="str">
        <f aca="false">VLOOKUP(P13,S:S,1,0)</f>
        <v>RAJANI ASSOCIATES</v>
      </c>
      <c r="S13" s="207" t="s">
        <v>159</v>
      </c>
      <c r="T13" s="201" t="str">
        <f aca="false">VLOOKUP(S13,U:U,1,0)</f>
        <v>Vutts &amp; Associates LLP</v>
      </c>
      <c r="U13" s="128" t="s">
        <v>177</v>
      </c>
      <c r="V13" s="201" t="str">
        <f aca="false">VLOOKUP(U13,X:X,1,0)</f>
        <v>TLH, Advocates &amp; Solicitors</v>
      </c>
      <c r="X13" s="145" t="s">
        <v>393</v>
      </c>
      <c r="Y13" s="201" t="str">
        <f aca="false">VLOOKUP(X13,AA:AA,1,0)</f>
        <v>Amrita Panda / ADP Chambers- 62</v>
      </c>
      <c r="AA13" s="128" t="s">
        <v>207</v>
      </c>
      <c r="AB13" s="201" t="str">
        <f aca="false">VLOOKUP(AA13,AD:AD,1,0)</f>
        <v>Justice (Retd.) Kurian Joseph</v>
      </c>
      <c r="AD13" s="201" t="s">
        <v>207</v>
      </c>
      <c r="AE13" s="201" t="str">
        <f aca="false">VLOOKUP(AD13,AA:AA,1,0)</f>
        <v>Justice (Retd.) Kurian Joseph</v>
      </c>
    </row>
    <row r="14" customFormat="false" ht="31.3" hidden="false" customHeight="false" outlineLevel="0" collapsed="false">
      <c r="A14" s="201" t="s">
        <v>391</v>
      </c>
      <c r="B14" s="201" t="str">
        <f aca="false">VLOOKUP(A14,D:D,1,0)</f>
        <v>Amrita Panda / ADP Chambers- 5</v>
      </c>
      <c r="D14" s="207" t="s">
        <v>145</v>
      </c>
      <c r="E14" s="201" t="str">
        <f aca="false">VLOOKUP(D14,G:G,1,0)</f>
        <v>Agama Law Associates</v>
      </c>
      <c r="G14" s="207" t="s">
        <v>403</v>
      </c>
      <c r="H14" s="201" t="str">
        <f aca="false">VLOOKUP(G14,J:J,1,0)</f>
        <v>Eternity Legal</v>
      </c>
      <c r="J14" s="209" t="s">
        <v>397</v>
      </c>
      <c r="K14" s="201" t="str">
        <f aca="false">VLOOKUP(J14,M:M,1,0)</f>
        <v>Chambers of Justice Mohit S Shah (Retd.), Former Chief Justice of Bombay and Calcutta High Court</v>
      </c>
      <c r="M14" s="207" t="s">
        <v>147</v>
      </c>
      <c r="N14" s="201" t="str">
        <f aca="false">VLOOKUP(M14,P:P,1,0)</f>
        <v>RAJANI ASSOCIATES</v>
      </c>
      <c r="P14" s="209" t="s">
        <v>149</v>
      </c>
      <c r="Q14" s="201" t="str">
        <f aca="false">VLOOKUP(P14,S:S,1,0)</f>
        <v>Venkatesh Dhond</v>
      </c>
      <c r="S14" s="207" t="s">
        <v>162</v>
      </c>
      <c r="T14" s="201" t="str">
        <f aca="false">VLOOKUP(S14,U:U,1,0)</f>
        <v>Darius J. Khambata</v>
      </c>
      <c r="U14" s="128" t="s">
        <v>179</v>
      </c>
      <c r="V14" s="201" t="str">
        <f aca="false">VLOOKUP(U14,X:X,1,0)</f>
        <v>Shreeyash Lalit</v>
      </c>
      <c r="X14" s="159" t="s">
        <v>264</v>
      </c>
      <c r="Y14" s="201" t="str">
        <f aca="false">VLOOKUP(X14,AA:AA,1,0)</f>
        <v>Amrut Joshi</v>
      </c>
      <c r="AA14" s="159" t="s">
        <v>209</v>
      </c>
      <c r="AB14" s="204" t="str">
        <f aca="false">VLOOKUP(AA14,AD:AD,1,0)</f>
        <v>SINHA &amp; COMPANY
</v>
      </c>
      <c r="AD14" s="204" t="s">
        <v>209</v>
      </c>
      <c r="AE14" s="204" t="str">
        <f aca="false">VLOOKUP(AD14,AA:AA,1,0)</f>
        <v>SINHA &amp; COMPANY
</v>
      </c>
    </row>
    <row r="15" customFormat="false" ht="35.05" hidden="false" customHeight="false" outlineLevel="0" collapsed="false">
      <c r="A15" s="201" t="s">
        <v>281</v>
      </c>
      <c r="B15" s="201" t="str">
        <f aca="false">VLOOKUP(A15,D:D,1,0)</f>
        <v>Diwan Law Associates</v>
      </c>
      <c r="D15" s="207" t="s">
        <v>149</v>
      </c>
      <c r="E15" s="201" t="str">
        <f aca="false">VLOOKUP(D15,G:G,1,0)</f>
        <v>Venkatesh Dhond</v>
      </c>
      <c r="G15" s="205" t="s">
        <v>429</v>
      </c>
      <c r="H15" s="201" t="str">
        <f aca="false">VLOOKUP(G15,J:J,1,0)</f>
        <v>Farhan Dubash </v>
      </c>
      <c r="J15" s="207" t="s">
        <v>162</v>
      </c>
      <c r="K15" s="201" t="str">
        <f aca="false">VLOOKUP(J15,M:M,1,0)</f>
        <v>Darius J. Khambata</v>
      </c>
      <c r="M15" s="205" t="s">
        <v>149</v>
      </c>
      <c r="N15" s="201" t="str">
        <f aca="false">VLOOKUP(M15,P:P,1,0)</f>
        <v>Venkatesh Dhond</v>
      </c>
      <c r="P15" s="207" t="s">
        <v>152</v>
      </c>
      <c r="Q15" s="201" t="str">
        <f aca="false">VLOOKUP(P15,S:S,1,0)</f>
        <v>Harshit Malik</v>
      </c>
      <c r="S15" s="207" t="s">
        <v>164</v>
      </c>
      <c r="T15" s="201" t="str">
        <f aca="false">VLOOKUP(S15,U:U,1,0)</f>
        <v>Miglani Varma &amp; Co.</v>
      </c>
      <c r="U15" s="211" t="s">
        <v>184</v>
      </c>
      <c r="V15" s="201" t="str">
        <f aca="false">VLOOKUP(U15,X:X,1,0)</f>
        <v>R. Vishnu Kumar, Advocate</v>
      </c>
      <c r="X15" s="159" t="s">
        <v>677</v>
      </c>
      <c r="Y15" s="201" t="e">
        <f aca="false">VLOOKUP(X15,AA:AA,1,0)</f>
        <v>#N/A</v>
      </c>
      <c r="AA15" s="128" t="s">
        <v>211</v>
      </c>
      <c r="AB15" s="201" t="str">
        <f aca="false">VLOOKUP(AA15,AD:AD,1,0)</f>
        <v>Darshit Jain</v>
      </c>
      <c r="AD15" s="201" t="s">
        <v>211</v>
      </c>
      <c r="AE15" s="201" t="str">
        <f aca="false">VLOOKUP(AD15,AA:AA,1,0)</f>
        <v>Darshit Jain</v>
      </c>
    </row>
    <row r="16" customFormat="false" ht="13.5" hidden="false" customHeight="false" outlineLevel="0" collapsed="false">
      <c r="A16" s="201" t="s">
        <v>448</v>
      </c>
      <c r="B16" s="201" t="str">
        <f aca="false">VLOOKUP(A16,D:D,1,0)</f>
        <v>Abhimanyu Garg / Methodica Legal </v>
      </c>
      <c r="D16" s="207" t="s">
        <v>370</v>
      </c>
      <c r="E16" s="201" t="e">
        <f aca="false">VLOOKUP(D16,G:G,1,0)</f>
        <v>#N/A</v>
      </c>
      <c r="G16" s="207" t="s">
        <v>473</v>
      </c>
      <c r="H16" s="201" t="str">
        <f aca="false">J22</f>
        <v>Gourab Banreji</v>
      </c>
      <c r="J16" s="205" t="s">
        <v>460</v>
      </c>
      <c r="K16" s="201" t="str">
        <f aca="false">VLOOKUP(J16,M:M,1,0)</f>
        <v>Dipankar Majumdar</v>
      </c>
      <c r="M16" s="207" t="s">
        <v>152</v>
      </c>
      <c r="N16" s="201" t="str">
        <f aca="false">VLOOKUP(M16,P:P,1,0)</f>
        <v>Harshit Malik</v>
      </c>
      <c r="P16" s="207" t="s">
        <v>154</v>
      </c>
      <c r="Q16" s="201" t="str">
        <f aca="false">VLOOKUP(P16,S:S,1,0)</f>
        <v>PSN Legal Advocates and Legal Consultants</v>
      </c>
      <c r="S16" s="207" t="s">
        <v>174</v>
      </c>
      <c r="T16" s="201" t="str">
        <f aca="false">VLOOKUP(S16,U:U,1,0)</f>
        <v>Rashmikant and Partners</v>
      </c>
      <c r="U16" s="128" t="s">
        <v>191</v>
      </c>
      <c r="V16" s="201" t="str">
        <f aca="false">VLOOKUP(U16,X:X,1,0)</f>
        <v>NC Legal</v>
      </c>
      <c r="X16" s="159" t="s">
        <v>600</v>
      </c>
      <c r="Y16" s="201" t="e">
        <f aca="false">VLOOKUP(X16,AA:AA,1,0)</f>
        <v>#N/A</v>
      </c>
      <c r="AA16" s="128" t="s">
        <v>213</v>
      </c>
      <c r="AB16" s="201" t="str">
        <f aca="false">VLOOKUP(AA16,AD:AD,1,0)</f>
        <v>Sagar Ghogre</v>
      </c>
      <c r="AD16" s="201" t="s">
        <v>213</v>
      </c>
      <c r="AE16" s="201" t="str">
        <f aca="false">VLOOKUP(AD16,AA:AA,1,0)</f>
        <v>Sagar Ghogre</v>
      </c>
    </row>
    <row r="17" customFormat="false" ht="13.5" hidden="false" customHeight="false" outlineLevel="0" collapsed="false">
      <c r="A17" s="201" t="s">
        <v>442</v>
      </c>
      <c r="B17" s="201" t="str">
        <f aca="false">VLOOKUP(A17,D:D,1,0)</f>
        <v>Ish Jain / Regius Partners LLP</v>
      </c>
      <c r="D17" s="207" t="s">
        <v>476</v>
      </c>
      <c r="E17" s="201" t="e">
        <f aca="false">VLOOKUP(D17,G:G,1,0)</f>
        <v>#N/A</v>
      </c>
      <c r="G17" s="209" t="s">
        <v>442</v>
      </c>
      <c r="H17" s="201" t="str">
        <f aca="false">VLOOKUP(G17,J:J,1,0)</f>
        <v>Ish Jain / Regius Partners LLP</v>
      </c>
      <c r="J17" s="207" t="s">
        <v>281</v>
      </c>
      <c r="K17" s="201" t="str">
        <f aca="false">VLOOKUP(J17,M:M,1,0)</f>
        <v>Diwan Law Associates</v>
      </c>
      <c r="M17" s="207" t="s">
        <v>154</v>
      </c>
      <c r="N17" s="201" t="str">
        <f aca="false">VLOOKUP(M17,P:P,1,0)</f>
        <v>PSN Legal Advocates and Legal Consultants</v>
      </c>
      <c r="P17" s="207" t="s">
        <v>157</v>
      </c>
      <c r="Q17" s="201" t="str">
        <f aca="false">VLOOKUP(P17,S:S,1,0)</f>
        <v>Swapna Sheshadri</v>
      </c>
      <c r="S17" s="207" t="s">
        <v>177</v>
      </c>
      <c r="T17" s="201" t="str">
        <f aca="false">VLOOKUP(S17,U:U,1,0)</f>
        <v>TLH, Advocates &amp; Solicitors</v>
      </c>
      <c r="U17" s="128" t="s">
        <v>197</v>
      </c>
      <c r="V17" s="201" t="str">
        <f aca="false">VLOOKUP(U17,X:X,1,0)</f>
        <v>RPV LEGAL</v>
      </c>
      <c r="X17" s="159" t="s">
        <v>654</v>
      </c>
      <c r="Y17" s="201" t="str">
        <f aca="false">VLOOKUP(X17,AA:AA,1,0)</f>
        <v>Anush Raajan</v>
      </c>
      <c r="AA17" s="128" t="s">
        <v>215</v>
      </c>
      <c r="AB17" s="201" t="str">
        <f aca="false">VLOOKUP(AA17,AD:AD,1,0)</f>
        <v>Chetan shah</v>
      </c>
      <c r="AD17" s="201" t="s">
        <v>215</v>
      </c>
      <c r="AE17" s="201" t="str">
        <f aca="false">VLOOKUP(AD17,AA:AA,1,0)</f>
        <v>Chetan shah</v>
      </c>
    </row>
    <row r="18" customFormat="false" ht="13.5" hidden="false" customHeight="false" outlineLevel="0" collapsed="false">
      <c r="D18" s="205" t="s">
        <v>429</v>
      </c>
      <c r="E18" s="201" t="str">
        <f aca="false">VLOOKUP(D18,G:G,1,0)</f>
        <v>Farhan Dubash </v>
      </c>
      <c r="G18" s="205" t="s">
        <v>383</v>
      </c>
      <c r="H18" s="201" t="str">
        <f aca="false">VLOOKUP(G18,J:J,1,0)</f>
        <v>Keystone Partners</v>
      </c>
      <c r="J18" s="207" t="s">
        <v>403</v>
      </c>
      <c r="K18" s="201" t="str">
        <f aca="false">VLOOKUP(J18,M:M,1,0)</f>
        <v>Eternity Legal</v>
      </c>
      <c r="M18" s="207" t="s">
        <v>157</v>
      </c>
      <c r="N18" s="201" t="str">
        <f aca="false">VLOOKUP(M18,P:P,1,0)</f>
        <v>Swapna Sheshadri</v>
      </c>
      <c r="P18" s="205" t="s">
        <v>159</v>
      </c>
      <c r="Q18" s="201" t="str">
        <f aca="false">VLOOKUP(P18,S:S,1,0)</f>
        <v>Vutts &amp; Associates LLP</v>
      </c>
      <c r="S18" s="207" t="s">
        <v>179</v>
      </c>
      <c r="T18" s="201" t="str">
        <f aca="false">VLOOKUP(S18,U:U,1,0)</f>
        <v>Shreeyash Lalit</v>
      </c>
      <c r="U18" s="128" t="s">
        <v>199</v>
      </c>
      <c r="V18" s="201" t="e">
        <f aca="false">VLOOKUP(U18,X:X,1,0)</f>
        <v>#N/A</v>
      </c>
      <c r="X18" s="159" t="s">
        <v>581</v>
      </c>
      <c r="Y18" s="201" t="str">
        <f aca="false">VLOOKUP(X18,AA:AA,1,0)</f>
        <v>Apoorv Kurup</v>
      </c>
      <c r="AA18" s="128" t="s">
        <v>217</v>
      </c>
      <c r="AB18" s="201" t="str">
        <f aca="false">VLOOKUP(AA18,AD:AD,1,0)</f>
        <v>Sneha Phene</v>
      </c>
      <c r="AD18" s="201" t="s">
        <v>217</v>
      </c>
      <c r="AE18" s="201" t="str">
        <f aca="false">VLOOKUP(AD18,AA:AA,1,0)</f>
        <v>Sneha Phene</v>
      </c>
    </row>
    <row r="19" customFormat="false" ht="13.5" hidden="false" customHeight="false" outlineLevel="0" collapsed="false">
      <c r="D19" s="207" t="s">
        <v>470</v>
      </c>
      <c r="E19" s="201" t="e">
        <f aca="false">VLOOKUP(D19,G:G,1,0)</f>
        <v>#N/A</v>
      </c>
      <c r="G19" s="207" t="s">
        <v>278</v>
      </c>
      <c r="H19" s="201" t="str">
        <f aca="false">VLOOKUP(G19,J:J,1,0)</f>
        <v>Manish kelker</v>
      </c>
      <c r="J19" s="205" t="s">
        <v>429</v>
      </c>
      <c r="K19" s="201" t="str">
        <f aca="false">VLOOKUP(J19,M:M,1,0)</f>
        <v>Farhan Dubash </v>
      </c>
      <c r="M19" s="209" t="s">
        <v>159</v>
      </c>
      <c r="N19" s="201" t="str">
        <f aca="false">VLOOKUP(M19,P:P,1,0)</f>
        <v>Vutts &amp; Associates LLP</v>
      </c>
      <c r="P19" s="207" t="s">
        <v>162</v>
      </c>
      <c r="Q19" s="201" t="str">
        <f aca="false">VLOOKUP(P19,S:S,1,0)</f>
        <v>Darius J. Khambata</v>
      </c>
      <c r="S19" s="207" t="s">
        <v>181</v>
      </c>
      <c r="T19" s="201" t="str">
        <f aca="false">VLOOKUP(S19,U:U,1,0)</f>
        <v>Dewani Associates</v>
      </c>
      <c r="U19" s="128" t="s">
        <v>205</v>
      </c>
      <c r="V19" s="201" t="e">
        <f aca="false">VLOOKUP(U19,X:X,1,0)</f>
        <v>#N/A</v>
      </c>
      <c r="X19" s="210" t="s">
        <v>236</v>
      </c>
      <c r="Y19" s="201" t="str">
        <f aca="false">VLOOKUP(X19,AA:AA,1,0)</f>
        <v>Argus Partners</v>
      </c>
      <c r="AA19" s="128" t="s">
        <v>219</v>
      </c>
      <c r="AB19" s="201" t="str">
        <f aca="false">VLOOKUP(AA19,AD:AD,1,0)</f>
        <v>Gunjan Mangla</v>
      </c>
      <c r="AD19" s="201" t="s">
        <v>219</v>
      </c>
      <c r="AE19" s="201" t="str">
        <f aca="false">VLOOKUP(AD19,AA:AA,1,0)</f>
        <v>Gunjan Mangla</v>
      </c>
    </row>
    <row r="20" customFormat="false" ht="13.5" hidden="false" customHeight="false" outlineLevel="0" collapsed="false">
      <c r="D20" s="207" t="s">
        <v>473</v>
      </c>
      <c r="E20" s="201" t="str">
        <f aca="false">VLOOKUP(D20,G:G,1,0)</f>
        <v>Gourab Banerji</v>
      </c>
      <c r="G20" s="207" t="s">
        <v>483</v>
      </c>
      <c r="H20" s="201" t="str">
        <f aca="false">VLOOKUP(G20,J:J,1,0)</f>
        <v>Monalisa Kosaria</v>
      </c>
      <c r="J20" s="207" t="s">
        <v>423</v>
      </c>
      <c r="K20" s="201" t="str">
        <f aca="false">VLOOKUP(J20,M:M,1,0)</f>
        <v>Federal &amp; Company</v>
      </c>
      <c r="M20" s="207" t="s">
        <v>162</v>
      </c>
      <c r="N20" s="201" t="str">
        <f aca="false">VLOOKUP(M20,P:P,1,0)</f>
        <v>Darius J. Khambata</v>
      </c>
      <c r="P20" s="207" t="s">
        <v>164</v>
      </c>
      <c r="Q20" s="201" t="str">
        <f aca="false">VLOOKUP(P20,S:S,1,0)</f>
        <v>Miglani Varma &amp; Co.</v>
      </c>
      <c r="S20" s="207" t="s">
        <v>184</v>
      </c>
      <c r="T20" s="201" t="str">
        <f aca="false">VLOOKUP(S20,U:U,1,0)</f>
        <v>R. Vishnu Kumar, Advocate</v>
      </c>
      <c r="U20" s="128" t="s">
        <v>207</v>
      </c>
      <c r="V20" s="201" t="str">
        <f aca="false">VLOOKUP(U20,X:X,1,0)</f>
        <v>Justice (Retd.) Kurian Joseph</v>
      </c>
      <c r="X20" s="159" t="s">
        <v>610</v>
      </c>
      <c r="Y20" s="201" t="str">
        <f aca="false">VLOOKUP(X20,AA:AA,1,0)</f>
        <v>Arpit Gupta</v>
      </c>
      <c r="AA20" s="128" t="s">
        <v>221</v>
      </c>
      <c r="AB20" s="201" t="str">
        <f aca="false">VLOOKUP(AA20,AD:AD,1,0)</f>
        <v>Zulfiqar Jariwala</v>
      </c>
      <c r="AD20" s="201" t="s">
        <v>221</v>
      </c>
      <c r="AE20" s="201" t="str">
        <f aca="false">VLOOKUP(AD20,AA:AA,1,0)</f>
        <v>Zulfiqar Jariwala</v>
      </c>
    </row>
    <row r="21" customFormat="false" ht="31.3" hidden="false" customHeight="false" outlineLevel="0" collapsed="false">
      <c r="D21" s="205" t="s">
        <v>383</v>
      </c>
      <c r="E21" s="201" t="str">
        <f aca="false">VLOOKUP(D21,G:G,1,0)</f>
        <v>Keystone Partners</v>
      </c>
      <c r="G21" s="205" t="s">
        <v>455</v>
      </c>
      <c r="H21" s="201" t="str">
        <f aca="false">VLOOKUP(G21,J:J,1,0)</f>
        <v>Mr. Jehangir Jejeebhoy</v>
      </c>
      <c r="J21" s="209" t="s">
        <v>468</v>
      </c>
      <c r="K21" s="201" t="str">
        <f aca="false">VLOOKUP(J21,M:M,1,0)</f>
        <v>GM Legal</v>
      </c>
      <c r="M21" s="207" t="s">
        <v>164</v>
      </c>
      <c r="N21" s="201" t="str">
        <f aca="false">VLOOKUP(M21,P:P,1,0)</f>
        <v>Miglani Varma &amp; Co.</v>
      </c>
      <c r="P21" s="207" t="s">
        <v>166</v>
      </c>
      <c r="Q21" s="201" t="e">
        <f aca="false">VLOOKUP(P21,S:S,1,0)</f>
        <v>#N/A</v>
      </c>
      <c r="S21" s="207" t="s">
        <v>191</v>
      </c>
      <c r="T21" s="201" t="str">
        <f aca="false">VLOOKUP(S21,U:U,1,0)</f>
        <v>NC Legal</v>
      </c>
      <c r="U21" s="159" t="s">
        <v>209</v>
      </c>
      <c r="V21" s="204" t="str">
        <f aca="false">VLOOKUP(U21,X:X,1,0)</f>
        <v>SINHA &amp; COMPANY
</v>
      </c>
      <c r="X21" s="159" t="s">
        <v>318</v>
      </c>
      <c r="Y21" s="201" t="str">
        <f aca="false">VLOOKUP(X21,AA:AA,1,0)</f>
        <v>Asahi Legal LLP</v>
      </c>
      <c r="AA21" s="128" t="s">
        <v>223</v>
      </c>
      <c r="AB21" s="201" t="str">
        <f aca="false">VLOOKUP(AA21,AD:AD,1,0)</f>
        <v>Manjari Shah</v>
      </c>
      <c r="AD21" s="201" t="s">
        <v>223</v>
      </c>
      <c r="AE21" s="201" t="str">
        <f aca="false">VLOOKUP(AD21,AA:AA,1,0)</f>
        <v>Manjari Shah</v>
      </c>
    </row>
    <row r="22" customFormat="false" ht="13.5" hidden="false" customHeight="false" outlineLevel="0" collapsed="false">
      <c r="D22" s="212" t="s">
        <v>431</v>
      </c>
      <c r="E22" s="201" t="str">
        <f aca="false">VLOOKUP(D22,G:G,1,0)</f>
        <v>Mustafa S Doctor</v>
      </c>
      <c r="G22" s="205" t="s">
        <v>431</v>
      </c>
      <c r="H22" s="201" t="str">
        <f aca="false">VLOOKUP(G22,J:J,1,0)</f>
        <v>Mustafa S Doctor</v>
      </c>
      <c r="J22" s="205" t="s">
        <v>410</v>
      </c>
      <c r="K22" s="201" t="str">
        <f aca="false">VLOOKUP(J22,M:M,1,0)</f>
        <v>Gourab Banreji</v>
      </c>
      <c r="M22" s="205" t="s">
        <v>166</v>
      </c>
      <c r="N22" s="201" t="str">
        <f aca="false">VLOOKUP(M22,P:P,1,0)</f>
        <v>Venkatesh Mohanraj</v>
      </c>
      <c r="P22" s="207" t="s">
        <v>168</v>
      </c>
      <c r="Q22" s="201" t="e">
        <f aca="false">VLOOKUP(P22,S:S,1,0)</f>
        <v>#N/A</v>
      </c>
      <c r="S22" s="207" t="s">
        <v>197</v>
      </c>
      <c r="T22" s="201" t="str">
        <f aca="false">VLOOKUP(S22,U:U,1,0)</f>
        <v>RPV LEGAL</v>
      </c>
      <c r="U22" s="128" t="s">
        <v>211</v>
      </c>
      <c r="V22" s="201" t="str">
        <f aca="false">VLOOKUP(U22,X:X,1,0)</f>
        <v>Darshit Jain</v>
      </c>
      <c r="X22" s="159" t="s">
        <v>679</v>
      </c>
      <c r="Y22" s="201" t="str">
        <f aca="false">VLOOKUP(X22,AA:AA,1,0)</f>
        <v>ASV Legal LLP</v>
      </c>
      <c r="AA22" s="128" t="s">
        <v>225</v>
      </c>
      <c r="AB22" s="201" t="str">
        <f aca="false">VLOOKUP(AA22,AD:AD,1,0)</f>
        <v>Sagar Sheth</v>
      </c>
      <c r="AD22" s="201" t="s">
        <v>225</v>
      </c>
      <c r="AE22" s="201" t="str">
        <f aca="false">VLOOKUP(AD22,AA:AA,1,0)</f>
        <v>Sagar Sheth</v>
      </c>
    </row>
    <row r="23" customFormat="false" ht="13.5" hidden="false" customHeight="false" outlineLevel="0" collapsed="false">
      <c r="D23" s="213" t="s">
        <v>439</v>
      </c>
      <c r="E23" s="201" t="str">
        <f aca="false">VLOOKUP(D23,G:G,1,0)</f>
        <v>Aditya Sikka / Tvashta Law</v>
      </c>
      <c r="G23" s="209" t="s">
        <v>414</v>
      </c>
      <c r="H23" s="201" t="str">
        <f aca="false">VLOOKUP(G23,J:J,1,0)</f>
        <v>MV Law Partners</v>
      </c>
      <c r="J23" s="209" t="s">
        <v>152</v>
      </c>
      <c r="K23" s="201" t="str">
        <f aca="false">VLOOKUP(J23,M:M,1,0)</f>
        <v>Harshit Malik</v>
      </c>
      <c r="M23" s="207" t="s">
        <v>168</v>
      </c>
      <c r="N23" s="201" t="str">
        <f aca="false">VLOOKUP(M23,P:P,1,0)</f>
        <v>Jade Lex Partners</v>
      </c>
      <c r="P23" s="207" t="s">
        <v>170</v>
      </c>
      <c r="Q23" s="201" t="e">
        <f aca="false">VLOOKUP(P23,S:S,1,0)</f>
        <v>#N/A</v>
      </c>
      <c r="S23" s="207" t="s">
        <v>199</v>
      </c>
      <c r="T23" s="201" t="str">
        <f aca="false">VLOOKUP(S23,U:U,1,0)</f>
        <v>AP &amp; Partners, Advocates</v>
      </c>
      <c r="U23" s="128" t="s">
        <v>213</v>
      </c>
      <c r="V23" s="201" t="str">
        <f aca="false">VLOOKUP(U23,X:X,1,0)</f>
        <v>Sagar Ghogre</v>
      </c>
      <c r="X23" s="159" t="s">
        <v>575</v>
      </c>
      <c r="Y23" s="201" t="str">
        <f aca="false">VLOOKUP(X23,AA:AA,1,0)</f>
        <v>Aurtus Consulting LLP</v>
      </c>
      <c r="AA23" s="128" t="s">
        <v>227</v>
      </c>
      <c r="AB23" s="201" t="str">
        <f aca="false">VLOOKUP(AA23,AD:AD,1,0)</f>
        <v>Mahek Bookwala</v>
      </c>
      <c r="AD23" s="201" t="s">
        <v>227</v>
      </c>
      <c r="AE23" s="201" t="str">
        <f aca="false">VLOOKUP(AD23,AA:AA,1,0)</f>
        <v>Mahek Bookwala</v>
      </c>
    </row>
    <row r="24" customFormat="false" ht="13.5" hidden="false" customHeight="false" outlineLevel="0" collapsed="false">
      <c r="D24" s="212" t="s">
        <v>506</v>
      </c>
      <c r="E24" s="201" t="str">
        <f aca="false">VLOOKUP(D24,G:G,1,0)</f>
        <v>Victoram Legal / Mr. Sajal Awasthi</v>
      </c>
      <c r="G24" s="205" t="s">
        <v>341</v>
      </c>
      <c r="H24" s="201" t="str">
        <f aca="false">VLOOKUP(G24,J:J,1,0)</f>
        <v>MZM Legal LLP</v>
      </c>
      <c r="J24" s="207" t="s">
        <v>408</v>
      </c>
      <c r="K24" s="201" t="str">
        <f aca="false">VLOOKUP(J24,M:M,1,0)</f>
        <v>Innovatus Law</v>
      </c>
      <c r="M24" s="207" t="s">
        <v>170</v>
      </c>
      <c r="N24" s="201" t="str">
        <f aca="false">VLOOKUP(M24,P:P,1,0)</f>
        <v>Alankrit Bajpai</v>
      </c>
      <c r="P24" s="207" t="s">
        <v>172</v>
      </c>
      <c r="Q24" s="201" t="e">
        <f aca="false">VLOOKUP(P24,S:S,1,0)</f>
        <v>#N/A</v>
      </c>
      <c r="S24" s="207" t="s">
        <v>205</v>
      </c>
      <c r="T24" s="201" t="str">
        <f aca="false">VLOOKUP(S24,U:U,1,0)</f>
        <v>Bathiya Legal</v>
      </c>
      <c r="U24" s="128" t="s">
        <v>215</v>
      </c>
      <c r="V24" s="201" t="str">
        <f aca="false">VLOOKUP(U24,X:X,1,0)</f>
        <v>Chetan shah</v>
      </c>
      <c r="X24" s="210" t="s">
        <v>755</v>
      </c>
      <c r="Y24" s="201" t="str">
        <f aca="false">VLOOKUP(X24,AA:AA,1,0)</f>
        <v>Bharat Chugh</v>
      </c>
      <c r="AA24" s="128" t="s">
        <v>238</v>
      </c>
      <c r="AB24" s="201" t="str">
        <f aca="false">VLOOKUP(AA24,AD:AD,1,0)</f>
        <v>Pratik Patnaik</v>
      </c>
      <c r="AD24" s="201" t="s">
        <v>230</v>
      </c>
      <c r="AE24" s="201" t="e">
        <f aca="false">VLOOKUP(AD24,AA:AA,1,0)</f>
        <v>#N/A</v>
      </c>
    </row>
    <row r="25" customFormat="false" ht="13.5" hidden="false" customHeight="false" outlineLevel="0" collapsed="false">
      <c r="D25" s="214" t="s">
        <v>416</v>
      </c>
      <c r="E25" s="201" t="str">
        <f aca="false">VLOOKUP(D25,G:G,1,0)</f>
        <v>Ratan Kumar Singh</v>
      </c>
      <c r="G25" s="205" t="s">
        <v>434</v>
      </c>
      <c r="H25" s="201" t="str">
        <f aca="false">VLOOKUP(G25,J:J,1,0)</f>
        <v>Naushad Engineer</v>
      </c>
      <c r="J25" s="207" t="s">
        <v>442</v>
      </c>
      <c r="K25" s="201" t="str">
        <f aca="false">VLOOKUP(J25,M:M,1,0)</f>
        <v>Ish Jain / Regius Partners LLP</v>
      </c>
      <c r="M25" s="207" t="s">
        <v>172</v>
      </c>
      <c r="N25" s="201" t="str">
        <f aca="false">VLOOKUP(M25,P:P,1,0)</f>
        <v>Badar Durrez</v>
      </c>
      <c r="P25" s="207" t="s">
        <v>174</v>
      </c>
      <c r="Q25" s="201" t="str">
        <f aca="false">VLOOKUP(P25,S:S,1,0)</f>
        <v>Rashmikant and Partners</v>
      </c>
      <c r="S25" s="207" t="s">
        <v>207</v>
      </c>
      <c r="T25" s="201" t="str">
        <f aca="false">VLOOKUP(S25,U:U,1,0)</f>
        <v>Justice (Retd.) Kurian Joseph</v>
      </c>
      <c r="U25" s="128" t="s">
        <v>217</v>
      </c>
      <c r="V25" s="201" t="str">
        <f aca="false">VLOOKUP(U25,X:X,1,0)</f>
        <v>Sneha Phene</v>
      </c>
      <c r="X25" s="159" t="s">
        <v>516</v>
      </c>
      <c r="Y25" s="201" t="str">
        <f aca="false">VLOOKUP(X25,AA:AA,1,0)</f>
        <v>Birendra Saraf</v>
      </c>
      <c r="AA25" s="128" t="s">
        <v>241</v>
      </c>
      <c r="AB25" s="201" t="str">
        <f aca="false">VLOOKUP(AA25,AD:AD,1,0)</f>
        <v>Saswat Mohanty</v>
      </c>
      <c r="AD25" s="201" t="s">
        <v>238</v>
      </c>
      <c r="AE25" s="201" t="str">
        <f aca="false">VLOOKUP(AD25,AA:AA,1,0)</f>
        <v>Pratik Patnaik</v>
      </c>
    </row>
    <row r="26" customFormat="false" ht="31.3" hidden="false" customHeight="false" outlineLevel="0" collapsed="false">
      <c r="D26" s="213" t="s">
        <v>481</v>
      </c>
      <c r="E26" s="201" t="str">
        <f aca="false">VLOOKUP(D26,G:G,1,0)</f>
        <v>ANG</v>
      </c>
      <c r="G26" s="205" t="s">
        <v>462</v>
      </c>
      <c r="H26" s="201" t="str">
        <f aca="false">VLOOKUP(G26,J:J,1,0)</f>
        <v>Office of ASG (N. Venkatraman)</v>
      </c>
      <c r="J26" s="207" t="s">
        <v>388</v>
      </c>
      <c r="K26" s="201" t="str">
        <f aca="false">VLOOKUP(J26,M:M,1,0)</f>
        <v>Justice (Retd.) AK Sikri</v>
      </c>
      <c r="M26" s="207" t="s">
        <v>174</v>
      </c>
      <c r="N26" s="201" t="str">
        <f aca="false">VLOOKUP(M26,P:P,1,0)</f>
        <v>Rashmikant and Partners</v>
      </c>
      <c r="P26" s="207" t="s">
        <v>177</v>
      </c>
      <c r="Q26" s="201" t="str">
        <f aca="false">VLOOKUP(P26,S:S,1,0)</f>
        <v>TLH, Advocates &amp; Solicitors</v>
      </c>
      <c r="S26" s="206" t="s">
        <v>209</v>
      </c>
      <c r="T26" s="204" t="str">
        <f aca="false">VLOOKUP(S26,U:U,1,0)</f>
        <v>SINHA &amp; COMPANY
</v>
      </c>
      <c r="U26" s="128" t="s">
        <v>219</v>
      </c>
      <c r="V26" s="201" t="str">
        <f aca="false">VLOOKUP(U26,X:X,1,0)</f>
        <v>Gunjan Mangla</v>
      </c>
      <c r="X26" s="159" t="s">
        <v>636</v>
      </c>
      <c r="Y26" s="201" t="str">
        <f aca="false">VLOOKUP(X26,AA:AA,1,0)</f>
        <v>Bishwajit Dubey</v>
      </c>
      <c r="AA26" s="128" t="s">
        <v>243</v>
      </c>
      <c r="AB26" s="201" t="str">
        <f aca="false">VLOOKUP(AA26,AD:AD,1,0)</f>
        <v>Chambers of Aman Vachher</v>
      </c>
      <c r="AD26" s="201" t="s">
        <v>241</v>
      </c>
      <c r="AE26" s="201" t="str">
        <f aca="false">VLOOKUP(AD26,AA:AA,1,0)</f>
        <v>Saswat Mohanty</v>
      </c>
    </row>
    <row r="27" customFormat="false" ht="35.05" hidden="false" customHeight="false" outlineLevel="0" collapsed="false">
      <c r="D27" s="203" t="s">
        <v>445</v>
      </c>
      <c r="E27" s="204" t="str">
        <f aca="false">VLOOKUP(D27,G:G,1,0)</f>
        <v>
The Guild | Advocates &amp; Associate Counsel</v>
      </c>
      <c r="G27" s="205" t="s">
        <v>386</v>
      </c>
      <c r="H27" s="201" t="str">
        <f aca="false">VLOOKUP(G27,J:J,1,0)</f>
        <v>Prompt Legal (Shared by Jayanth)</v>
      </c>
      <c r="J27" s="209" t="s">
        <v>207</v>
      </c>
      <c r="K27" s="201" t="str">
        <f aca="false">VLOOKUP(J27,M:M,1,0)</f>
        <v>Justice (Retd.) Kurian Joseph</v>
      </c>
      <c r="M27" s="207" t="s">
        <v>177</v>
      </c>
      <c r="N27" s="201" t="str">
        <f aca="false">VLOOKUP(M27,P:P,1,0)</f>
        <v>TLH, Advocates &amp; Solicitors</v>
      </c>
      <c r="P27" s="205" t="s">
        <v>179</v>
      </c>
      <c r="Q27" s="201" t="str">
        <f aca="false">VLOOKUP(P27,S:S,1,0)</f>
        <v>Shreeyash Lalit</v>
      </c>
      <c r="S27" s="207" t="s">
        <v>211</v>
      </c>
      <c r="T27" s="201" t="str">
        <f aca="false">VLOOKUP(S27,U:U,1,0)</f>
        <v>Darshit Jain</v>
      </c>
      <c r="U27" s="128" t="s">
        <v>221</v>
      </c>
      <c r="V27" s="201" t="str">
        <f aca="false">VLOOKUP(U27,X:X,1,0)</f>
        <v>Zulfiqar Jariwala</v>
      </c>
      <c r="X27" s="210" t="s">
        <v>713</v>
      </c>
      <c r="Y27" s="201" t="str">
        <f aca="false">VLOOKUP(X27,AA:AA,1,0)</f>
        <v>Brijesh Oberoi</v>
      </c>
      <c r="AA27" s="128" t="s">
        <v>245</v>
      </c>
      <c r="AB27" s="201" t="str">
        <f aca="false">VLOOKUP(AA27,AD:AD,1,0)</f>
        <v>SK Singhi and Partners</v>
      </c>
      <c r="AD27" s="201" t="s">
        <v>243</v>
      </c>
      <c r="AE27" s="201" t="str">
        <f aca="false">VLOOKUP(AD27,AA:AA,1,0)</f>
        <v>Chambers of Aman Vachher</v>
      </c>
    </row>
    <row r="28" customFormat="false" ht="13.8" hidden="false" customHeight="false" outlineLevel="0" collapsed="false">
      <c r="D28" s="212" t="s">
        <v>460</v>
      </c>
      <c r="E28" s="201" t="str">
        <f aca="false">VLOOKUP(D28,G:G,1,0)</f>
        <v>Dipankar Majumdar</v>
      </c>
      <c r="G28" s="209" t="s">
        <v>416</v>
      </c>
      <c r="H28" s="201" t="str">
        <f aca="false">VLOOKUP(G28,J:J,1,0)</f>
        <v>Ratan Kumar Singh</v>
      </c>
      <c r="J28" s="209" t="s">
        <v>383</v>
      </c>
      <c r="K28" s="201" t="str">
        <f aca="false">VLOOKUP(J28,M:M,1,0)</f>
        <v>Keystone Partners</v>
      </c>
      <c r="M28" s="207" t="s">
        <v>179</v>
      </c>
      <c r="N28" s="201" t="str">
        <f aca="false">VLOOKUP(M28,P:P,1,0)</f>
        <v>Shreeyash Lalit</v>
      </c>
      <c r="P28" s="207" t="s">
        <v>181</v>
      </c>
      <c r="Q28" s="201" t="str">
        <f aca="false">VLOOKUP(P28,S:S,1,0)</f>
        <v>Dewani Associates</v>
      </c>
      <c r="S28" s="207" t="s">
        <v>213</v>
      </c>
      <c r="T28" s="201" t="str">
        <f aca="false">VLOOKUP(S28,U:U,1,0)</f>
        <v>Sagar Ghogre</v>
      </c>
      <c r="U28" s="128" t="s">
        <v>223</v>
      </c>
      <c r="V28" s="201" t="str">
        <f aca="false">VLOOKUP(U28,X:X,1,0)</f>
        <v>Manjari Shah</v>
      </c>
      <c r="X28" s="159" t="s">
        <v>243</v>
      </c>
      <c r="Y28" s="201" t="str">
        <f aca="false">VLOOKUP(X28,AA:AA,1,0)</f>
        <v>Chambers of Aman Vachher</v>
      </c>
      <c r="AA28" s="128" t="s">
        <v>249</v>
      </c>
      <c r="AB28" s="201" t="str">
        <f aca="false">VLOOKUP(AA28,AD:AD,1,0)</f>
        <v>SKR &amp; associates</v>
      </c>
      <c r="AD28" s="201" t="s">
        <v>245</v>
      </c>
      <c r="AE28" s="201" t="str">
        <f aca="false">VLOOKUP(AD28,AA:AA,1,0)</f>
        <v>SK Singhi and Partners</v>
      </c>
    </row>
    <row r="29" customFormat="false" ht="13.8" hidden="false" customHeight="false" outlineLevel="0" collapsed="false">
      <c r="G29" s="205" t="s">
        <v>425</v>
      </c>
      <c r="H29" s="201" t="str">
        <f aca="false">VLOOKUP(G29,J:J,1,0)</f>
        <v>Sanjay Udeshi &amp; Co.</v>
      </c>
      <c r="J29" s="209" t="s">
        <v>278</v>
      </c>
      <c r="K29" s="201" t="str">
        <f aca="false">VLOOKUP(J29,M:M,1,0)</f>
        <v>Manish kelker</v>
      </c>
      <c r="M29" s="205" t="s">
        <v>181</v>
      </c>
      <c r="N29" s="201" t="str">
        <f aca="false">VLOOKUP(M29,P:P,1,0)</f>
        <v>Dewani Associates</v>
      </c>
      <c r="P29" s="207" t="s">
        <v>184</v>
      </c>
      <c r="Q29" s="201" t="str">
        <f aca="false">VLOOKUP(P29,S:S,1,0)</f>
        <v>R. Vishnu Kumar, Advocate</v>
      </c>
      <c r="S29" s="207" t="s">
        <v>215</v>
      </c>
      <c r="T29" s="201" t="str">
        <f aca="false">VLOOKUP(S29,U:U,1,0)</f>
        <v>Chetan shah</v>
      </c>
      <c r="U29" s="155" t="s">
        <v>225</v>
      </c>
      <c r="V29" s="201" t="str">
        <f aca="false">VLOOKUP(U29,X:X,1,0)</f>
        <v>Sagar Sheth</v>
      </c>
      <c r="X29" s="145" t="s">
        <v>397</v>
      </c>
      <c r="Y29" s="201" t="str">
        <f aca="false">VLOOKUP(X29,AA:AA,1,0)</f>
        <v>Chambers of Justice Mohit S Shah (Retd.), Former Chief Justice of Bombay and Calcutta High Court</v>
      </c>
      <c r="AA29" s="128" t="s">
        <v>252</v>
      </c>
      <c r="AB29" s="201" t="str">
        <f aca="false">VLOOKUP(AA29,AD:AD,1,0)</f>
        <v>Srivastava &amp; Company</v>
      </c>
      <c r="AD29" s="201" t="s">
        <v>249</v>
      </c>
      <c r="AE29" s="201" t="str">
        <f aca="false">VLOOKUP(AD29,AA:AA,1,0)</f>
        <v>SKR &amp; associates</v>
      </c>
    </row>
    <row r="30" customFormat="false" ht="13.8" hidden="false" customHeight="false" outlineLevel="0" collapsed="false">
      <c r="G30" s="207" t="s">
        <v>241</v>
      </c>
      <c r="H30" s="201" t="str">
        <f aca="false">VLOOKUP(G30,J:J,1,0)</f>
        <v>Saswat Mohanty</v>
      </c>
      <c r="J30" s="209" t="s">
        <v>451</v>
      </c>
      <c r="K30" s="201" t="str">
        <f aca="false">VLOOKUP(J30,M:M,1,0)</f>
        <v>Megha Chandra</v>
      </c>
      <c r="M30" s="207" t="s">
        <v>184</v>
      </c>
      <c r="N30" s="201" t="str">
        <f aca="false">VLOOKUP(M30,P:P,1,0)</f>
        <v>R. Vishnu Kumar, Advocate</v>
      </c>
      <c r="P30" s="207" t="s">
        <v>187</v>
      </c>
      <c r="Q30" s="201" t="e">
        <f aca="false">VLOOKUP(P30,S:S,1,0)</f>
        <v>#N/A</v>
      </c>
      <c r="S30" s="207" t="s">
        <v>217</v>
      </c>
      <c r="T30" s="201" t="str">
        <f aca="false">VLOOKUP(S30,U:U,1,0)</f>
        <v>Sneha Phene</v>
      </c>
      <c r="U30" s="128" t="s">
        <v>227</v>
      </c>
      <c r="V30" s="201" t="str">
        <f aca="false">VLOOKUP(U30,X:X,1,0)</f>
        <v>Mahek Bookwala</v>
      </c>
      <c r="X30" s="159" t="s">
        <v>320</v>
      </c>
      <c r="Y30" s="201" t="str">
        <f aca="false">VLOOKUP(X30,AA:AA,1,0)</f>
        <v>Chambers of Moazzam Khan</v>
      </c>
      <c r="AA30" s="128" t="s">
        <v>254</v>
      </c>
      <c r="AB30" s="201" t="str">
        <f aca="false">VLOOKUP(AA30,AD:AD,1,0)</f>
        <v>Piyush Raheja</v>
      </c>
      <c r="AD30" s="201" t="s">
        <v>252</v>
      </c>
      <c r="AE30" s="201" t="str">
        <f aca="false">VLOOKUP(AD30,AA:AA,1,0)</f>
        <v>Srivastava &amp; Company</v>
      </c>
    </row>
    <row r="31" customFormat="false" ht="13.8" hidden="false" customHeight="false" outlineLevel="0" collapsed="false">
      <c r="G31" s="205" t="s">
        <v>458</v>
      </c>
      <c r="H31" s="201" t="str">
        <f aca="false">VLOOKUP(G31,J:J,1,0)</f>
        <v>Shiraz Rustomjee</v>
      </c>
      <c r="J31" s="205" t="s">
        <v>483</v>
      </c>
      <c r="K31" s="201" t="str">
        <f aca="false">VLOOKUP(J31,M:M,1,0)</f>
        <v>Monalisa Kosaria</v>
      </c>
      <c r="M31" s="209" t="s">
        <v>187</v>
      </c>
      <c r="N31" s="201" t="str">
        <f aca="false">VLOOKUP(M31,P:P,1,0)</f>
        <v>Yash Momaya</v>
      </c>
      <c r="P31" s="209" t="s">
        <v>189</v>
      </c>
      <c r="Q31" s="201" t="str">
        <f aca="false">VLOOKUP(P31,S:S,1,0)</f>
        <v>Chetan Dedhia</v>
      </c>
      <c r="S31" s="205" t="s">
        <v>219</v>
      </c>
      <c r="T31" s="201" t="str">
        <f aca="false">VLOOKUP(S31,U:U,1,0)</f>
        <v>Gunjan Mangla</v>
      </c>
      <c r="U31" s="128" t="s">
        <v>230</v>
      </c>
      <c r="V31" s="201" t="str">
        <f aca="false">VLOOKUP(U31,X:X,1,0)</f>
        <v>Pradeep Sancheti</v>
      </c>
      <c r="X31" s="159" t="s">
        <v>299</v>
      </c>
      <c r="Y31" s="201" t="str">
        <f aca="false">VLOOKUP(X31,AA:AA,1,0)</f>
        <v>Chambers of Ninad Laud</v>
      </c>
      <c r="AA31" s="128" t="s">
        <v>256</v>
      </c>
      <c r="AB31" s="201" t="str">
        <f aca="false">VLOOKUP(AA31,AD:AD,1,0)</f>
        <v>⁠Feroze Patel</v>
      </c>
      <c r="AD31" s="201" t="s">
        <v>254</v>
      </c>
      <c r="AE31" s="201" t="str">
        <f aca="false">VLOOKUP(AD31,AA:AA,1,0)</f>
        <v>Piyush Raheja</v>
      </c>
    </row>
    <row r="32" customFormat="false" ht="13.8" hidden="false" customHeight="false" outlineLevel="0" collapsed="false">
      <c r="G32" s="205" t="s">
        <v>436</v>
      </c>
      <c r="H32" s="201" t="str">
        <f aca="false">VLOOKUP(G32,J:J,1,0)</f>
        <v>Shyam Kapadia</v>
      </c>
      <c r="J32" s="207" t="s">
        <v>488</v>
      </c>
      <c r="K32" s="201" t="str">
        <f aca="false">VLOOKUP(J32,M:M,1,0)</f>
        <v>Mr Sudhanshu Kumar</v>
      </c>
      <c r="M32" s="205" t="s">
        <v>189</v>
      </c>
      <c r="N32" s="201" t="str">
        <f aca="false">VLOOKUP(M32,P:P,1,0)</f>
        <v>Chetan Dedhia</v>
      </c>
      <c r="P32" s="205" t="s">
        <v>191</v>
      </c>
      <c r="Q32" s="201" t="str">
        <f aca="false">VLOOKUP(P32,S:S,1,0)</f>
        <v>NC Legal</v>
      </c>
      <c r="S32" s="207" t="s">
        <v>221</v>
      </c>
      <c r="T32" s="201" t="str">
        <f aca="false">VLOOKUP(S32,U:U,1,0)</f>
        <v>Zulfiqar Jariwala</v>
      </c>
      <c r="U32" s="128" t="s">
        <v>232</v>
      </c>
      <c r="V32" s="201" t="str">
        <f aca="false">VLOOKUP(U32,X:X,1,0)</f>
        <v>AHUJA VALECHA &amp; ASSOCIATES LLP</v>
      </c>
      <c r="X32" s="159" t="s">
        <v>189</v>
      </c>
      <c r="Y32" s="201" t="str">
        <f aca="false">VLOOKUP(X32,AA:AA,1,0)</f>
        <v>Chetan Dedhia</v>
      </c>
      <c r="AA32" s="128" t="s">
        <v>258</v>
      </c>
      <c r="AB32" s="201" t="str">
        <f aca="false">VLOOKUP(AA32,AD:AD,1,0)</f>
        <v>Kazan Shroff</v>
      </c>
      <c r="AD32" s="201" t="s">
        <v>256</v>
      </c>
      <c r="AE32" s="201" t="str">
        <f aca="false">VLOOKUP(AD32,AA:AA,1,0)</f>
        <v>⁠Feroze Patel</v>
      </c>
    </row>
    <row r="33" customFormat="false" ht="13.8" hidden="false" customHeight="false" outlineLevel="0" collapsed="false">
      <c r="G33" s="207" t="s">
        <v>284</v>
      </c>
      <c r="H33" s="201" t="str">
        <f aca="false">VLOOKUP(G33,J:J,1,0)</f>
        <v>SRCO Legal / Salvador Raghav &amp; Co.</v>
      </c>
      <c r="J33" s="209" t="s">
        <v>455</v>
      </c>
      <c r="K33" s="201" t="str">
        <f aca="false">VLOOKUP(J33,M:M,1,0)</f>
        <v>Mr. Jehangir Jejeebhoy</v>
      </c>
      <c r="M33" s="207" t="s">
        <v>193</v>
      </c>
      <c r="N33" s="201" t="str">
        <f aca="false">VLOOKUP(M33,P:P,1,0)</f>
        <v>Aakash Sharma</v>
      </c>
      <c r="P33" s="207" t="s">
        <v>193</v>
      </c>
      <c r="Q33" s="201" t="e">
        <f aca="false">VLOOKUP(P33,S:S,1,0)</f>
        <v>#N/A</v>
      </c>
      <c r="S33" s="207" t="s">
        <v>223</v>
      </c>
      <c r="T33" s="201" t="str">
        <f aca="false">VLOOKUP(S33,U:U,1,0)</f>
        <v>Manjari Shah</v>
      </c>
      <c r="U33" s="128" t="s">
        <v>234</v>
      </c>
      <c r="V33" s="201" t="str">
        <f aca="false">VLOOKUP(U33,X:X,1,0)</f>
        <v>ICL CORPORATE ADVISORY PRIVATE LIMITED</v>
      </c>
      <c r="X33" s="159" t="s">
        <v>215</v>
      </c>
      <c r="Y33" s="201" t="str">
        <f aca="false">VLOOKUP(X33,AA:AA,1,0)</f>
        <v>Chetan shah</v>
      </c>
      <c r="AA33" s="128" t="s">
        <v>260</v>
      </c>
      <c r="AB33" s="201" t="str">
        <f aca="false">VLOOKUP(AA33,AD:AD,1,0)</f>
        <v>Kajol Punjabi</v>
      </c>
      <c r="AD33" s="201" t="s">
        <v>258</v>
      </c>
      <c r="AE33" s="201" t="str">
        <f aca="false">VLOOKUP(AD33,AA:AA,1,0)</f>
        <v>Kazan Shroff</v>
      </c>
    </row>
    <row r="34" customFormat="false" ht="13.8" hidden="false" customHeight="false" outlineLevel="0" collapsed="false">
      <c r="G34" s="207" t="s">
        <v>149</v>
      </c>
      <c r="H34" s="201" t="str">
        <f aca="false">VLOOKUP(G34,J:J,1,0)</f>
        <v>Venkatesh Dhond</v>
      </c>
      <c r="J34" s="207" t="s">
        <v>431</v>
      </c>
      <c r="K34" s="201" t="str">
        <f aca="false">VLOOKUP(J34,M:M,1,0)</f>
        <v>Mustafa S Doctor</v>
      </c>
      <c r="M34" s="207" t="s">
        <v>195</v>
      </c>
      <c r="N34" s="201" t="str">
        <f aca="false">VLOOKUP(M34,P:P,1,0)</f>
        <v>Saga Legal</v>
      </c>
      <c r="P34" s="207" t="s">
        <v>195</v>
      </c>
      <c r="Q34" s="201" t="e">
        <f aca="false">VLOOKUP(P34,S:S,1,0)</f>
        <v>#N/A</v>
      </c>
      <c r="S34" s="207" t="s">
        <v>225</v>
      </c>
      <c r="T34" s="201" t="str">
        <f aca="false">VLOOKUP(S34,U:U,1,0)</f>
        <v>Sagar Sheth</v>
      </c>
      <c r="U34" s="128" t="s">
        <v>238</v>
      </c>
      <c r="V34" s="201" t="str">
        <f aca="false">VLOOKUP(U34,X:X,1,0)</f>
        <v>Pratik Patnaik</v>
      </c>
      <c r="X34" s="210" t="s">
        <v>721</v>
      </c>
      <c r="Y34" s="201" t="str">
        <f aca="false">VLOOKUP(X34,AA:AA,1,0)</f>
        <v>Chirag shah, Advocate</v>
      </c>
      <c r="AA34" s="128" t="s">
        <v>262</v>
      </c>
      <c r="AB34" s="201" t="str">
        <f aca="false">VLOOKUP(AA34,AD:AD,1,0)</f>
        <v>Neeta Jain</v>
      </c>
      <c r="AD34" s="201" t="s">
        <v>260</v>
      </c>
      <c r="AE34" s="201" t="str">
        <f aca="false">VLOOKUP(AD34,AA:AA,1,0)</f>
        <v>Kajol Punjabi</v>
      </c>
    </row>
    <row r="35" customFormat="false" ht="13.8" hidden="false" customHeight="false" outlineLevel="0" collapsed="false">
      <c r="G35" s="207" t="s">
        <v>331</v>
      </c>
      <c r="H35" s="201" t="str">
        <f aca="false">VLOOKUP(G35,J:J,1,0)</f>
        <v>Vesta Legal</v>
      </c>
      <c r="J35" s="207" t="s">
        <v>414</v>
      </c>
      <c r="K35" s="201" t="str">
        <f aca="false">VLOOKUP(J35,M:M,1,0)</f>
        <v>MV Law Partners</v>
      </c>
      <c r="M35" s="209" t="s">
        <v>197</v>
      </c>
      <c r="N35" s="201" t="str">
        <f aca="false">VLOOKUP(M35,P:P,1,0)</f>
        <v>RPV LEGAL</v>
      </c>
      <c r="P35" s="207" t="s">
        <v>197</v>
      </c>
      <c r="Q35" s="201" t="str">
        <f aca="false">VLOOKUP(P35,S:S,1,0)</f>
        <v>RPV LEGAL</v>
      </c>
      <c r="S35" s="207" t="s">
        <v>227</v>
      </c>
      <c r="T35" s="201" t="str">
        <f aca="false">VLOOKUP(S35,U:U,1,0)</f>
        <v>Mahek Bookwala</v>
      </c>
      <c r="U35" s="128" t="s">
        <v>241</v>
      </c>
      <c r="V35" s="201" t="str">
        <f aca="false">VLOOKUP(U35,X:X,1,0)</f>
        <v>Saswat Mohanty</v>
      </c>
      <c r="X35" s="159" t="s">
        <v>687</v>
      </c>
      <c r="Y35" s="201" t="str">
        <f aca="false">VLOOKUP(X35,AA:AA,1,0)</f>
        <v>Clavius Legal</v>
      </c>
      <c r="AA35" s="128" t="s">
        <v>264</v>
      </c>
      <c r="AB35" s="201" t="str">
        <f aca="false">VLOOKUP(AA35,AD:AD,1,0)</f>
        <v>Amrut Joshi</v>
      </c>
      <c r="AD35" s="201" t="s">
        <v>262</v>
      </c>
      <c r="AE35" s="201" t="str">
        <f aca="false">VLOOKUP(AD35,AA:AA,1,0)</f>
        <v>Neeta Jain</v>
      </c>
    </row>
    <row r="36" customFormat="false" ht="13.8" hidden="false" customHeight="false" outlineLevel="0" collapsed="false">
      <c r="G36" s="205" t="s">
        <v>506</v>
      </c>
      <c r="H36" s="201" t="str">
        <f aca="false">VLOOKUP(G36,J:J,1,0)</f>
        <v>Victoram Legal / Mr. Sajal Awasthi</v>
      </c>
      <c r="J36" s="205" t="s">
        <v>341</v>
      </c>
      <c r="K36" s="201" t="str">
        <f aca="false">VLOOKUP(J36,M:M,1,0)</f>
        <v>MZM Legal LLP</v>
      </c>
      <c r="M36" s="207" t="s">
        <v>199</v>
      </c>
      <c r="N36" s="201" t="str">
        <f aca="false">VLOOKUP(M36,P:P,1,0)</f>
        <v>AP &amp; Partners, Advocates</v>
      </c>
      <c r="P36" s="207" t="s">
        <v>199</v>
      </c>
      <c r="Q36" s="201" t="str">
        <f aca="false">VLOOKUP(P36,S:S,1,0)</f>
        <v>AP &amp; Partners, Advocates</v>
      </c>
      <c r="S36" s="209" t="s">
        <v>230</v>
      </c>
      <c r="T36" s="201" t="str">
        <f aca="false">VLOOKUP(S36,U:U,1,0)</f>
        <v>Pradeep Sancheti</v>
      </c>
      <c r="U36" s="128" t="s">
        <v>243</v>
      </c>
      <c r="V36" s="201" t="str">
        <f aca="false">VLOOKUP(U36,X:X,1,0)</f>
        <v>Chambers of Aman Vachher</v>
      </c>
      <c r="X36" s="159" t="s">
        <v>162</v>
      </c>
      <c r="Y36" s="201" t="str">
        <f aca="false">VLOOKUP(X36,AA:AA,1,0)</f>
        <v>Darius J. Khambata</v>
      </c>
      <c r="AA36" s="128" t="s">
        <v>267</v>
      </c>
      <c r="AB36" s="201" t="str">
        <f aca="false">VLOOKUP(AA36,AD:AD,1,0)</f>
        <v>Gaurav Joshi</v>
      </c>
      <c r="AD36" s="201" t="s">
        <v>264</v>
      </c>
      <c r="AE36" s="201" t="str">
        <f aca="false">VLOOKUP(AD36,AA:AA,1,0)</f>
        <v>Amrut Joshi</v>
      </c>
    </row>
    <row r="37" customFormat="false" ht="13.8" hidden="false" customHeight="false" outlineLevel="0" collapsed="false">
      <c r="J37" s="205" t="s">
        <v>434</v>
      </c>
      <c r="K37" s="201" t="str">
        <f aca="false">VLOOKUP(J37,M:M,1,0)</f>
        <v>Naushad Engineer</v>
      </c>
      <c r="M37" s="207" t="s">
        <v>201</v>
      </c>
      <c r="N37" s="201" t="str">
        <f aca="false">VLOOKUP(M37,P:P,1,0)</f>
        <v>Pranay Chitale</v>
      </c>
      <c r="P37" s="209" t="s">
        <v>201</v>
      </c>
      <c r="Q37" s="201" t="e">
        <f aca="false">VLOOKUP(P37,S:S,1,0)</f>
        <v>#N/A</v>
      </c>
      <c r="S37" s="205" t="s">
        <v>232</v>
      </c>
      <c r="T37" s="201" t="str">
        <f aca="false">VLOOKUP(S37,U:U,1,0)</f>
        <v>AHUJA VALECHA &amp; ASSOCIATES LLP</v>
      </c>
      <c r="U37" s="128" t="s">
        <v>245</v>
      </c>
      <c r="V37" s="201" t="str">
        <f aca="false">VLOOKUP(U37,X:X,1,0)</f>
        <v>SK Singhi and Partners</v>
      </c>
      <c r="X37" s="159" t="s">
        <v>211</v>
      </c>
      <c r="Y37" s="201" t="str">
        <f aca="false">VLOOKUP(X37,AA:AA,1,0)</f>
        <v>Darshit Jain</v>
      </c>
      <c r="AA37" s="128" t="s">
        <v>269</v>
      </c>
      <c r="AB37" s="201" t="str">
        <f aca="false">VLOOKUP(AA37,AD:AD,1,0)</f>
        <v>Kamaljeet Singh</v>
      </c>
      <c r="AD37" s="201" t="s">
        <v>267</v>
      </c>
      <c r="AE37" s="201" t="str">
        <f aca="false">VLOOKUP(AD37,AA:AA,1,0)</f>
        <v>Gaurav Joshi</v>
      </c>
    </row>
    <row r="38" customFormat="false" ht="13.8" hidden="false" customHeight="false" outlineLevel="0" collapsed="false">
      <c r="J38" s="209" t="s">
        <v>492</v>
      </c>
      <c r="K38" s="201" t="str">
        <f aca="false">VLOOKUP(J38,M:M,1,0)</f>
        <v>NIKHIL DEELIP P</v>
      </c>
      <c r="M38" s="215" t="s">
        <v>203</v>
      </c>
      <c r="N38" s="201" t="str">
        <f aca="false">VLOOKUP(M38,P:P,1,0)</f>
        <v>Spark Legal</v>
      </c>
      <c r="P38" s="207" t="s">
        <v>203</v>
      </c>
      <c r="Q38" s="201" t="e">
        <f aca="false">VLOOKUP(P38,S:S,1,0)</f>
        <v>#N/A</v>
      </c>
      <c r="S38" s="207" t="s">
        <v>234</v>
      </c>
      <c r="T38" s="201" t="str">
        <f aca="false">VLOOKUP(S38,U:U,1,0)</f>
        <v>ICL CORPORATE ADVISORY PRIVATE LIMITED</v>
      </c>
      <c r="U38" s="128" t="s">
        <v>249</v>
      </c>
      <c r="V38" s="201" t="str">
        <f aca="false">VLOOKUP(U38,X:X,1,0)</f>
        <v>SKR &amp; associates</v>
      </c>
      <c r="X38" s="159" t="s">
        <v>362</v>
      </c>
      <c r="Y38" s="201" t="str">
        <f aca="false">VLOOKUP(X38,AA:AA,1,0)</f>
        <v>Daswani &amp; Daswani</v>
      </c>
      <c r="AA38" s="128" t="s">
        <v>278</v>
      </c>
      <c r="AB38" s="201" t="str">
        <f aca="false">VLOOKUP(AA38,AD:AD,1,0)</f>
        <v>Manish kelker</v>
      </c>
      <c r="AD38" s="201" t="s">
        <v>269</v>
      </c>
      <c r="AE38" s="201" t="str">
        <f aca="false">VLOOKUP(AD38,AA:AA,1,0)</f>
        <v>Kamaljeet Singh</v>
      </c>
    </row>
    <row r="39" customFormat="false" ht="13.8" hidden="false" customHeight="false" outlineLevel="0" collapsed="false">
      <c r="J39" s="207" t="s">
        <v>405</v>
      </c>
      <c r="K39" s="201" t="str">
        <f aca="false">VLOOKUP(J39,M:M,1,0)</f>
        <v>Nora Legal Consultants LLP</v>
      </c>
      <c r="M39" s="209" t="s">
        <v>205</v>
      </c>
      <c r="N39" s="201" t="str">
        <f aca="false">VLOOKUP(M39,P:P,1,0)</f>
        <v>Bathiya Legal</v>
      </c>
      <c r="P39" s="207" t="s">
        <v>205</v>
      </c>
      <c r="Q39" s="201" t="str">
        <f aca="false">VLOOKUP(P39,S:S,1,0)</f>
        <v>Bathiya Legal</v>
      </c>
      <c r="S39" s="207" t="s">
        <v>238</v>
      </c>
      <c r="T39" s="201" t="str">
        <f aca="false">VLOOKUP(S39,U:U,1,0)</f>
        <v>Pratik Patnaik</v>
      </c>
      <c r="U39" s="128" t="s">
        <v>252</v>
      </c>
      <c r="V39" s="201" t="str">
        <f aca="false">VLOOKUP(U39,X:X,1,0)</f>
        <v>Srivastava &amp; Company</v>
      </c>
      <c r="X39" s="159" t="s">
        <v>375</v>
      </c>
      <c r="Y39" s="201" t="e">
        <f aca="false">VLOOKUP(X39,AA:AA,1,0)</f>
        <v>#N/A</v>
      </c>
      <c r="AA39" s="128" t="s">
        <v>281</v>
      </c>
      <c r="AB39" s="201" t="str">
        <f aca="false">VLOOKUP(AA39,AD:AD,1,0)</f>
        <v>Diwan Law Associates</v>
      </c>
      <c r="AD39" s="201" t="s">
        <v>278</v>
      </c>
      <c r="AE39" s="201" t="str">
        <f aca="false">VLOOKUP(AD39,AA:AA,1,0)</f>
        <v>Manish kelker</v>
      </c>
    </row>
    <row r="40" customFormat="false" ht="13.8" hidden="false" customHeight="false" outlineLevel="0" collapsed="false">
      <c r="J40" s="205" t="s">
        <v>462</v>
      </c>
      <c r="K40" s="201" t="str">
        <f aca="false">VLOOKUP(J40,M:M,1,0)</f>
        <v>Office of ASG (N. Venkatraman)</v>
      </c>
      <c r="M40" s="209" t="s">
        <v>207</v>
      </c>
      <c r="N40" s="201" t="str">
        <f aca="false">VLOOKUP(M40,P:P,1,0)</f>
        <v>Justice (Retd.) Kurian Joseph</v>
      </c>
      <c r="P40" s="207" t="s">
        <v>207</v>
      </c>
      <c r="Q40" s="201" t="str">
        <f aca="false">VLOOKUP(P40,S:S,1,0)</f>
        <v>Justice (Retd.) Kurian Joseph</v>
      </c>
      <c r="S40" s="207" t="s">
        <v>241</v>
      </c>
      <c r="T40" s="201" t="str">
        <f aca="false">VLOOKUP(S40,U:U,1,0)</f>
        <v>Saswat Mohanty</v>
      </c>
      <c r="U40" s="128" t="s">
        <v>254</v>
      </c>
      <c r="V40" s="201" t="str">
        <f aca="false">VLOOKUP(U40,X:X,1,0)</f>
        <v>Piyush Raheja</v>
      </c>
      <c r="X40" s="210" t="s">
        <v>705</v>
      </c>
      <c r="Y40" s="201" t="str">
        <f aca="false">VLOOKUP(X40,AA:AA,1,0)</f>
        <v>Devina Sehgal</v>
      </c>
      <c r="AA40" s="128" t="s">
        <v>284</v>
      </c>
      <c r="AB40" s="201" t="str">
        <f aca="false">VLOOKUP(AA40,AD:AD,1,0)</f>
        <v>SRCO Legal / Salvador Raghav &amp; Co.</v>
      </c>
      <c r="AD40" s="201" t="s">
        <v>281</v>
      </c>
      <c r="AE40" s="201" t="str">
        <f aca="false">VLOOKUP(AD40,AA:AA,1,0)</f>
        <v>Diwan Law Associates</v>
      </c>
    </row>
    <row r="41" customFormat="false" ht="31.3" hidden="false" customHeight="false" outlineLevel="0" collapsed="false">
      <c r="J41" s="207" t="s">
        <v>470</v>
      </c>
      <c r="K41" s="201" t="str">
        <f aca="false">VLOOKUP(J41,M:M,1,0)</f>
        <v>Prantar</v>
      </c>
      <c r="M41" s="206" t="s">
        <v>209</v>
      </c>
      <c r="N41" s="204" t="str">
        <f aca="false">VLOOKUP(M41,P:P,1,0)</f>
        <v>SINHA &amp; COMPANY
</v>
      </c>
      <c r="P41" s="216" t="s">
        <v>209</v>
      </c>
      <c r="Q41" s="204" t="str">
        <f aca="false">VLOOKUP(P41,S:S,1,0)</f>
        <v>SINHA &amp; COMPANY
</v>
      </c>
      <c r="S41" s="207" t="s">
        <v>243</v>
      </c>
      <c r="T41" s="201" t="str">
        <f aca="false">VLOOKUP(S41,U:U,1,0)</f>
        <v>Chambers of Aman Vachher</v>
      </c>
      <c r="U41" s="128" t="s">
        <v>256</v>
      </c>
      <c r="V41" s="201" t="str">
        <f aca="false">VLOOKUP(U41,X:X,1,0)</f>
        <v>⁠Feroze Patel</v>
      </c>
      <c r="X41" s="159" t="s">
        <v>181</v>
      </c>
      <c r="Y41" s="201" t="str">
        <f aca="false">VLOOKUP(X41,AA:AA,1,0)</f>
        <v>Dewani Associates</v>
      </c>
      <c r="AA41" s="128" t="s">
        <v>291</v>
      </c>
      <c r="AB41" s="201" t="str">
        <f aca="false">VLOOKUP(AA41,AD:AD,1,0)</f>
        <v>Kunal Kunango</v>
      </c>
      <c r="AD41" s="201" t="s">
        <v>284</v>
      </c>
      <c r="AE41" s="201" t="str">
        <f aca="false">VLOOKUP(AD41,AA:AA,1,0)</f>
        <v>SRCO Legal / Salvador Raghav &amp; Co.</v>
      </c>
    </row>
    <row r="42" customFormat="false" ht="13.8" hidden="false" customHeight="false" outlineLevel="0" collapsed="false">
      <c r="J42" s="209" t="s">
        <v>386</v>
      </c>
      <c r="K42" s="201" t="str">
        <f aca="false">VLOOKUP(J42,M:M,1,0)</f>
        <v>Prompt Legal (Shared by Jayanth)</v>
      </c>
      <c r="M42" s="209" t="s">
        <v>211</v>
      </c>
      <c r="N42" s="201" t="str">
        <f aca="false">VLOOKUP(M42,P:P,1,0)</f>
        <v>Darshit Jain</v>
      </c>
      <c r="P42" s="207" t="s">
        <v>211</v>
      </c>
      <c r="Q42" s="201" t="str">
        <f aca="false">VLOOKUP(P42,S:S,1,0)</f>
        <v>Darshit Jain</v>
      </c>
      <c r="S42" s="207" t="s">
        <v>245</v>
      </c>
      <c r="T42" s="201" t="str">
        <f aca="false">VLOOKUP(S42,U:U,1,0)</f>
        <v>SK Singhi and Partners</v>
      </c>
      <c r="U42" s="128" t="s">
        <v>258</v>
      </c>
      <c r="V42" s="201" t="str">
        <f aca="false">VLOOKUP(U42,X:X,1,0)</f>
        <v>Kazan Shroff</v>
      </c>
      <c r="X42" s="210" t="s">
        <v>725</v>
      </c>
      <c r="Y42" s="201" t="str">
        <f aca="false">VLOOKUP(X42,AA:AA,1,0)</f>
        <v>Dharma Law Partners</v>
      </c>
      <c r="AA42" s="128" t="s">
        <v>293</v>
      </c>
      <c r="AB42" s="201" t="str">
        <f aca="false">VLOOKUP(AA42,AD:AD,1,0)</f>
        <v>Divyanshu Rai</v>
      </c>
      <c r="AD42" s="201" t="s">
        <v>291</v>
      </c>
      <c r="AE42" s="201" t="str">
        <f aca="false">VLOOKUP(AD42,AA:AA,1,0)</f>
        <v>Kunal Kunango</v>
      </c>
    </row>
    <row r="43" customFormat="false" ht="13.8" hidden="false" customHeight="false" outlineLevel="0" collapsed="false">
      <c r="J43" s="205" t="s">
        <v>416</v>
      </c>
      <c r="K43" s="201" t="str">
        <f aca="false">VLOOKUP(J43,M:M,1,0)</f>
        <v>Ratan Kumar Singh</v>
      </c>
      <c r="M43" s="207" t="s">
        <v>213</v>
      </c>
      <c r="N43" s="201" t="str">
        <f aca="false">VLOOKUP(M43,P:P,1,0)</f>
        <v>Sagar Ghogre</v>
      </c>
      <c r="P43" s="209" t="s">
        <v>213</v>
      </c>
      <c r="Q43" s="201" t="str">
        <f aca="false">VLOOKUP(P43,S:S,1,0)</f>
        <v>Sagar Ghogre</v>
      </c>
      <c r="S43" s="209" t="s">
        <v>249</v>
      </c>
      <c r="T43" s="201" t="str">
        <f aca="false">VLOOKUP(S43,U:U,1,0)</f>
        <v>SKR &amp; associates</v>
      </c>
      <c r="U43" s="128" t="s">
        <v>260</v>
      </c>
      <c r="V43" s="201" t="str">
        <f aca="false">VLOOKUP(U43,X:X,1,0)</f>
        <v>Kajol Punjabi</v>
      </c>
      <c r="X43" s="159" t="s">
        <v>693</v>
      </c>
      <c r="Y43" s="201" t="str">
        <f aca="false">VLOOKUP(X43,AA:AA,1,0)</f>
        <v>Dhruve Liladhar &amp; Co</v>
      </c>
      <c r="AA43" s="128" t="s">
        <v>296</v>
      </c>
      <c r="AB43" s="201" t="str">
        <f aca="false">VLOOKUP(AA43,AD:AD,1,0)</f>
        <v>Hamza mir</v>
      </c>
      <c r="AD43" s="201" t="s">
        <v>293</v>
      </c>
      <c r="AE43" s="201" t="str">
        <f aca="false">VLOOKUP(AD43,AA:AA,1,0)</f>
        <v>Divyanshu Rai</v>
      </c>
    </row>
    <row r="44" customFormat="false" ht="13.8" hidden="false" customHeight="false" outlineLevel="0" collapsed="false">
      <c r="J44" s="207" t="s">
        <v>486</v>
      </c>
      <c r="K44" s="201" t="str">
        <f aca="false">VLOOKUP(J44,M:M,1,0)</f>
        <v>Rohit Sharma (lex Merita)</v>
      </c>
      <c r="M44" s="207" t="s">
        <v>215</v>
      </c>
      <c r="N44" s="201" t="str">
        <f aca="false">VLOOKUP(M44,P:P,1,0)</f>
        <v>Chetan shah</v>
      </c>
      <c r="P44" s="209" t="s">
        <v>215</v>
      </c>
      <c r="Q44" s="201" t="str">
        <f aca="false">VLOOKUP(P44,S:S,1,0)</f>
        <v>Chetan shah</v>
      </c>
      <c r="S44" s="207" t="s">
        <v>252</v>
      </c>
      <c r="T44" s="201" t="str">
        <f aca="false">VLOOKUP(S44,U:U,1,0)</f>
        <v>Srivastava &amp; Company</v>
      </c>
      <c r="U44" s="128" t="s">
        <v>262</v>
      </c>
      <c r="V44" s="201" t="str">
        <f aca="false">VLOOKUP(U44,X:X,1,0)</f>
        <v>Neeta Jain</v>
      </c>
      <c r="X44" s="159" t="s">
        <v>138</v>
      </c>
      <c r="Y44" s="201" t="str">
        <f aca="false">VLOOKUP(X44,AA:AA,1,0)</f>
        <v>Dileep Poolakkot</v>
      </c>
      <c r="AA44" s="217" t="s">
        <v>299</v>
      </c>
      <c r="AB44" s="201" t="str">
        <f aca="false">VLOOKUP(AA44,AD:AD,1,0)</f>
        <v>Chambers of Ninad Laud</v>
      </c>
      <c r="AD44" s="201" t="s">
        <v>299</v>
      </c>
      <c r="AE44" s="201" t="str">
        <f aca="false">VLOOKUP(AD44,AA:AA,1,0)</f>
        <v>Chambers of Ninad Laud</v>
      </c>
    </row>
    <row r="45" customFormat="false" ht="13.8" hidden="false" customHeight="false" outlineLevel="0" collapsed="false">
      <c r="J45" s="205" t="s">
        <v>425</v>
      </c>
      <c r="K45" s="201" t="str">
        <f aca="false">VLOOKUP(J45,M:M,1,0)</f>
        <v>Sanjay Udeshi &amp; Co.</v>
      </c>
      <c r="M45" s="207" t="s">
        <v>217</v>
      </c>
      <c r="N45" s="201" t="str">
        <f aca="false">VLOOKUP(M45,P:P,1,0)</f>
        <v>Sneha Phene</v>
      </c>
      <c r="P45" s="207" t="s">
        <v>217</v>
      </c>
      <c r="Q45" s="201" t="str">
        <f aca="false">VLOOKUP(P45,S:S,1,0)</f>
        <v>Sneha Phene</v>
      </c>
      <c r="S45" s="207" t="s">
        <v>254</v>
      </c>
      <c r="T45" s="201" t="str">
        <f aca="false">VLOOKUP(S45,U:U,1,0)</f>
        <v>Piyush Raheja</v>
      </c>
      <c r="U45" s="128" t="s">
        <v>264</v>
      </c>
      <c r="V45" s="201" t="str">
        <f aca="false">VLOOKUP(U45,X:X,1,0)</f>
        <v>Amrut Joshi</v>
      </c>
      <c r="X45" s="145" t="s">
        <v>460</v>
      </c>
      <c r="Y45" s="201" t="str">
        <f aca="false">VLOOKUP(X45,AA:AA,1,0)</f>
        <v>Dipankar Majumdar</v>
      </c>
      <c r="AA45" s="128" t="s">
        <v>307</v>
      </c>
      <c r="AB45" s="201" t="str">
        <f aca="false">VLOOKUP(AA45,AD:AD,1,0)</f>
        <v>Kachwaha &amp; Partners</v>
      </c>
      <c r="AD45" s="201" t="s">
        <v>307</v>
      </c>
      <c r="AE45" s="201" t="str">
        <f aca="false">VLOOKUP(AD45,AA:AA,1,0)</f>
        <v>Kachwaha &amp; Partners</v>
      </c>
    </row>
    <row r="46" customFormat="false" ht="13.8" hidden="false" customHeight="false" outlineLevel="0" collapsed="false">
      <c r="J46" s="209" t="s">
        <v>490</v>
      </c>
      <c r="K46" s="201" t="str">
        <f aca="false">VLOOKUP(J46,M:M,1,0)</f>
        <v>Santosh Kumar</v>
      </c>
      <c r="M46" s="207" t="s">
        <v>219</v>
      </c>
      <c r="N46" s="201" t="str">
        <f aca="false">VLOOKUP(M46,P:P,1,0)</f>
        <v>Gunjan Mangla</v>
      </c>
      <c r="P46" s="207" t="s">
        <v>219</v>
      </c>
      <c r="Q46" s="201" t="str">
        <f aca="false">VLOOKUP(P46,S:S,1,0)</f>
        <v>Gunjan Mangla</v>
      </c>
      <c r="S46" s="207" t="s">
        <v>256</v>
      </c>
      <c r="T46" s="201" t="str">
        <f aca="false">VLOOKUP(S46,U:U,1,0)</f>
        <v>⁠Feroze Patel</v>
      </c>
      <c r="U46" s="128" t="s">
        <v>267</v>
      </c>
      <c r="V46" s="201" t="str">
        <f aca="false">VLOOKUP(U46,X:X,1,0)</f>
        <v>Gaurav Joshi</v>
      </c>
      <c r="X46" s="128" t="s">
        <v>293</v>
      </c>
      <c r="Y46" s="201" t="str">
        <f aca="false">VLOOKUP(X46,AA:AA,1,0)</f>
        <v>Divyanshu Rai</v>
      </c>
      <c r="AA46" s="128" t="s">
        <v>320</v>
      </c>
      <c r="AB46" s="201" t="str">
        <f aca="false">VLOOKUP(AA46,AD:AD,1,0)</f>
        <v>Chambers of Moazzam Khan</v>
      </c>
      <c r="AD46" s="201" t="s">
        <v>320</v>
      </c>
      <c r="AE46" s="201" t="str">
        <f aca="false">VLOOKUP(AD46,AA:AA,1,0)</f>
        <v>Chambers of Moazzam Khan</v>
      </c>
    </row>
    <row r="47" customFormat="false" ht="13.8" hidden="false" customHeight="false" outlineLevel="0" collapsed="false">
      <c r="J47" s="207" t="s">
        <v>241</v>
      </c>
      <c r="K47" s="201" t="str">
        <f aca="false">VLOOKUP(J47,M:M,1,0)</f>
        <v>Saswat Mohanty</v>
      </c>
      <c r="M47" s="207" t="s">
        <v>221</v>
      </c>
      <c r="N47" s="201" t="str">
        <f aca="false">VLOOKUP(M47,P:P,1,0)</f>
        <v>Zulfiqar Jariwala</v>
      </c>
      <c r="P47" s="209" t="s">
        <v>221</v>
      </c>
      <c r="Q47" s="201" t="str">
        <f aca="false">VLOOKUP(P47,S:S,1,0)</f>
        <v>Zulfiqar Jariwala</v>
      </c>
      <c r="S47" s="207" t="s">
        <v>258</v>
      </c>
      <c r="T47" s="201" t="str">
        <f aca="false">VLOOKUP(S47,U:U,1,0)</f>
        <v>Kazan Shroff</v>
      </c>
      <c r="U47" s="128" t="s">
        <v>269</v>
      </c>
      <c r="V47" s="201" t="str">
        <f aca="false">VLOOKUP(U47,X:X,1,0)</f>
        <v>Kamaljeet Singh</v>
      </c>
      <c r="X47" s="128" t="s">
        <v>281</v>
      </c>
      <c r="Y47" s="201" t="str">
        <f aca="false">VLOOKUP(X47,AA:AA,1,0)</f>
        <v>Diwan Law Associates</v>
      </c>
      <c r="AA47" s="128" t="s">
        <v>326</v>
      </c>
      <c r="AB47" s="201" t="str">
        <f aca="false">VLOOKUP(AA47,AD:AD,1,0)</f>
        <v>Nikhil Pai</v>
      </c>
      <c r="AD47" s="201" t="s">
        <v>326</v>
      </c>
      <c r="AE47" s="201" t="str">
        <f aca="false">VLOOKUP(AD47,AA:AA,1,0)</f>
        <v>Nikhil Pai</v>
      </c>
    </row>
    <row r="48" customFormat="false" ht="13.8" hidden="false" customHeight="false" outlineLevel="0" collapsed="false">
      <c r="J48" s="205" t="s">
        <v>458</v>
      </c>
      <c r="K48" s="201" t="str">
        <f aca="false">VLOOKUP(J48,M:M,1,0)</f>
        <v>Shiraz Rustomjee</v>
      </c>
      <c r="M48" s="205" t="s">
        <v>223</v>
      </c>
      <c r="N48" s="201" t="str">
        <f aca="false">VLOOKUP(M48,P:P,1,0)</f>
        <v>Manjari Shah</v>
      </c>
      <c r="P48" s="207" t="s">
        <v>223</v>
      </c>
      <c r="Q48" s="201" t="str">
        <f aca="false">VLOOKUP(P48,S:S,1,0)</f>
        <v>Manjari Shah</v>
      </c>
      <c r="S48" s="215" t="s">
        <v>260</v>
      </c>
      <c r="T48" s="201" t="str">
        <f aca="false">VLOOKUP(S48,U:U,1,0)</f>
        <v>Kajol Punjabi</v>
      </c>
      <c r="U48" s="128" t="s">
        <v>278</v>
      </c>
      <c r="V48" s="201" t="str">
        <f aca="false">VLOOKUP(U48,X:X,1,0)</f>
        <v>Manish kelker</v>
      </c>
      <c r="X48" s="128" t="s">
        <v>700</v>
      </c>
      <c r="Y48" s="201" t="str">
        <f aca="false">VLOOKUP(X48,AA:AA,1,0)</f>
        <v>Ecclesia Advocates and Solicitors</v>
      </c>
      <c r="AA48" s="128" t="s">
        <v>331</v>
      </c>
      <c r="AB48" s="201" t="e">
        <f aca="false">VLOOKUP(AA48,AD:AD,1,0)</f>
        <v>#N/A</v>
      </c>
      <c r="AD48" s="201" t="s">
        <v>333</v>
      </c>
      <c r="AE48" s="201" t="str">
        <f aca="false">VLOOKUP(AD48,AA:AA,1,0)</f>
        <v>Vyom Shah</v>
      </c>
    </row>
    <row r="49" customFormat="false" ht="13.8" hidden="false" customHeight="false" outlineLevel="0" collapsed="false">
      <c r="J49" s="207" t="s">
        <v>436</v>
      </c>
      <c r="K49" s="201" t="str">
        <f aca="false">VLOOKUP(J49,M:M,1,0)</f>
        <v>Shyam Kapadia</v>
      </c>
      <c r="M49" s="207" t="s">
        <v>225</v>
      </c>
      <c r="N49" s="201" t="str">
        <f aca="false">VLOOKUP(M49,P:P,1,0)</f>
        <v>Sagar Sheth</v>
      </c>
      <c r="P49" s="207" t="s">
        <v>225</v>
      </c>
      <c r="Q49" s="201" t="str">
        <f aca="false">VLOOKUP(P49,S:S,1,0)</f>
        <v>Sagar Sheth</v>
      </c>
      <c r="S49" s="207" t="s">
        <v>262</v>
      </c>
      <c r="T49" s="201" t="str">
        <f aca="false">VLOOKUP(S49,U:U,1,0)</f>
        <v>Neeta Jain</v>
      </c>
      <c r="U49" s="218" t="s">
        <v>281</v>
      </c>
      <c r="V49" s="201" t="str">
        <f aca="false">VLOOKUP(U49,X:X,1,0)</f>
        <v>Diwan Law Associates</v>
      </c>
      <c r="X49" s="128" t="s">
        <v>583</v>
      </c>
      <c r="Y49" s="201" t="str">
        <f aca="false">VLOOKUP(X49,AA:AA,1,0)</f>
        <v>Elixir Legal Services</v>
      </c>
      <c r="AA49" s="128" t="s">
        <v>333</v>
      </c>
      <c r="AB49" s="201" t="str">
        <f aca="false">VLOOKUP(AA49,AD:AD,1,0)</f>
        <v>Vyom Shah</v>
      </c>
      <c r="AD49" s="201" t="s">
        <v>335</v>
      </c>
      <c r="AE49" s="201" t="str">
        <f aca="false">VLOOKUP(AD49,AA:AA,1,0)</f>
        <v>Zubin Behramkamdin</v>
      </c>
    </row>
    <row r="50" customFormat="false" ht="13.8" hidden="false" customHeight="false" outlineLevel="0" collapsed="false">
      <c r="J50" s="207" t="s">
        <v>245</v>
      </c>
      <c r="K50" s="201" t="str">
        <f aca="false">VLOOKUP(J50,M:M,1,0)</f>
        <v>SK Singhi and Partners</v>
      </c>
      <c r="M50" s="207" t="s">
        <v>227</v>
      </c>
      <c r="N50" s="201" t="str">
        <f aca="false">VLOOKUP(M50,P:P,1,0)</f>
        <v>Mahek Bookwala</v>
      </c>
      <c r="P50" s="207" t="s">
        <v>227</v>
      </c>
      <c r="Q50" s="201" t="str">
        <f aca="false">VLOOKUP(P50,S:S,1,0)</f>
        <v>Mahek Bookwala</v>
      </c>
      <c r="S50" s="209" t="s">
        <v>264</v>
      </c>
      <c r="T50" s="201" t="str">
        <f aca="false">VLOOKUP(S50,U:U,1,0)</f>
        <v>Amrut Joshi</v>
      </c>
      <c r="U50" s="128" t="s">
        <v>284</v>
      </c>
      <c r="V50" s="201" t="str">
        <f aca="false">VLOOKUP(U50,X:X,1,0)</f>
        <v>SRCO Legal / Salvador Raghav &amp; Co.</v>
      </c>
      <c r="X50" s="145" t="s">
        <v>403</v>
      </c>
      <c r="Y50" s="201" t="str">
        <f aca="false">VLOOKUP(X50,AA:AA,1,0)</f>
        <v>Eternity Legal</v>
      </c>
      <c r="AA50" s="128" t="s">
        <v>335</v>
      </c>
      <c r="AB50" s="201" t="str">
        <f aca="false">VLOOKUP(AA50,AD:AD,1,0)</f>
        <v>Zubin Behramkamdin</v>
      </c>
      <c r="AD50" s="201" t="s">
        <v>337</v>
      </c>
      <c r="AE50" s="201" t="str">
        <f aca="false">VLOOKUP(AD50,AA:AA,1,0)</f>
        <v>Jennifer Michael</v>
      </c>
    </row>
    <row r="51" customFormat="false" ht="13.8" hidden="false" customHeight="false" outlineLevel="0" collapsed="false">
      <c r="J51" s="205" t="s">
        <v>412</v>
      </c>
      <c r="K51" s="201" t="str">
        <f aca="false">VLOOKUP(J51,M:M,1,0)</f>
        <v>Solaris Legal</v>
      </c>
      <c r="M51" s="207" t="s">
        <v>230</v>
      </c>
      <c r="N51" s="201" t="str">
        <f aca="false">VLOOKUP(M51,P:P,1,0)</f>
        <v>Pradeep Sancheti</v>
      </c>
      <c r="P51" s="207" t="s">
        <v>230</v>
      </c>
      <c r="Q51" s="201" t="str">
        <f aca="false">VLOOKUP(P51,S:S,1,0)</f>
        <v>Pradeep Sancheti</v>
      </c>
      <c r="S51" s="207" t="s">
        <v>267</v>
      </c>
      <c r="T51" s="201" t="str">
        <f aca="false">VLOOKUP(S51,U:U,1,0)</f>
        <v>Gaurav Joshi</v>
      </c>
      <c r="U51" s="128" t="s">
        <v>291</v>
      </c>
      <c r="V51" s="201" t="str">
        <f aca="false">VLOOKUP(U51,X:X,1,0)</f>
        <v>Kunal Kunango</v>
      </c>
      <c r="X51" s="145" t="s">
        <v>429</v>
      </c>
      <c r="Y51" s="201" t="str">
        <f aca="false">VLOOKUP(X51,AA:AA,1,0)</f>
        <v>Farhan Dubash </v>
      </c>
      <c r="AA51" s="128" t="s">
        <v>337</v>
      </c>
      <c r="AB51" s="201" t="str">
        <f aca="false">VLOOKUP(AA51,AD:AD,1,0)</f>
        <v>Jennifer Michael</v>
      </c>
      <c r="AD51" s="201" t="s">
        <v>339</v>
      </c>
      <c r="AE51" s="201" t="str">
        <f aca="false">VLOOKUP(AD51,AA:AA,1,0)</f>
        <v>SomÂ Sinha &amp; Associates</v>
      </c>
    </row>
    <row r="52" customFormat="false" ht="13.8" hidden="false" customHeight="false" outlineLevel="0" collapsed="false">
      <c r="J52" s="205" t="s">
        <v>284</v>
      </c>
      <c r="K52" s="201" t="str">
        <f aca="false">VLOOKUP(J52,M:M,1,0)</f>
        <v>SRCO Legal / Salvador Raghav &amp; Co.</v>
      </c>
      <c r="M52" s="207" t="s">
        <v>232</v>
      </c>
      <c r="N52" s="201" t="str">
        <f aca="false">VLOOKUP(M52,P:P,1,0)</f>
        <v>AHUJA VALECHA &amp; ASSOCIATES LLP</v>
      </c>
      <c r="P52" s="207" t="s">
        <v>232</v>
      </c>
      <c r="Q52" s="201" t="str">
        <f aca="false">VLOOKUP(P52,S:S,1,0)</f>
        <v>AHUJA VALECHA &amp; ASSOCIATES LLP</v>
      </c>
      <c r="S52" s="209" t="s">
        <v>269</v>
      </c>
      <c r="T52" s="201" t="str">
        <f aca="false">VLOOKUP(S52,U:U,1,0)</f>
        <v>Kamaljeet Singh</v>
      </c>
      <c r="U52" s="128" t="s">
        <v>293</v>
      </c>
      <c r="V52" s="201" t="str">
        <f aca="false">VLOOKUP(U52,X:X,1,0)</f>
        <v>Divyanshu Rai</v>
      </c>
      <c r="X52" s="128" t="s">
        <v>256</v>
      </c>
      <c r="Y52" s="201" t="str">
        <f aca="false">VLOOKUP(X52,AA:AA,1,0)</f>
        <v>⁠Feroze Patel</v>
      </c>
      <c r="AA52" s="128" t="s">
        <v>339</v>
      </c>
      <c r="AB52" s="201" t="str">
        <f aca="false">VLOOKUP(AA52,AD:AD,1,0)</f>
        <v>SomÂ Sinha &amp; Associates</v>
      </c>
      <c r="AD52" s="201" t="s">
        <v>341</v>
      </c>
      <c r="AE52" s="201" t="str">
        <f aca="false">VLOOKUP(AD52,AA:AA,1,0)</f>
        <v>MZM Legal LLP</v>
      </c>
    </row>
    <row r="53" customFormat="false" ht="13.8" hidden="false" customHeight="false" outlineLevel="0" collapsed="false">
      <c r="J53" s="207" t="s">
        <v>130</v>
      </c>
      <c r="K53" s="201" t="str">
        <f aca="false">VLOOKUP(J53,M:M,1,0)</f>
        <v>Tvashta Law</v>
      </c>
      <c r="M53" s="209" t="s">
        <v>234</v>
      </c>
      <c r="N53" s="201" t="str">
        <f aca="false">VLOOKUP(M53,P:P,1,0)</f>
        <v>ICL CORPORATE ADVISORY PRIVATE LIMITED</v>
      </c>
      <c r="P53" s="207" t="s">
        <v>234</v>
      </c>
      <c r="Q53" s="201" t="str">
        <f aca="false">VLOOKUP(P53,S:S,1,0)</f>
        <v>ICL CORPORATE ADVISORY PRIVATE LIMITED</v>
      </c>
      <c r="S53" s="207" t="s">
        <v>275</v>
      </c>
      <c r="T53" s="201" t="e">
        <f aca="false">VLOOKUP(S53,U:U,1,0)</f>
        <v>#N/A</v>
      </c>
      <c r="U53" s="128" t="s">
        <v>296</v>
      </c>
      <c r="V53" s="201" t="str">
        <f aca="false">VLOOKUP(U53,X:X,1,0)</f>
        <v>Hamza mir</v>
      </c>
      <c r="X53" s="210" t="s">
        <v>744</v>
      </c>
      <c r="Y53" s="201" t="str">
        <f aca="false">VLOOKUP(X53,AA:AA,1,0)</f>
        <v>Foresight Law Offices</v>
      </c>
      <c r="AA53" s="128" t="s">
        <v>341</v>
      </c>
      <c r="AB53" s="201" t="str">
        <f aca="false">VLOOKUP(AA53,AD:AD,1,0)</f>
        <v>MZM Legal LLP</v>
      </c>
      <c r="AD53" s="201" t="s">
        <v>189</v>
      </c>
      <c r="AE53" s="201" t="str">
        <f aca="false">VLOOKUP(AD53,AA:AA,1,0)</f>
        <v>Chetan Dedhia</v>
      </c>
    </row>
    <row r="54" customFormat="false" ht="13.8" hidden="false" customHeight="false" outlineLevel="0" collapsed="false">
      <c r="J54" s="209" t="s">
        <v>149</v>
      </c>
      <c r="K54" s="201" t="str">
        <f aca="false">VLOOKUP(J54,M:M,1,0)</f>
        <v>Venkatesh Dhond</v>
      </c>
      <c r="M54" s="207" t="s">
        <v>236</v>
      </c>
      <c r="N54" s="201" t="str">
        <f aca="false">VLOOKUP(M54,P:P,1,0)</f>
        <v>Argus Partners</v>
      </c>
      <c r="P54" s="205" t="s">
        <v>236</v>
      </c>
      <c r="Q54" s="201" t="e">
        <f aca="false">VLOOKUP(P54,S:S,1,0)</f>
        <v>#N/A</v>
      </c>
      <c r="S54" s="207" t="s">
        <v>278</v>
      </c>
      <c r="T54" s="201" t="str">
        <f aca="false">VLOOKUP(S54,U:U,1,0)</f>
        <v>Manish kelker</v>
      </c>
      <c r="U54" s="128" t="s">
        <v>299</v>
      </c>
      <c r="V54" s="201" t="str">
        <f aca="false">VLOOKUP(U54,X:X,1,0)</f>
        <v>Chambers of Ninad Laud</v>
      </c>
      <c r="X54" s="128" t="s">
        <v>554</v>
      </c>
      <c r="Y54" s="201" t="str">
        <f aca="false">VLOOKUP(X54,AA:AA,1,0)</f>
        <v>Ganesh &amp; Co.</v>
      </c>
      <c r="AA54" s="128" t="s">
        <v>189</v>
      </c>
      <c r="AB54" s="201" t="str">
        <f aca="false">VLOOKUP(AA54,AD:AD,1,0)</f>
        <v>Chetan Dedhia</v>
      </c>
      <c r="AD54" s="201" t="s">
        <v>309</v>
      </c>
      <c r="AE54" s="201" t="str">
        <f aca="false">VLOOKUP(AD54,AA:AA,1,0)</f>
        <v>Zoheb Hossain</v>
      </c>
    </row>
    <row r="55" customFormat="false" ht="13.8" hidden="false" customHeight="false" outlineLevel="0" collapsed="false">
      <c r="J55" s="207" t="s">
        <v>331</v>
      </c>
      <c r="K55" s="201" t="str">
        <f aca="false">VLOOKUP(J55,M:M,1,0)</f>
        <v>Vesta Legal</v>
      </c>
      <c r="M55" s="207" t="s">
        <v>238</v>
      </c>
      <c r="N55" s="201" t="str">
        <f aca="false">VLOOKUP(M55,P:P,1,0)</f>
        <v>Pratik Patnaik</v>
      </c>
      <c r="P55" s="207" t="s">
        <v>238</v>
      </c>
      <c r="Q55" s="201" t="str">
        <f aca="false">VLOOKUP(P55,S:S,1,0)</f>
        <v>Pratik Patnaik</v>
      </c>
      <c r="S55" s="209" t="s">
        <v>281</v>
      </c>
      <c r="T55" s="201" t="str">
        <f aca="false">VLOOKUP(S55,U:U,1,0)</f>
        <v>Diwan Law Associates</v>
      </c>
      <c r="U55" s="128" t="s">
        <v>303</v>
      </c>
      <c r="V55" s="201" t="str">
        <f aca="false">VLOOKUP(U55,X:X,1,0)</f>
        <v>Gaurav Mehta</v>
      </c>
      <c r="X55" s="210" t="s">
        <v>763</v>
      </c>
      <c r="Y55" s="201" t="str">
        <f aca="false">VLOOKUP(X55,AA:AA,1,0)</f>
        <v>Gaurav Gupta</v>
      </c>
      <c r="AA55" s="128" t="s">
        <v>309</v>
      </c>
      <c r="AB55" s="201" t="str">
        <f aca="false">VLOOKUP(AA55,AD:AD,1,0)</f>
        <v>Zoheb Hossain</v>
      </c>
      <c r="AD55" s="201" t="s">
        <v>350</v>
      </c>
      <c r="AE55" s="201" t="str">
        <f aca="false">VLOOKUP(AD55,AA:AA,1,0)</f>
        <v>Meghav Gupta</v>
      </c>
    </row>
    <row r="56" customFormat="false" ht="13.8" hidden="false" customHeight="false" outlineLevel="0" collapsed="false">
      <c r="J56" s="209" t="s">
        <v>506</v>
      </c>
      <c r="K56" s="201" t="str">
        <f aca="false">VLOOKUP(J56,M:M,1,0)</f>
        <v>Victoram Legal / Mr. Sajal Awasthi</v>
      </c>
      <c r="M56" s="209" t="s">
        <v>241</v>
      </c>
      <c r="N56" s="201" t="str">
        <f aca="false">VLOOKUP(M56,P:P,1,0)</f>
        <v>Saswat Mohanty</v>
      </c>
      <c r="P56" s="207" t="s">
        <v>241</v>
      </c>
      <c r="Q56" s="201" t="str">
        <f aca="false">VLOOKUP(P56,S:S,1,0)</f>
        <v>Saswat Mohanty</v>
      </c>
      <c r="S56" s="207" t="s">
        <v>284</v>
      </c>
      <c r="T56" s="201" t="str">
        <f aca="false">VLOOKUP(S56,U:U,1,0)</f>
        <v>SRCO Legal / Salvador Raghav &amp; Co.</v>
      </c>
      <c r="U56" s="128" t="s">
        <v>307</v>
      </c>
      <c r="V56" s="201" t="str">
        <f aca="false">VLOOKUP(U56,X:X,1,0)</f>
        <v>Kachwaha &amp; Partners</v>
      </c>
      <c r="X56" s="128" t="s">
        <v>267</v>
      </c>
      <c r="Y56" s="201" t="str">
        <f aca="false">VLOOKUP(X56,AA:AA,1,0)</f>
        <v>Gaurav Joshi</v>
      </c>
      <c r="AA56" s="128" t="s">
        <v>350</v>
      </c>
      <c r="AB56" s="201" t="str">
        <f aca="false">VLOOKUP(AA56,AD:AD,1,0)</f>
        <v>Meghav Gupta</v>
      </c>
      <c r="AD56" s="201" t="s">
        <v>352</v>
      </c>
      <c r="AE56" s="201" t="str">
        <f aca="false">VLOOKUP(AD56,AA:AA,1,0)</f>
        <v>Shashwat Bajpai</v>
      </c>
    </row>
    <row r="57" customFormat="false" ht="13.8" hidden="false" customHeight="false" outlineLevel="0" collapsed="false">
      <c r="J57" s="207" t="s">
        <v>399</v>
      </c>
      <c r="K57" s="201" t="str">
        <f aca="false">VLOOKUP(J57,M:M,1,0)</f>
        <v>Wadia Ghandy &amp; Co.</v>
      </c>
      <c r="M57" s="205" t="s">
        <v>243</v>
      </c>
      <c r="N57" s="201" t="str">
        <f aca="false">VLOOKUP(M57,P:P,1,0)</f>
        <v>Chambers of Aman Vachher</v>
      </c>
      <c r="P57" s="207" t="s">
        <v>243</v>
      </c>
      <c r="Q57" s="201" t="str">
        <f aca="false">VLOOKUP(P57,S:S,1,0)</f>
        <v>Chambers of Aman Vachher</v>
      </c>
      <c r="S57" s="207" t="s">
        <v>286</v>
      </c>
      <c r="T57" s="201" t="str">
        <f aca="false">VLOOKUP(S57,U:U,1,0)</f>
        <v>Sarthak Advocates &amp; Solicitors</v>
      </c>
      <c r="U57" s="128" t="s">
        <v>318</v>
      </c>
      <c r="V57" s="201" t="str">
        <f aca="false">VLOOKUP(U57,X:X,1,0)</f>
        <v>Asahi Legal LLP</v>
      </c>
      <c r="X57" s="128" t="s">
        <v>303</v>
      </c>
      <c r="Y57" s="201" t="e">
        <f aca="false">VLOOKUP(X57,AA:AA,1,0)</f>
        <v>#N/A</v>
      </c>
      <c r="AA57" s="128" t="s">
        <v>352</v>
      </c>
      <c r="AB57" s="201" t="str">
        <f aca="false">VLOOKUP(AA57,AD:AD,1,0)</f>
        <v>Shashwat Bajpai</v>
      </c>
      <c r="AD57" s="201" t="s">
        <v>356</v>
      </c>
      <c r="AE57" s="201" t="str">
        <f aca="false">VLOOKUP(AD57,AA:AA,1,0)</f>
        <v>Nitish Raj</v>
      </c>
    </row>
    <row r="58" customFormat="false" ht="13.8" hidden="false" customHeight="false" outlineLevel="0" collapsed="false">
      <c r="J58" s="207" t="s">
        <v>187</v>
      </c>
      <c r="K58" s="201" t="str">
        <f aca="false">VLOOKUP(J58,M:M,1,0)</f>
        <v>Yash Momaya</v>
      </c>
      <c r="M58" s="205" t="s">
        <v>245</v>
      </c>
      <c r="N58" s="201" t="str">
        <f aca="false">VLOOKUP(M58,P:P,1,0)</f>
        <v>SK Singhi and Partners</v>
      </c>
      <c r="P58" s="207" t="s">
        <v>245</v>
      </c>
      <c r="Q58" s="201" t="str">
        <f aca="false">VLOOKUP(P58,S:S,1,0)</f>
        <v>SK Singhi and Partners</v>
      </c>
      <c r="S58" s="207" t="s">
        <v>288</v>
      </c>
      <c r="T58" s="201" t="str">
        <f aca="false">VLOOKUP(S58,U:U,1,0)</f>
        <v>Gupta Law Associates</v>
      </c>
      <c r="U58" s="128" t="s">
        <v>320</v>
      </c>
      <c r="V58" s="201" t="str">
        <f aca="false">VLOOKUP(U58,X:X,1,0)</f>
        <v>Chambers of Moazzam Khan</v>
      </c>
      <c r="X58" s="128" t="s">
        <v>691</v>
      </c>
      <c r="Y58" s="201" t="str">
        <f aca="false">VLOOKUP(X58,AA:AA,1,0)</f>
        <v>Gaurav Ray, Advocate on Record</v>
      </c>
      <c r="AA58" s="128" t="s">
        <v>356</v>
      </c>
      <c r="AB58" s="201" t="str">
        <f aca="false">VLOOKUP(AA58,AD:AD,1,0)</f>
        <v>Nitish Raj</v>
      </c>
      <c r="AD58" s="201" t="s">
        <v>362</v>
      </c>
      <c r="AE58" s="201" t="str">
        <f aca="false">VLOOKUP(AD58,AA:AA,1,0)</f>
        <v>Daswani &amp; Daswani</v>
      </c>
    </row>
    <row r="59" customFormat="false" ht="13.8" hidden="false" customHeight="false" outlineLevel="0" collapsed="false">
      <c r="M59" s="209" t="s">
        <v>247</v>
      </c>
      <c r="N59" s="201" t="str">
        <f aca="false">VLOOKUP(M59,P:P,1,0)</f>
        <v>Centre for Law and Policy Research Trust</v>
      </c>
      <c r="P59" s="207" t="s">
        <v>247</v>
      </c>
      <c r="Q59" s="201" t="str">
        <f aca="false">VLOOKUP(P59,S:S,1,0)</f>
        <v>Centre for Law and Policy Research Trust</v>
      </c>
      <c r="S59" s="207" t="s">
        <v>291</v>
      </c>
      <c r="T59" s="201" t="str">
        <f aca="false">VLOOKUP(S59,U:U,1,0)</f>
        <v>Kunal Kunango</v>
      </c>
      <c r="U59" s="128" t="s">
        <v>324</v>
      </c>
      <c r="V59" s="201" t="str">
        <f aca="false">VLOOKUP(U59,X:X,1,0)</f>
        <v>Phoenix Legal</v>
      </c>
      <c r="X59" s="128" t="s">
        <v>563</v>
      </c>
      <c r="Y59" s="201" t="str">
        <f aca="false">VLOOKUP(X59,AA:AA,1,0)</f>
        <v>Gauri Puri</v>
      </c>
      <c r="AA59" s="128" t="s">
        <v>362</v>
      </c>
      <c r="AB59" s="201" t="str">
        <f aca="false">VLOOKUP(AA59,AD:AD,1,0)</f>
        <v>Daswani &amp; Daswani</v>
      </c>
      <c r="AD59" s="201" t="s">
        <v>366</v>
      </c>
      <c r="AE59" s="201" t="str">
        <f aca="false">VLOOKUP(AD59,AA:AA,1,0)</f>
        <v>Samya Law Chambers</v>
      </c>
    </row>
    <row r="60" customFormat="false" ht="13.8" hidden="false" customHeight="false" outlineLevel="0" collapsed="false">
      <c r="M60" s="207" t="s">
        <v>249</v>
      </c>
      <c r="N60" s="201" t="str">
        <f aca="false">VLOOKUP(M60,P:P,1,0)</f>
        <v>SKR &amp; associates</v>
      </c>
      <c r="P60" s="207" t="s">
        <v>249</v>
      </c>
      <c r="Q60" s="201" t="str">
        <f aca="false">VLOOKUP(P60,S:S,1,0)</f>
        <v>SKR &amp; associates</v>
      </c>
      <c r="S60" s="207" t="s">
        <v>293</v>
      </c>
      <c r="T60" s="201" t="str">
        <f aca="false">VLOOKUP(S60,U:U,1,0)</f>
        <v>Divyanshu Rai</v>
      </c>
      <c r="U60" s="128" t="s">
        <v>326</v>
      </c>
      <c r="V60" s="201" t="str">
        <f aca="false">VLOOKUP(U60,X:X,1,0)</f>
        <v>Nikhil Pai</v>
      </c>
      <c r="X60" s="128" t="s">
        <v>652</v>
      </c>
      <c r="Y60" s="201" t="str">
        <f aca="false">VLOOKUP(X60,AA:AA,1,0)</f>
        <v>GC Legal</v>
      </c>
      <c r="AA60" s="128" t="s">
        <v>366</v>
      </c>
      <c r="AB60" s="201" t="str">
        <f aca="false">VLOOKUP(AA60,AD:AD,1,0)</f>
        <v>Samya Law Chambers</v>
      </c>
      <c r="AD60" s="201" t="s">
        <v>368</v>
      </c>
      <c r="AE60" s="201" t="str">
        <f aca="false">VLOOKUP(AD60,AA:AA,1,0)</f>
        <v>Shri Venkatesh , SKV law offices</v>
      </c>
    </row>
    <row r="61" customFormat="false" ht="13.8" hidden="false" customHeight="false" outlineLevel="0" collapsed="false">
      <c r="M61" s="205" t="s">
        <v>252</v>
      </c>
      <c r="N61" s="201" t="str">
        <f aca="false">VLOOKUP(M61,P:P,1,0)</f>
        <v>Srivastava &amp; Company</v>
      </c>
      <c r="P61" s="209" t="s">
        <v>252</v>
      </c>
      <c r="Q61" s="201" t="str">
        <f aca="false">VLOOKUP(P61,S:S,1,0)</f>
        <v>Srivastava &amp; Company</v>
      </c>
      <c r="S61" s="207" t="s">
        <v>296</v>
      </c>
      <c r="T61" s="201" t="str">
        <f aca="false">VLOOKUP(S61,U:U,1,0)</f>
        <v>Hamza mir</v>
      </c>
      <c r="U61" s="128" t="s">
        <v>331</v>
      </c>
      <c r="V61" s="201" t="str">
        <f aca="false">VLOOKUP(U61,X:X,1,0)</f>
        <v>Vesta Legal</v>
      </c>
      <c r="X61" s="210" t="s">
        <v>729</v>
      </c>
      <c r="Y61" s="201" t="str">
        <f aca="false">VLOOKUP(X61,AA:AA,1,0)</f>
        <v>Giriraj Subramanium</v>
      </c>
      <c r="AA61" s="128" t="s">
        <v>368</v>
      </c>
      <c r="AB61" s="201" t="str">
        <f aca="false">VLOOKUP(AA61,AD:AD,1,0)</f>
        <v>Shri Venkatesh , SKV law offices</v>
      </c>
      <c r="AD61" s="201" t="s">
        <v>372</v>
      </c>
      <c r="AE61" s="201" t="str">
        <f aca="false">VLOOKUP(AD61,AA:AA,1,0)</f>
        <v>IndusLaw</v>
      </c>
    </row>
    <row r="62" customFormat="false" ht="13.8" hidden="false" customHeight="false" outlineLevel="0" collapsed="false">
      <c r="M62" s="207" t="s">
        <v>254</v>
      </c>
      <c r="N62" s="201" t="str">
        <f aca="false">VLOOKUP(M62,P:P,1,0)</f>
        <v>Piyush Raheja</v>
      </c>
      <c r="P62" s="207" t="s">
        <v>254</v>
      </c>
      <c r="Q62" s="201" t="str">
        <f aca="false">VLOOKUP(P62,S:S,1,0)</f>
        <v>Piyush Raheja</v>
      </c>
      <c r="S62" s="205" t="s">
        <v>299</v>
      </c>
      <c r="T62" s="201" t="str">
        <f aca="false">VLOOKUP(S62,U:U,1,0)</f>
        <v>Chambers of Ninad Laud</v>
      </c>
      <c r="U62" s="128" t="s">
        <v>333</v>
      </c>
      <c r="V62" s="201" t="str">
        <f aca="false">VLOOKUP(U62,X:X,1,0)</f>
        <v>Vyom Shah</v>
      </c>
      <c r="X62" s="210" t="s">
        <v>468</v>
      </c>
      <c r="Y62" s="201" t="str">
        <f aca="false">VLOOKUP(X62,AA:AA,1,0)</f>
        <v>GM Legal</v>
      </c>
      <c r="AA62" s="128" t="s">
        <v>372</v>
      </c>
      <c r="AB62" s="201" t="str">
        <f aca="false">VLOOKUP(AA62,AD:AD,1,0)</f>
        <v>IndusLaw</v>
      </c>
      <c r="AD62" s="201" t="s">
        <v>383</v>
      </c>
      <c r="AE62" s="201" t="str">
        <f aca="false">VLOOKUP(AD62,AA:AA,1,0)</f>
        <v>Keystone Partners</v>
      </c>
    </row>
    <row r="63" customFormat="false" ht="23.85" hidden="false" customHeight="false" outlineLevel="0" collapsed="false">
      <c r="M63" s="209" t="s">
        <v>256</v>
      </c>
      <c r="N63" s="201" t="str">
        <f aca="false">VLOOKUP(M63,P:P,1,0)</f>
        <v>⁠Feroze Patel</v>
      </c>
      <c r="P63" s="207" t="s">
        <v>256</v>
      </c>
      <c r="Q63" s="201" t="str">
        <f aca="false">VLOOKUP(P63,S:S,1,0)</f>
        <v>⁠Feroze Patel</v>
      </c>
      <c r="S63" s="207" t="s">
        <v>301</v>
      </c>
      <c r="T63" s="201" t="e">
        <f aca="false">VLOOKUP(S63,U:U,1,0)</f>
        <v>#N/A</v>
      </c>
      <c r="U63" s="128" t="s">
        <v>335</v>
      </c>
      <c r="V63" s="201" t="str">
        <f aca="false">VLOOKUP(U63,X:X,1,0)</f>
        <v>Zubin Behramkamdin</v>
      </c>
      <c r="X63" s="128" t="s">
        <v>410</v>
      </c>
      <c r="Y63" s="201" t="str">
        <f aca="false">VLOOKUP(X63,AA:AA,1,0)</f>
        <v>Gourab Banreji</v>
      </c>
      <c r="AA63" s="150" t="s">
        <v>383</v>
      </c>
      <c r="AB63" s="201" t="str">
        <f aca="false">VLOOKUP(AA63,AD:AD,1,0)</f>
        <v>Keystone Partners</v>
      </c>
      <c r="AD63" s="201" t="s">
        <v>386</v>
      </c>
      <c r="AE63" s="201" t="str">
        <f aca="false">VLOOKUP(AD63,AA:AA,1,0)</f>
        <v>Prompt Legal (Shared by Jayanth)</v>
      </c>
    </row>
    <row r="64" customFormat="false" ht="46.25" hidden="false" customHeight="false" outlineLevel="0" collapsed="false">
      <c r="M64" s="205" t="s">
        <v>258</v>
      </c>
      <c r="N64" s="201" t="str">
        <f aca="false">VLOOKUP(M64,P:P,1,0)</f>
        <v>Kazan Shroff</v>
      </c>
      <c r="P64" s="209" t="s">
        <v>258</v>
      </c>
      <c r="Q64" s="201" t="str">
        <f aca="false">VLOOKUP(P64,S:S,1,0)</f>
        <v>Kazan Shroff</v>
      </c>
      <c r="S64" s="207" t="s">
        <v>303</v>
      </c>
      <c r="T64" s="201" t="str">
        <f aca="false">VLOOKUP(S64,U:U,1,0)</f>
        <v>Gaurav Mehta</v>
      </c>
      <c r="U64" s="128" t="s">
        <v>337</v>
      </c>
      <c r="V64" s="201" t="str">
        <f aca="false">VLOOKUP(U64,X:X,1,0)</f>
        <v>Jennifer Michael</v>
      </c>
      <c r="X64" s="145" t="s">
        <v>219</v>
      </c>
      <c r="Y64" s="201" t="str">
        <f aca="false">VLOOKUP(X64,AA:AA,1,0)</f>
        <v>Gunjan Mangla</v>
      </c>
      <c r="AA64" s="150" t="s">
        <v>386</v>
      </c>
      <c r="AB64" s="201" t="str">
        <f aca="false">VLOOKUP(AA64,AD:AD,1,0)</f>
        <v>Prompt Legal (Shared by Jayanth)</v>
      </c>
      <c r="AD64" s="201" t="s">
        <v>388</v>
      </c>
      <c r="AE64" s="201" t="str">
        <f aca="false">VLOOKUP(AD64,AA:AA,1,0)</f>
        <v>Justice (Retd.) AK Sikri</v>
      </c>
    </row>
    <row r="65" customFormat="false" ht="13.5" hidden="false" customHeight="false" outlineLevel="0" collapsed="false">
      <c r="M65" s="207" t="s">
        <v>260</v>
      </c>
      <c r="N65" s="201" t="str">
        <f aca="false">VLOOKUP(M65,P:P,1,0)</f>
        <v>Kajol Punjabi</v>
      </c>
      <c r="P65" s="205" t="s">
        <v>260</v>
      </c>
      <c r="Q65" s="201" t="str">
        <f aca="false">VLOOKUP(P65,S:S,1,0)</f>
        <v>Kajol Punjabi</v>
      </c>
      <c r="S65" s="207" t="s">
        <v>305</v>
      </c>
      <c r="T65" s="201" t="e">
        <f aca="false">VLOOKUP(S65,U:U,1,0)</f>
        <v>#N/A</v>
      </c>
      <c r="U65" s="128" t="s">
        <v>339</v>
      </c>
      <c r="V65" s="201" t="str">
        <f aca="false">VLOOKUP(U65,X:X,1,0)</f>
        <v>SomÂ Sinha &amp; Associates</v>
      </c>
      <c r="X65" s="128" t="s">
        <v>288</v>
      </c>
      <c r="Y65" s="201" t="str">
        <f aca="false">VLOOKUP(X65,AA:AA,1,0)</f>
        <v>Gupta Law Associates</v>
      </c>
      <c r="AA65" s="145" t="s">
        <v>388</v>
      </c>
      <c r="AB65" s="201" t="str">
        <f aca="false">VLOOKUP(AA65,AD:AD,1,0)</f>
        <v>Justice (Retd.) AK Sikri</v>
      </c>
      <c r="AD65" s="201" t="s">
        <v>393</v>
      </c>
      <c r="AE65" s="201" t="str">
        <f aca="false">VLOOKUP(AD65,AA:AA,1,0)</f>
        <v>Amrita Panda / ADP Chambers- 62</v>
      </c>
    </row>
    <row r="66" customFormat="false" ht="13.5" hidden="false" customHeight="false" outlineLevel="0" collapsed="false">
      <c r="M66" s="207" t="s">
        <v>262</v>
      </c>
      <c r="N66" s="201" t="str">
        <f aca="false">VLOOKUP(M66,P:P,1,0)</f>
        <v>Neeta Jain</v>
      </c>
      <c r="P66" s="209" t="s">
        <v>262</v>
      </c>
      <c r="Q66" s="201" t="str">
        <f aca="false">VLOOKUP(P66,S:S,1,0)</f>
        <v>Neeta Jain</v>
      </c>
      <c r="S66" s="207" t="s">
        <v>307</v>
      </c>
      <c r="T66" s="201" t="str">
        <f aca="false">VLOOKUP(S66,U:U,1,0)</f>
        <v>Kachwaha &amp; Partners</v>
      </c>
      <c r="U66" s="128" t="s">
        <v>341</v>
      </c>
      <c r="V66" s="201" t="str">
        <f aca="false">VLOOKUP(U66,X:X,1,0)</f>
        <v>MZM Legal LLP</v>
      </c>
      <c r="X66" s="128" t="s">
        <v>643</v>
      </c>
      <c r="Y66" s="201" t="str">
        <f aca="false">VLOOKUP(X66,AA:AA,1,0)</f>
        <v>Hamsaanandini Nanduri</v>
      </c>
      <c r="AA66" s="145" t="s">
        <v>393</v>
      </c>
      <c r="AB66" s="201" t="str">
        <f aca="false">VLOOKUP(AA66,AD:AD,1,0)</f>
        <v>Amrita Panda / ADP Chambers- 62</v>
      </c>
      <c r="AD66" s="201" t="s">
        <v>396</v>
      </c>
      <c r="AE66" s="201" t="e">
        <f aca="false">VLOOKUP(AD66,AA:AA,1,0)</f>
        <v>#N/A</v>
      </c>
    </row>
    <row r="67" customFormat="false" ht="135.8" hidden="false" customHeight="false" outlineLevel="0" collapsed="false">
      <c r="M67" s="207" t="s">
        <v>264</v>
      </c>
      <c r="N67" s="201" t="str">
        <f aca="false">VLOOKUP(M67,P:P,1,0)</f>
        <v>Amrut Joshi</v>
      </c>
      <c r="P67" s="207" t="s">
        <v>264</v>
      </c>
      <c r="Q67" s="201" t="str">
        <f aca="false">VLOOKUP(P67,S:S,1,0)</f>
        <v>Amrut Joshi</v>
      </c>
      <c r="S67" s="207" t="s">
        <v>311</v>
      </c>
      <c r="T67" s="201" t="str">
        <f aca="false">VLOOKUP(S67,U:U,1,0)</f>
        <v>Vishal Kanade</v>
      </c>
      <c r="U67" s="128" t="s">
        <v>344</v>
      </c>
      <c r="V67" s="201" t="str">
        <f aca="false">VLOOKUP(U67,X:X,1,0)</f>
        <v>Stride Legal</v>
      </c>
      <c r="X67" s="128" t="s">
        <v>296</v>
      </c>
      <c r="Y67" s="201" t="str">
        <f aca="false">VLOOKUP(X67,AA:AA,1,0)</f>
        <v>Hamza mir</v>
      </c>
      <c r="AA67" s="150" t="s">
        <v>397</v>
      </c>
      <c r="AB67" s="201" t="str">
        <f aca="false">VLOOKUP(AA67,AD:AD,1,0)</f>
        <v>Chambers of Justice Mohit S Shah (Retd.), Former Chief Justice of Bombay and Calcutta High Court</v>
      </c>
      <c r="AD67" s="201" t="s">
        <v>397</v>
      </c>
      <c r="AE67" s="201" t="str">
        <f aca="false">VLOOKUP(AD67,AA:AA,1,0)</f>
        <v>Chambers of Justice Mohit S Shah (Retd.), Former Chief Justice of Bombay and Calcutta High Court</v>
      </c>
    </row>
    <row r="68" customFormat="false" ht="13.5" hidden="false" customHeight="false" outlineLevel="0" collapsed="false">
      <c r="M68" s="207" t="s">
        <v>267</v>
      </c>
      <c r="N68" s="201" t="str">
        <f aca="false">VLOOKUP(M68,P:P,1,0)</f>
        <v>Gaurav Joshi</v>
      </c>
      <c r="P68" s="205" t="s">
        <v>267</v>
      </c>
      <c r="Q68" s="201" t="str">
        <f aca="false">VLOOKUP(P68,S:S,1,0)</f>
        <v>Gaurav Joshi</v>
      </c>
      <c r="S68" s="207" t="s">
        <v>313</v>
      </c>
      <c r="T68" s="201" t="e">
        <f aca="false">VLOOKUP(S68,U:U,1,0)</f>
        <v>#N/A</v>
      </c>
      <c r="U68" s="128" t="s">
        <v>189</v>
      </c>
      <c r="V68" s="201" t="str">
        <f aca="false">VLOOKUP(U68,X:X,1,0)</f>
        <v>Chetan Dedhia</v>
      </c>
      <c r="X68" s="128" t="s">
        <v>152</v>
      </c>
      <c r="Y68" s="201" t="str">
        <f aca="false">VLOOKUP(X68,AA:AA,1,0)</f>
        <v>Harshit Malik</v>
      </c>
      <c r="AA68" s="145" t="s">
        <v>399</v>
      </c>
      <c r="AB68" s="201" t="str">
        <f aca="false">VLOOKUP(AA68,AD:AD,1,0)</f>
        <v>Wadia Ghandy &amp; Co.</v>
      </c>
      <c r="AD68" s="201" t="s">
        <v>399</v>
      </c>
      <c r="AE68" s="201" t="str">
        <f aca="false">VLOOKUP(AD68,AA:AA,1,0)</f>
        <v>Wadia Ghandy &amp; Co.</v>
      </c>
    </row>
    <row r="69" customFormat="false" ht="13.5" hidden="false" customHeight="false" outlineLevel="0" collapsed="false">
      <c r="M69" s="207" t="s">
        <v>269</v>
      </c>
      <c r="N69" s="201" t="str">
        <f aca="false">VLOOKUP(M69,P:P,1,0)</f>
        <v>Kamaljeet Singh</v>
      </c>
      <c r="P69" s="207" t="s">
        <v>269</v>
      </c>
      <c r="Q69" s="201" t="str">
        <f aca="false">VLOOKUP(P69,S:S,1,0)</f>
        <v>Kamaljeet Singh</v>
      </c>
      <c r="S69" s="209" t="s">
        <v>316</v>
      </c>
      <c r="T69" s="201" t="str">
        <f aca="false">VLOOKUP(S69,U:U,1,0)</f>
        <v>C&amp;S Partners</v>
      </c>
      <c r="U69" s="128" t="s">
        <v>309</v>
      </c>
      <c r="V69" s="201" t="str">
        <f aca="false">VLOOKUP(U69,X:X,1,0)</f>
        <v>Zoheb Hossain</v>
      </c>
      <c r="X69" s="128" t="s">
        <v>234</v>
      </c>
      <c r="Y69" s="201" t="str">
        <f aca="false">VLOOKUP(X69,AA:AA,1,0)</f>
        <v>ICL CORPORATE ADVISORY PRIVATE LIMITED</v>
      </c>
      <c r="AA69" s="145" t="s">
        <v>403</v>
      </c>
      <c r="AB69" s="201" t="str">
        <f aca="false">VLOOKUP(AA69,AD:AD,1,0)</f>
        <v>Eternity Legal</v>
      </c>
      <c r="AD69" s="201" t="s">
        <v>403</v>
      </c>
      <c r="AE69" s="201" t="str">
        <f aca="false">VLOOKUP(AD69,AA:AA,1,0)</f>
        <v>Eternity Legal</v>
      </c>
    </row>
    <row r="70" customFormat="false" ht="13.5" hidden="false" customHeight="false" outlineLevel="0" collapsed="false">
      <c r="M70" s="205" t="s">
        <v>273</v>
      </c>
      <c r="N70" s="201" t="str">
        <f aca="false">VLOOKUP(M70,P:P,1,0)</f>
        <v>Pioneer Legal</v>
      </c>
      <c r="P70" s="207" t="s">
        <v>271</v>
      </c>
      <c r="Q70" s="201" t="e">
        <f aca="false">VLOOKUP(P70,S:S,1,0)</f>
        <v>#N/A</v>
      </c>
      <c r="S70" s="207" t="s">
        <v>318</v>
      </c>
      <c r="T70" s="201" t="str">
        <f aca="false">VLOOKUP(S70,U:U,1,0)</f>
        <v>Asahi Legal LLP</v>
      </c>
      <c r="U70" s="128" t="s">
        <v>350</v>
      </c>
      <c r="V70" s="201" t="str">
        <f aca="false">VLOOKUP(U70,X:X,1,0)</f>
        <v>Meghav Gupta</v>
      </c>
      <c r="X70" s="131" t="s">
        <v>372</v>
      </c>
      <c r="Y70" s="201" t="str">
        <f aca="false">VLOOKUP(X70,AA:AA,1,0)</f>
        <v>IndusLaw</v>
      </c>
      <c r="AA70" s="145" t="s">
        <v>405</v>
      </c>
      <c r="AB70" s="201" t="str">
        <f aca="false">VLOOKUP(AA70,AD:AD,1,0)</f>
        <v>Nora Legal Consultants LLP</v>
      </c>
      <c r="AD70" s="201" t="s">
        <v>405</v>
      </c>
      <c r="AE70" s="201" t="str">
        <f aca="false">VLOOKUP(AD70,AA:AA,1,0)</f>
        <v>Nora Legal Consultants LLP</v>
      </c>
    </row>
    <row r="71" customFormat="false" ht="13.5" hidden="false" customHeight="false" outlineLevel="0" collapsed="false">
      <c r="M71" s="207" t="s">
        <v>278</v>
      </c>
      <c r="N71" s="201" t="str">
        <f aca="false">VLOOKUP(M71,P:P,1,0)</f>
        <v>Manish kelker</v>
      </c>
      <c r="P71" s="207" t="s">
        <v>273</v>
      </c>
      <c r="Q71" s="201" t="e">
        <f aca="false">VLOOKUP(P71,S:S,1,0)</f>
        <v>#N/A</v>
      </c>
      <c r="S71" s="207" t="s">
        <v>320</v>
      </c>
      <c r="T71" s="201" t="str">
        <f aca="false">VLOOKUP(S71,U:U,1,0)</f>
        <v>Chambers of Moazzam Khan</v>
      </c>
      <c r="U71" s="128" t="s">
        <v>352</v>
      </c>
      <c r="V71" s="201" t="str">
        <f aca="false">VLOOKUP(U71,X:X,1,0)</f>
        <v>Shashwat Bajpai</v>
      </c>
      <c r="X71" s="128" t="s">
        <v>408</v>
      </c>
      <c r="Y71" s="201" t="str">
        <f aca="false">VLOOKUP(X71,AA:AA,1,0)</f>
        <v>Innovatus Law</v>
      </c>
      <c r="AA71" s="145" t="s">
        <v>408</v>
      </c>
      <c r="AB71" s="201" t="str">
        <f aca="false">VLOOKUP(AA71,AD:AD,1,0)</f>
        <v>Innovatus Law</v>
      </c>
      <c r="AD71" s="201" t="s">
        <v>408</v>
      </c>
      <c r="AE71" s="201" t="str">
        <f aca="false">VLOOKUP(AD71,AA:AA,1,0)</f>
        <v>Innovatus Law</v>
      </c>
    </row>
    <row r="72" customFormat="false" ht="13.5" hidden="false" customHeight="false" outlineLevel="0" collapsed="false">
      <c r="M72" s="207" t="s">
        <v>281</v>
      </c>
      <c r="N72" s="201" t="str">
        <f aca="false">VLOOKUP(M72,P:P,1,0)</f>
        <v>Diwan Law Associates</v>
      </c>
      <c r="P72" s="207" t="s">
        <v>275</v>
      </c>
      <c r="Q72" s="201" t="str">
        <f aca="false">VLOOKUP(P72,S:S,1,0)</f>
        <v>Dua Associates</v>
      </c>
      <c r="S72" s="207" t="s">
        <v>322</v>
      </c>
      <c r="T72" s="201" t="str">
        <f aca="false">VLOOKUP(S72,U:U,1,0)</f>
        <v>Vis Legis Law Practice</v>
      </c>
      <c r="U72" s="128" t="s">
        <v>354</v>
      </c>
      <c r="V72" s="201" t="e">
        <f aca="false">VLOOKUP(U72,X:X,1,0)</f>
        <v>#N/A</v>
      </c>
      <c r="X72" s="145" t="s">
        <v>518</v>
      </c>
      <c r="Y72" s="201" t="str">
        <f aca="false">VLOOKUP(X72,AA:AA,1,0)</f>
        <v>IRIS LEGAL</v>
      </c>
      <c r="AA72" s="145" t="s">
        <v>410</v>
      </c>
      <c r="AB72" s="201" t="str">
        <f aca="false">VLOOKUP(AA72,AD:AD,1,0)</f>
        <v>Gourab Banreji</v>
      </c>
      <c r="AD72" s="201" t="s">
        <v>410</v>
      </c>
      <c r="AE72" s="201" t="str">
        <f aca="false">VLOOKUP(AD72,AA:AA,1,0)</f>
        <v>Gourab Banreji</v>
      </c>
    </row>
    <row r="73" customFormat="false" ht="13.5" hidden="false" customHeight="false" outlineLevel="0" collapsed="false">
      <c r="M73" s="207" t="s">
        <v>284</v>
      </c>
      <c r="N73" s="201" t="str">
        <f aca="false">VLOOKUP(M73,P:P,1,0)</f>
        <v>SRCO Legal / Salvador Raghav &amp; Co.</v>
      </c>
      <c r="P73" s="209" t="s">
        <v>278</v>
      </c>
      <c r="Q73" s="201" t="str">
        <f aca="false">VLOOKUP(P73,S:S,1,0)</f>
        <v>Manish kelker</v>
      </c>
      <c r="S73" s="209" t="s">
        <v>324</v>
      </c>
      <c r="T73" s="201" t="str">
        <f aca="false">VLOOKUP(S73,U:U,1,0)</f>
        <v>Phoenix Legal</v>
      </c>
      <c r="U73" s="128" t="s">
        <v>356</v>
      </c>
      <c r="V73" s="201" t="str">
        <f aca="false">VLOOKUP(U73,X:X,1,0)</f>
        <v>Nitish Raj</v>
      </c>
      <c r="X73" s="210" t="s">
        <v>442</v>
      </c>
      <c r="Y73" s="201" t="str">
        <f aca="false">VLOOKUP(X73,AA:AA,1,0)</f>
        <v>Ish Jain / Regius Partners LLP</v>
      </c>
      <c r="AA73" s="145" t="s">
        <v>416</v>
      </c>
      <c r="AB73" s="201" t="str">
        <f aca="false">VLOOKUP(AA73,AD:AD,1,0)</f>
        <v>Ratan Kumar Singh</v>
      </c>
      <c r="AD73" s="201" t="s">
        <v>416</v>
      </c>
      <c r="AE73" s="201" t="str">
        <f aca="false">VLOOKUP(AD73,AA:AA,1,0)</f>
        <v>Ratan Kumar Singh</v>
      </c>
    </row>
    <row r="74" customFormat="false" ht="23.85" hidden="false" customHeight="false" outlineLevel="0" collapsed="false">
      <c r="M74" s="207" t="s">
        <v>309</v>
      </c>
      <c r="N74" s="201" t="str">
        <f aca="false">VLOOKUP(M74,P:P,1,0)</f>
        <v>Zoheb Hossain</v>
      </c>
      <c r="P74" s="205" t="s">
        <v>281</v>
      </c>
      <c r="Q74" s="201" t="str">
        <f aca="false">VLOOKUP(P74,S:S,1,0)</f>
        <v>Diwan Law Associates</v>
      </c>
      <c r="S74" s="205" t="s">
        <v>326</v>
      </c>
      <c r="T74" s="201" t="str">
        <f aca="false">VLOOKUP(S74,U:U,1,0)</f>
        <v>Nikhil Pai</v>
      </c>
      <c r="U74" s="150" t="s">
        <v>362</v>
      </c>
      <c r="V74" s="201" t="str">
        <f aca="false">VLOOKUP(U74,X:X,1,0)</f>
        <v>Daswani &amp; Daswani</v>
      </c>
      <c r="X74" s="145" t="s">
        <v>328</v>
      </c>
      <c r="Y74" s="201" t="str">
        <f aca="false">VLOOKUP(X74,AA:AA,1,0)</f>
        <v>J INFRATECH LIMITED</v>
      </c>
      <c r="AA74" s="145" t="s">
        <v>420</v>
      </c>
      <c r="AB74" s="201" t="str">
        <f aca="false">VLOOKUP(AA74,AD:AD,1,0)</f>
        <v>Mr Rohit Gupta</v>
      </c>
      <c r="AD74" s="201" t="s">
        <v>420</v>
      </c>
      <c r="AE74" s="201" t="str">
        <f aca="false">VLOOKUP(AD74,AA:AA,1,0)</f>
        <v>Mr Rohit Gupta</v>
      </c>
    </row>
    <row r="75" customFormat="false" ht="35.05" hidden="false" customHeight="false" outlineLevel="0" collapsed="false">
      <c r="M75" s="209" t="s">
        <v>331</v>
      </c>
      <c r="N75" s="201" t="str">
        <f aca="false">VLOOKUP(M75,P:P,1,0)</f>
        <v>Vesta Legal</v>
      </c>
      <c r="P75" s="207" t="s">
        <v>284</v>
      </c>
      <c r="Q75" s="201" t="str">
        <f aca="false">VLOOKUP(P75,S:S,1,0)</f>
        <v>SRCO Legal / Salvador Raghav &amp; Co.</v>
      </c>
      <c r="S75" s="209" t="s">
        <v>328</v>
      </c>
      <c r="T75" s="201" t="str">
        <f aca="false">VLOOKUP(S75,U:U,1,0)</f>
        <v>J INFRATECH LIMITED</v>
      </c>
      <c r="U75" s="150" t="s">
        <v>366</v>
      </c>
      <c r="V75" s="201" t="str">
        <f aca="false">VLOOKUP(U75,X:X,1,0)</f>
        <v>Samya Law Chambers</v>
      </c>
      <c r="X75" s="128" t="s">
        <v>771</v>
      </c>
      <c r="Y75" s="201" t="str">
        <f aca="false">VLOOKUP(X75,AA:AA,1,0)</f>
        <v>J.R. LADDHA FINANCIAL SERVICES PRIVATE LIMITED</v>
      </c>
      <c r="AA75" s="150" t="s">
        <v>425</v>
      </c>
      <c r="AB75" s="201" t="str">
        <f aca="false">VLOOKUP(AA75,AD:AD,1,0)</f>
        <v>Sanjay Udeshi &amp; Co.</v>
      </c>
      <c r="AD75" s="201" t="s">
        <v>425</v>
      </c>
      <c r="AE75" s="201" t="str">
        <f aca="false">VLOOKUP(AD75,AA:AA,1,0)</f>
        <v>Sanjay Udeshi &amp; Co.</v>
      </c>
    </row>
    <row r="76" customFormat="false" ht="68.65" hidden="false" customHeight="false" outlineLevel="0" collapsed="false">
      <c r="M76" s="207" t="s">
        <v>383</v>
      </c>
      <c r="N76" s="201" t="str">
        <f aca="false">VLOOKUP(M76,P:P,1,0)</f>
        <v>Keystone Partners</v>
      </c>
      <c r="P76" s="207" t="s">
        <v>286</v>
      </c>
      <c r="Q76" s="201" t="str">
        <f aca="false">VLOOKUP(P76,S:S,1,0)</f>
        <v>Sarthak Advocates &amp; Solicitors</v>
      </c>
      <c r="S76" s="207" t="s">
        <v>331</v>
      </c>
      <c r="T76" s="201" t="str">
        <f aca="false">VLOOKUP(S76,U:U,1,0)</f>
        <v>Vesta Legal</v>
      </c>
      <c r="U76" s="145" t="s">
        <v>368</v>
      </c>
      <c r="V76" s="201" t="str">
        <f aca="false">VLOOKUP(U76,X:X,1,0)</f>
        <v>Shri Venkatesh , SKV law offices</v>
      </c>
      <c r="X76" s="210" t="s">
        <v>168</v>
      </c>
      <c r="Y76" s="201" t="str">
        <f aca="false">VLOOKUP(X76,AA:AA,1,0)</f>
        <v>Jade Lex Partners</v>
      </c>
      <c r="AA76" s="150" t="s">
        <v>427</v>
      </c>
      <c r="AB76" s="201" t="str">
        <f aca="false">VLOOKUP(AA76,AD:AD,1,0)</f>
        <v>Abel Tom Benny // Thomas and Thomas Advocates</v>
      </c>
      <c r="AD76" s="201" t="s">
        <v>427</v>
      </c>
      <c r="AE76" s="201" t="str">
        <f aca="false">VLOOKUP(AD76,AA:AA,1,0)</f>
        <v>Abel Tom Benny // Thomas and Thomas Advocates</v>
      </c>
    </row>
    <row r="77" customFormat="false" ht="23.85" hidden="false" customHeight="false" outlineLevel="0" collapsed="false">
      <c r="M77" s="207" t="s">
        <v>341</v>
      </c>
      <c r="N77" s="201" t="str">
        <f aca="false">VLOOKUP(M77,P:P,1,0)</f>
        <v>MZM Legal LLP</v>
      </c>
      <c r="P77" s="207" t="s">
        <v>288</v>
      </c>
      <c r="Q77" s="201" t="str">
        <f aca="false">VLOOKUP(P77,S:S,1,0)</f>
        <v>Gupta Law Associates</v>
      </c>
      <c r="S77" s="207" t="s">
        <v>333</v>
      </c>
      <c r="T77" s="201" t="str">
        <f aca="false">VLOOKUP(S77,U:U,1,0)</f>
        <v>Vyom Shah</v>
      </c>
      <c r="U77" s="145" t="s">
        <v>370</v>
      </c>
      <c r="V77" s="201" t="str">
        <f aca="false">VLOOKUP(U77,X:X,1,0)</f>
        <v>Parakram Legal</v>
      </c>
      <c r="X77" s="128" t="s">
        <v>751</v>
      </c>
      <c r="Y77" s="201" t="str">
        <f aca="false">VLOOKUP(X77,AA:AA,1,0)</f>
        <v>Jain and Talukdar</v>
      </c>
      <c r="AA77" s="150" t="s">
        <v>429</v>
      </c>
      <c r="AB77" s="201" t="str">
        <f aca="false">VLOOKUP(AA77,AD:AD,1,0)</f>
        <v>Farhan Dubash </v>
      </c>
      <c r="AD77" s="201" t="s">
        <v>429</v>
      </c>
      <c r="AE77" s="201" t="str">
        <f aca="false">VLOOKUP(AD77,AA:AA,1,0)</f>
        <v>Farhan Dubash </v>
      </c>
    </row>
    <row r="78" customFormat="false" ht="23.85" hidden="false" customHeight="false" outlineLevel="0" collapsed="false">
      <c r="M78" s="207" t="s">
        <v>386</v>
      </c>
      <c r="N78" s="201" t="str">
        <f aca="false">VLOOKUP(M78,P:P,1,0)</f>
        <v>Prompt Legal (Shared by Jayanth)</v>
      </c>
      <c r="P78" s="207" t="s">
        <v>291</v>
      </c>
      <c r="Q78" s="201" t="str">
        <f aca="false">VLOOKUP(P78,S:S,1,0)</f>
        <v>Kunal Kunango</v>
      </c>
      <c r="S78" s="205" t="s">
        <v>335</v>
      </c>
      <c r="T78" s="201" t="str">
        <f aca="false">VLOOKUP(S78,U:U,1,0)</f>
        <v>Zubin Behramkamdin</v>
      </c>
      <c r="U78" s="150" t="s">
        <v>372</v>
      </c>
      <c r="V78" s="201" t="str">
        <f aca="false">VLOOKUP(U78,X:X,1,0)</f>
        <v>IndusLaw</v>
      </c>
      <c r="X78" s="210" t="s">
        <v>703</v>
      </c>
      <c r="Y78" s="201" t="str">
        <f aca="false">VLOOKUP(X78,AA:AA,1,0)</f>
        <v>Jaiveer Shergil</v>
      </c>
      <c r="AA78" s="150" t="s">
        <v>431</v>
      </c>
      <c r="AB78" s="201" t="str">
        <f aca="false">VLOOKUP(AA78,AD:AD,1,0)</f>
        <v>Mustafa S Doctor</v>
      </c>
      <c r="AD78" s="201" t="s">
        <v>431</v>
      </c>
      <c r="AE78" s="201" t="str">
        <f aca="false">VLOOKUP(AD78,AA:AA,1,0)</f>
        <v>Mustafa S Doctor</v>
      </c>
    </row>
    <row r="79" customFormat="false" ht="23.85" hidden="false" customHeight="false" outlineLevel="0" collapsed="false">
      <c r="M79" s="207" t="s">
        <v>388</v>
      </c>
      <c r="N79" s="201" t="str">
        <f aca="false">VLOOKUP(M79,P:P,1,0)</f>
        <v>Justice (Retd.) AK Sikri</v>
      </c>
      <c r="P79" s="207" t="s">
        <v>293</v>
      </c>
      <c r="Q79" s="201" t="str">
        <f aca="false">VLOOKUP(P79,S:S,1,0)</f>
        <v>Divyanshu Rai</v>
      </c>
      <c r="S79" s="207" t="s">
        <v>337</v>
      </c>
      <c r="T79" s="201" t="str">
        <f aca="false">VLOOKUP(S79,U:U,1,0)</f>
        <v>Jennifer Michael</v>
      </c>
      <c r="U79" s="145" t="s">
        <v>375</v>
      </c>
      <c r="V79" s="201" t="str">
        <f aca="false">VLOOKUP(U79,X:X,1,0)</f>
        <v>Deep Cover Law- Chirag Narasimiah</v>
      </c>
      <c r="X79" s="128" t="s">
        <v>612</v>
      </c>
      <c r="Y79" s="201" t="e">
        <f aca="false">VLOOKUP(X79,AA:AA,1,0)</f>
        <v>#N/A</v>
      </c>
      <c r="AA79" s="150" t="s">
        <v>434</v>
      </c>
      <c r="AB79" s="201" t="str">
        <f aca="false">VLOOKUP(AA79,AD:AD,1,0)</f>
        <v>Naushad Engineer</v>
      </c>
      <c r="AD79" s="201" t="s">
        <v>434</v>
      </c>
      <c r="AE79" s="201" t="str">
        <f aca="false">VLOOKUP(AD79,AA:AA,1,0)</f>
        <v>Naushad Engineer</v>
      </c>
    </row>
    <row r="80" customFormat="false" ht="23.85" hidden="false" customHeight="false" outlineLevel="0" collapsed="false">
      <c r="M80" s="205" t="s">
        <v>393</v>
      </c>
      <c r="N80" s="201" t="str">
        <f aca="false">VLOOKUP(M80,P:P,1,0)</f>
        <v>Amrita Panda / ADP Chambers- 62</v>
      </c>
      <c r="P80" s="207" t="s">
        <v>296</v>
      </c>
      <c r="Q80" s="201" t="str">
        <f aca="false">VLOOKUP(P80,S:S,1,0)</f>
        <v>Hamza mir</v>
      </c>
      <c r="S80" s="207" t="s">
        <v>339</v>
      </c>
      <c r="T80" s="201" t="str">
        <f aca="false">VLOOKUP(S80,U:U,1,0)</f>
        <v>SomÂ Sinha &amp; Associates</v>
      </c>
      <c r="U80" s="145" t="s">
        <v>247</v>
      </c>
      <c r="V80" s="201" t="e">
        <f aca="false">VLOOKUP(U80,X:X,1,0)</f>
        <v>#N/A</v>
      </c>
      <c r="X80" s="128" t="s">
        <v>337</v>
      </c>
      <c r="Y80" s="201" t="str">
        <f aca="false">VLOOKUP(X80,AA:AA,1,0)</f>
        <v>Jennifer Michael</v>
      </c>
      <c r="AA80" s="150" t="s">
        <v>436</v>
      </c>
      <c r="AB80" s="201" t="str">
        <f aca="false">VLOOKUP(AA80,AD:AD,1,0)</f>
        <v>Shyam Kapadia</v>
      </c>
      <c r="AD80" s="201" t="s">
        <v>436</v>
      </c>
      <c r="AE80" s="201" t="str">
        <f aca="false">VLOOKUP(AD80,AA:AA,1,0)</f>
        <v>Shyam Kapadia</v>
      </c>
    </row>
    <row r="81" customFormat="false" ht="13.5" hidden="false" customHeight="false" outlineLevel="0" collapsed="false">
      <c r="M81" s="207" t="s">
        <v>397</v>
      </c>
      <c r="N81" s="201" t="str">
        <f aca="false">VLOOKUP(M81,P:P,1,0)</f>
        <v>Chambers of Justice Mohit S Shah (Retd.), Former Chief Justice of Bombay and Calcutta High Court</v>
      </c>
      <c r="P81" s="205" t="s">
        <v>299</v>
      </c>
      <c r="Q81" s="201" t="str">
        <f aca="false">VLOOKUP(P81,S:S,1,0)</f>
        <v>Chambers of Ninad Laud</v>
      </c>
      <c r="S81" s="207" t="s">
        <v>341</v>
      </c>
      <c r="T81" s="201" t="str">
        <f aca="false">VLOOKUP(S81,U:U,1,0)</f>
        <v>MZM Legal LLP</v>
      </c>
      <c r="U81" s="145" t="s">
        <v>383</v>
      </c>
      <c r="V81" s="201" t="str">
        <f aca="false">VLOOKUP(U81,X:X,1,0)</f>
        <v>Keystone Partners</v>
      </c>
      <c r="X81" s="128" t="s">
        <v>551</v>
      </c>
      <c r="Y81" s="201" t="str">
        <f aca="false">VLOOKUP(X81,AA:AA,1,0)</f>
        <v>Joy Baxi &amp; Associates</v>
      </c>
      <c r="AA81" s="145" t="s">
        <v>442</v>
      </c>
      <c r="AB81" s="201" t="str">
        <f aca="false">VLOOKUP(AA81,AD:AD,1,0)</f>
        <v>Ish Jain / Regius Partners LLP</v>
      </c>
      <c r="AD81" s="201" t="s">
        <v>442</v>
      </c>
      <c r="AE81" s="201" t="str">
        <f aca="false">VLOOKUP(AD81,AA:AA,1,0)</f>
        <v>Ish Jain / Regius Partners LLP</v>
      </c>
    </row>
    <row r="82" customFormat="false" ht="68.65" hidden="false" customHeight="false" outlineLevel="0" collapsed="false">
      <c r="M82" s="205" t="s">
        <v>399</v>
      </c>
      <c r="N82" s="201" t="str">
        <f aca="false">VLOOKUP(M82,P:P,1,0)</f>
        <v>Wadia Ghandy &amp; Co.</v>
      </c>
      <c r="P82" s="207" t="s">
        <v>301</v>
      </c>
      <c r="Q82" s="201" t="str">
        <f aca="false">VLOOKUP(P82,S:S,1,0)</f>
        <v>Gera Developments Pvt. Ltd.</v>
      </c>
      <c r="S82" s="207" t="s">
        <v>344</v>
      </c>
      <c r="T82" s="201" t="str">
        <f aca="false">VLOOKUP(S82,U:U,1,0)</f>
        <v>Stride Legal</v>
      </c>
      <c r="U82" s="145" t="s">
        <v>386</v>
      </c>
      <c r="V82" s="201" t="str">
        <f aca="false">VLOOKUP(U82,X:X,1,0)</f>
        <v>Prompt Legal (Shared by Jayanth)</v>
      </c>
      <c r="X82" s="128" t="s">
        <v>784</v>
      </c>
      <c r="Y82" s="201" t="str">
        <f aca="false">VLOOKUP(X82,AA:AA,1,0)</f>
        <v>JSM Law Partners</v>
      </c>
      <c r="AA82" s="159" t="s">
        <v>445</v>
      </c>
      <c r="AB82" s="204" t="str">
        <f aca="false">VLOOKUP(AA82,AD:AD,1,0)</f>
        <v>
The Guild | Advocates &amp; Associate Counsel</v>
      </c>
      <c r="AD82" s="204" t="s">
        <v>445</v>
      </c>
      <c r="AE82" s="204" t="str">
        <f aca="false">VLOOKUP(AD82,AA:AA,1,0)</f>
        <v>
The Guild | Advocates &amp; Associate Counsel</v>
      </c>
    </row>
    <row r="83" customFormat="false" ht="46.25" hidden="false" customHeight="false" outlineLevel="0" collapsed="false">
      <c r="M83" s="207" t="s">
        <v>401</v>
      </c>
      <c r="N83" s="201" t="str">
        <f aca="false">VLOOKUP(M83,P:P,1,0)</f>
        <v>Burgeon Law LLP</v>
      </c>
      <c r="P83" s="207" t="s">
        <v>303</v>
      </c>
      <c r="Q83" s="201" t="str">
        <f aca="false">VLOOKUP(P83,S:S,1,0)</f>
        <v>Gaurav Mehta</v>
      </c>
      <c r="S83" s="209" t="s">
        <v>346</v>
      </c>
      <c r="T83" s="201" t="str">
        <f aca="false">VLOOKUP(S83,U:U,1,0)</f>
        <v>Rithin Rai</v>
      </c>
      <c r="U83" s="145" t="s">
        <v>388</v>
      </c>
      <c r="V83" s="201" t="str">
        <f aca="false">VLOOKUP(U83,X:X,1,0)</f>
        <v>Justice (Retd.) AK Sikri</v>
      </c>
      <c r="X83" s="210" t="s">
        <v>388</v>
      </c>
      <c r="Y83" s="201" t="str">
        <f aca="false">VLOOKUP(X83,AA:AA,1,0)</f>
        <v>Justice (Retd.) AK Sikri</v>
      </c>
      <c r="AA83" s="150" t="s">
        <v>448</v>
      </c>
      <c r="AB83" s="201" t="str">
        <f aca="false">VLOOKUP(AA83,AD:AD,1,0)</f>
        <v>Abhimanyu Garg / Methodica Legal </v>
      </c>
      <c r="AD83" s="201" t="s">
        <v>448</v>
      </c>
      <c r="AE83" s="201" t="str">
        <f aca="false">VLOOKUP(AD83,AA:AA,1,0)</f>
        <v>Abhimanyu Garg / Methodica Legal </v>
      </c>
    </row>
    <row r="84" customFormat="false" ht="13.5" hidden="false" customHeight="false" outlineLevel="0" collapsed="false">
      <c r="M84" s="205" t="s">
        <v>403</v>
      </c>
      <c r="N84" s="201" t="str">
        <f aca="false">VLOOKUP(M84,P:P,1,0)</f>
        <v>Eternity Legal</v>
      </c>
      <c r="P84" s="207" t="s">
        <v>305</v>
      </c>
      <c r="Q84" s="201" t="str">
        <f aca="false">VLOOKUP(P84,S:S,1,0)</f>
        <v>MD&amp;T Partners</v>
      </c>
      <c r="S84" s="205" t="s">
        <v>189</v>
      </c>
      <c r="T84" s="201" t="str">
        <f aca="false">VLOOKUP(S84,U:U,1,0)</f>
        <v>Chetan Dedhia</v>
      </c>
      <c r="U84" s="145" t="s">
        <v>393</v>
      </c>
      <c r="V84" s="201" t="str">
        <f aca="false">VLOOKUP(U84,X:X,1,0)</f>
        <v>Amrita Panda / ADP Chambers- 62</v>
      </c>
      <c r="X84" s="145" t="s">
        <v>207</v>
      </c>
      <c r="Y84" s="201" t="str">
        <f aca="false">VLOOKUP(X84,AA:AA,1,0)</f>
        <v>Justice (Retd.) Kurian Joseph</v>
      </c>
      <c r="AA84" s="145" t="s">
        <v>451</v>
      </c>
      <c r="AB84" s="201" t="str">
        <f aca="false">VLOOKUP(AA84,AD:AD,1,0)</f>
        <v>Megha Chandra</v>
      </c>
      <c r="AD84" s="201" t="s">
        <v>451</v>
      </c>
      <c r="AE84" s="201" t="str">
        <f aca="false">VLOOKUP(AD84,AA:AA,1,0)</f>
        <v>Megha Chandra</v>
      </c>
    </row>
    <row r="85" customFormat="false" ht="23.85" hidden="false" customHeight="false" outlineLevel="0" collapsed="false">
      <c r="M85" s="207" t="s">
        <v>405</v>
      </c>
      <c r="N85" s="201" t="str">
        <f aca="false">VLOOKUP(M85,P:P,1,0)</f>
        <v>Nora Legal Consultants LLP</v>
      </c>
      <c r="P85" s="207" t="s">
        <v>307</v>
      </c>
      <c r="Q85" s="201" t="str">
        <f aca="false">VLOOKUP(P85,S:S,1,0)</f>
        <v>Kachwaha &amp; Partners</v>
      </c>
      <c r="S85" s="207" t="s">
        <v>309</v>
      </c>
      <c r="T85" s="201" t="str">
        <f aca="false">VLOOKUP(S85,U:U,1,0)</f>
        <v>Zoheb Hossain</v>
      </c>
      <c r="U85" s="145" t="s">
        <v>397</v>
      </c>
      <c r="V85" s="201" t="str">
        <f aca="false">VLOOKUP(U85,X:X,1,0)</f>
        <v>Chambers of Justice Mohit S Shah (Retd.), Former Chief Justice of Bombay and Calcutta High Court</v>
      </c>
      <c r="X85" s="128" t="s">
        <v>520</v>
      </c>
      <c r="Y85" s="201" t="str">
        <f aca="false">VLOOKUP(X85,AA:AA,1,0)</f>
        <v>JYOT-A Public Trust</v>
      </c>
      <c r="AA85" s="150" t="s">
        <v>458</v>
      </c>
      <c r="AB85" s="201" t="str">
        <f aca="false">VLOOKUP(AA85,AD:AD,1,0)</f>
        <v>Shiraz Rustomjee</v>
      </c>
      <c r="AD85" s="201" t="s">
        <v>458</v>
      </c>
      <c r="AE85" s="201" t="str">
        <f aca="false">VLOOKUP(AD85,AA:AA,1,0)</f>
        <v>Shiraz Rustomjee</v>
      </c>
    </row>
    <row r="86" customFormat="false" ht="23.85" hidden="false" customHeight="false" outlineLevel="0" collapsed="false">
      <c r="M86" s="207" t="s">
        <v>408</v>
      </c>
      <c r="N86" s="201" t="str">
        <f aca="false">VLOOKUP(M86,P:P,1,0)</f>
        <v>Innovatus Law</v>
      </c>
      <c r="P86" s="209" t="s">
        <v>309</v>
      </c>
      <c r="Q86" s="201" t="str">
        <f aca="false">VLOOKUP(P86,S:S,1,0)</f>
        <v>Zoheb Hossain</v>
      </c>
      <c r="S86" s="207" t="s">
        <v>350</v>
      </c>
      <c r="T86" s="201" t="str">
        <f aca="false">VLOOKUP(S86,U:U,1,0)</f>
        <v>Meghav Gupta</v>
      </c>
      <c r="U86" s="145" t="s">
        <v>399</v>
      </c>
      <c r="V86" s="201" t="str">
        <f aca="false">VLOOKUP(U86,X:X,1,0)</f>
        <v>Wadia Ghandy &amp; Co.</v>
      </c>
      <c r="X86" s="210" t="s">
        <v>307</v>
      </c>
      <c r="Y86" s="201" t="str">
        <f aca="false">VLOOKUP(X86,AA:AA,1,0)</f>
        <v>Kachwaha &amp; Partners</v>
      </c>
      <c r="AA86" s="150" t="s">
        <v>460</v>
      </c>
      <c r="AB86" s="201" t="str">
        <f aca="false">VLOOKUP(AA86,AD:AD,1,0)</f>
        <v>Dipankar Majumdar</v>
      </c>
      <c r="AD86" s="201" t="s">
        <v>460</v>
      </c>
      <c r="AE86" s="201" t="str">
        <f aca="false">VLOOKUP(AD86,AA:AA,1,0)</f>
        <v>Dipankar Majumdar</v>
      </c>
    </row>
    <row r="87" customFormat="false" ht="46.25" hidden="false" customHeight="false" outlineLevel="0" collapsed="false">
      <c r="M87" s="207" t="s">
        <v>410</v>
      </c>
      <c r="N87" s="201" t="str">
        <f aca="false">VLOOKUP(M87,P:P,1,0)</f>
        <v>Gourab Banreji</v>
      </c>
      <c r="P87" s="207" t="s">
        <v>311</v>
      </c>
      <c r="Q87" s="201" t="str">
        <f aca="false">VLOOKUP(P87,S:S,1,0)</f>
        <v>Vishal Kanade</v>
      </c>
      <c r="S87" s="207" t="s">
        <v>352</v>
      </c>
      <c r="T87" s="201" t="str">
        <f aca="false">VLOOKUP(S87,U:U,1,0)</f>
        <v>Shashwat Bajpai</v>
      </c>
      <c r="U87" s="150" t="s">
        <v>403</v>
      </c>
      <c r="V87" s="201" t="str">
        <f aca="false">VLOOKUP(U87,X:X,1,0)</f>
        <v>Eternity Legal</v>
      </c>
      <c r="X87" s="128" t="s">
        <v>260</v>
      </c>
      <c r="Y87" s="201" t="str">
        <f aca="false">VLOOKUP(X87,AA:AA,1,0)</f>
        <v>Kajol Punjabi</v>
      </c>
      <c r="AA87" s="150" t="s">
        <v>462</v>
      </c>
      <c r="AB87" s="201" t="str">
        <f aca="false">VLOOKUP(AA87,AD:AD,1,0)</f>
        <v>Office of ASG (N. Venkatraman)</v>
      </c>
      <c r="AD87" s="201" t="s">
        <v>462</v>
      </c>
      <c r="AE87" s="201" t="str">
        <f aca="false">VLOOKUP(AD87,AA:AA,1,0)</f>
        <v>Office of ASG (N. Venkatraman)</v>
      </c>
    </row>
    <row r="88" customFormat="false" ht="35.05" hidden="false" customHeight="false" outlineLevel="0" collapsed="false">
      <c r="M88" s="207" t="s">
        <v>412</v>
      </c>
      <c r="N88" s="201" t="str">
        <f aca="false">VLOOKUP(M88,P:P,1,0)</f>
        <v>Solaris Legal</v>
      </c>
      <c r="P88" s="207" t="s">
        <v>313</v>
      </c>
      <c r="Q88" s="201" t="str">
        <f aca="false">VLOOKUP(P88,S:S,1,0)</f>
        <v>Vritti Law Partners</v>
      </c>
      <c r="S88" s="207" t="s">
        <v>356</v>
      </c>
      <c r="T88" s="201" t="str">
        <f aca="false">VLOOKUP(S88,U:U,1,0)</f>
        <v>Nitish Raj</v>
      </c>
      <c r="U88" s="150" t="s">
        <v>405</v>
      </c>
      <c r="V88" s="201" t="str">
        <f aca="false">VLOOKUP(U88,X:X,1,0)</f>
        <v>Nora Legal Consultants LLP</v>
      </c>
      <c r="X88" s="128" t="s">
        <v>269</v>
      </c>
      <c r="Y88" s="201" t="str">
        <f aca="false">VLOOKUP(X88,AA:AA,1,0)</f>
        <v>Kamaljeet Singh</v>
      </c>
      <c r="AA88" s="128" t="s">
        <v>516</v>
      </c>
      <c r="AB88" s="201" t="str">
        <f aca="false">VLOOKUP(AA88,AD:AD,1,0)</f>
        <v>Birendra Saraf</v>
      </c>
      <c r="AD88" s="201" t="s">
        <v>516</v>
      </c>
      <c r="AE88" s="201" t="str">
        <f aca="false">VLOOKUP(AD88,AA:AA,1,0)</f>
        <v>Birendra Saraf</v>
      </c>
    </row>
    <row r="89" customFormat="false" ht="23.85" hidden="false" customHeight="false" outlineLevel="0" collapsed="false">
      <c r="M89" s="209" t="s">
        <v>414</v>
      </c>
      <c r="N89" s="201" t="str">
        <f aca="false">VLOOKUP(M89,P:P,1,0)</f>
        <v>MV Law Partners</v>
      </c>
      <c r="P89" s="207" t="s">
        <v>316</v>
      </c>
      <c r="Q89" s="201" t="str">
        <f aca="false">VLOOKUP(P89,S:S,1,0)</f>
        <v>C&amp;S Partners</v>
      </c>
      <c r="S89" s="207" t="s">
        <v>358</v>
      </c>
      <c r="T89" s="201" t="e">
        <f aca="false">VLOOKUP(S89,U:U,1,0)</f>
        <v>#N/A</v>
      </c>
      <c r="U89" s="150" t="s">
        <v>408</v>
      </c>
      <c r="V89" s="201" t="str">
        <f aca="false">VLOOKUP(U89,X:X,1,0)</f>
        <v>Innovatus Law</v>
      </c>
      <c r="X89" s="128" t="s">
        <v>683</v>
      </c>
      <c r="Y89" s="201" t="str">
        <f aca="false">VLOOKUP(X89,AA:AA,1,0)</f>
        <v>Karanjawala &amp; Company Advocates</v>
      </c>
      <c r="AA89" s="128" t="s">
        <v>520</v>
      </c>
      <c r="AB89" s="201" t="str">
        <f aca="false">VLOOKUP(AA89,AD:AD,1,0)</f>
        <v>JYOT-A Public Trust</v>
      </c>
      <c r="AD89" s="201" t="s">
        <v>520</v>
      </c>
      <c r="AE89" s="201" t="str">
        <f aca="false">VLOOKUP(AD89,AA:AA,1,0)</f>
        <v>JYOT-A Public Trust</v>
      </c>
    </row>
    <row r="90" customFormat="false" ht="23.85" hidden="false" customHeight="false" outlineLevel="0" collapsed="false">
      <c r="M90" s="207" t="s">
        <v>416</v>
      </c>
      <c r="N90" s="201" t="str">
        <f aca="false">VLOOKUP(M90,P:P,1,0)</f>
        <v>Ratan Kumar Singh</v>
      </c>
      <c r="P90" s="207" t="s">
        <v>318</v>
      </c>
      <c r="Q90" s="201" t="str">
        <f aca="false">VLOOKUP(P90,S:S,1,0)</f>
        <v>Asahi Legal LLP</v>
      </c>
      <c r="S90" s="207" t="s">
        <v>360</v>
      </c>
      <c r="T90" s="201" t="e">
        <f aca="false">VLOOKUP(S90,U:U,1,0)</f>
        <v>#N/A</v>
      </c>
      <c r="U90" s="150" t="s">
        <v>410</v>
      </c>
      <c r="V90" s="201" t="str">
        <f aca="false">VLOOKUP(U90,X:X,1,0)</f>
        <v>Gourab Banreji</v>
      </c>
      <c r="X90" s="128" t="s">
        <v>759</v>
      </c>
      <c r="Y90" s="201" t="str">
        <f aca="false">VLOOKUP(X90,AA:AA,1,0)</f>
        <v>Karthik Sundar</v>
      </c>
      <c r="AA90" s="128" t="s">
        <v>526</v>
      </c>
      <c r="AB90" s="201" t="str">
        <f aca="false">VLOOKUP(AA90,AD:AD,1,0)</f>
        <v>KUAJ LEGAL</v>
      </c>
      <c r="AD90" s="201" t="s">
        <v>526</v>
      </c>
      <c r="AE90" s="201" t="str">
        <f aca="false">VLOOKUP(AD90,AA:AA,1,0)</f>
        <v>KUAJ LEGAL</v>
      </c>
    </row>
    <row r="91" customFormat="false" ht="23.85" hidden="false" customHeight="false" outlineLevel="0" collapsed="false">
      <c r="M91" s="207" t="s">
        <v>418</v>
      </c>
      <c r="N91" s="201" t="e">
        <f aca="false">VLOOKUP(M91,P:P,1,0)</f>
        <v>#N/A</v>
      </c>
      <c r="P91" s="205" t="s">
        <v>320</v>
      </c>
      <c r="Q91" s="201" t="str">
        <f aca="false">VLOOKUP(P91,S:S,1,0)</f>
        <v>Chambers of Moazzam Khan</v>
      </c>
      <c r="S91" s="207" t="s">
        <v>362</v>
      </c>
      <c r="T91" s="201" t="str">
        <f aca="false">VLOOKUP(S91,U:U,1,0)</f>
        <v>Daswani &amp; Daswani</v>
      </c>
      <c r="U91" s="150" t="s">
        <v>414</v>
      </c>
      <c r="V91" s="201" t="str">
        <f aca="false">VLOOKUP(U91,X:X,1,0)</f>
        <v>MV Law Partners</v>
      </c>
      <c r="X91" s="128" t="s">
        <v>742</v>
      </c>
      <c r="Y91" s="201" t="str">
        <f aca="false">VLOOKUP(X91,AA:AA,1,0)</f>
        <v>KATARIYA CONSULTANCY INDIA LLP</v>
      </c>
      <c r="AA91" s="128" t="s">
        <v>530</v>
      </c>
      <c r="AB91" s="201" t="str">
        <f aca="false">VLOOKUP(AA91,AD:AD,1,0)</f>
        <v>Agraa Legal</v>
      </c>
      <c r="AD91" s="201" t="s">
        <v>530</v>
      </c>
      <c r="AE91" s="201" t="str">
        <f aca="false">VLOOKUP(AD91,AA:AA,1,0)</f>
        <v>Agraa Legal</v>
      </c>
    </row>
    <row r="92" customFormat="false" ht="35.05" hidden="false" customHeight="false" outlineLevel="0" collapsed="false">
      <c r="M92" s="207" t="s">
        <v>420</v>
      </c>
      <c r="N92" s="201" t="str">
        <f aca="false">VLOOKUP(M92,P:P,1,0)</f>
        <v>Mr Rohit Gupta</v>
      </c>
      <c r="P92" s="207" t="s">
        <v>322</v>
      </c>
      <c r="Q92" s="201" t="str">
        <f aca="false">VLOOKUP(P92,S:S,1,0)</f>
        <v>Vis Legis Law Practice</v>
      </c>
      <c r="S92" s="205" t="s">
        <v>364</v>
      </c>
      <c r="T92" s="201" t="e">
        <f aca="false">VLOOKUP(S92,U:U,1,0)</f>
        <v>#N/A</v>
      </c>
      <c r="U92" s="150" t="s">
        <v>416</v>
      </c>
      <c r="V92" s="201" t="str">
        <f aca="false">VLOOKUP(U92,X:X,1,0)</f>
        <v>Ratan Kumar Singh</v>
      </c>
      <c r="X92" s="210" t="s">
        <v>258</v>
      </c>
      <c r="Y92" s="201" t="str">
        <f aca="false">VLOOKUP(X92,AA:AA,1,0)</f>
        <v>Kazan Shroff</v>
      </c>
      <c r="AA92" s="128" t="s">
        <v>534</v>
      </c>
      <c r="AB92" s="201" t="str">
        <f aca="false">VLOOKUP(AA92,AD:AD,1,0)</f>
        <v>Shobit Phutela</v>
      </c>
      <c r="AD92" s="201" t="s">
        <v>534</v>
      </c>
      <c r="AE92" s="201" t="str">
        <f aca="false">VLOOKUP(AD92,AA:AA,1,0)</f>
        <v>Shobit Phutela</v>
      </c>
    </row>
    <row r="93" customFormat="false" ht="13.5" hidden="false" customHeight="false" outlineLevel="0" collapsed="false">
      <c r="M93" s="207" t="s">
        <v>423</v>
      </c>
      <c r="N93" s="201" t="e">
        <f aca="false">VLOOKUP(M93,P:P,1,0)</f>
        <v>#N/A</v>
      </c>
      <c r="P93" s="207" t="s">
        <v>324</v>
      </c>
      <c r="Q93" s="201" t="str">
        <f aca="false">VLOOKUP(P93,S:S,1,0)</f>
        <v>Phoenix Legal</v>
      </c>
      <c r="S93" s="207" t="s">
        <v>366</v>
      </c>
      <c r="T93" s="201" t="str">
        <f aca="false">VLOOKUP(S93,U:U,1,0)</f>
        <v>Samya Law Chambers</v>
      </c>
      <c r="U93" s="145" t="s">
        <v>420</v>
      </c>
      <c r="V93" s="201" t="str">
        <f aca="false">VLOOKUP(U93,X:X,1,0)</f>
        <v>Mr Rohit Gupta</v>
      </c>
      <c r="X93" s="210" t="s">
        <v>727</v>
      </c>
      <c r="Y93" s="201" t="str">
        <f aca="false">VLOOKUP(X93,AA:AA,1,0)</f>
        <v>Kevic Setalvad</v>
      </c>
      <c r="AA93" s="128" t="s">
        <v>536</v>
      </c>
      <c r="AB93" s="201" t="str">
        <f aca="false">VLOOKUP(AA93,AD:AD,1,0)</f>
        <v>Narottam Sharma</v>
      </c>
      <c r="AD93" s="201" t="s">
        <v>536</v>
      </c>
      <c r="AE93" s="201" t="str">
        <f aca="false">VLOOKUP(AD93,AA:AA,1,0)</f>
        <v>Narottam Sharma</v>
      </c>
    </row>
    <row r="94" customFormat="false" ht="35.05" hidden="false" customHeight="false" outlineLevel="0" collapsed="false">
      <c r="M94" s="207" t="s">
        <v>425</v>
      </c>
      <c r="N94" s="201" t="str">
        <f aca="false">VLOOKUP(M94,P:P,1,0)</f>
        <v>Sanjay Udeshi &amp; Co.</v>
      </c>
      <c r="P94" s="207" t="s">
        <v>326</v>
      </c>
      <c r="Q94" s="201" t="str">
        <f aca="false">VLOOKUP(P94,S:S,1,0)</f>
        <v>Nikhil Pai</v>
      </c>
      <c r="S94" s="207" t="s">
        <v>368</v>
      </c>
      <c r="T94" s="201" t="str">
        <f aca="false">VLOOKUP(S94,U:U,1,0)</f>
        <v>Shri Venkatesh , SKV law offices</v>
      </c>
      <c r="U94" s="159" t="s">
        <v>425</v>
      </c>
      <c r="V94" s="201" t="str">
        <f aca="false">VLOOKUP(U94,X:X,1,0)</f>
        <v>Sanjay Udeshi &amp; Co.</v>
      </c>
      <c r="X94" s="128" t="s">
        <v>383</v>
      </c>
      <c r="Y94" s="201" t="str">
        <f aca="false">VLOOKUP(X94,AA:AA,1,0)</f>
        <v>Keystone Partners</v>
      </c>
      <c r="AA94" s="128" t="s">
        <v>540</v>
      </c>
      <c r="AB94" s="201" t="str">
        <f aca="false">VLOOKUP(AA94,AD:AD,1,0)</f>
        <v>Rahul Saboo, Advocate</v>
      </c>
      <c r="AD94" s="201" t="s">
        <v>540</v>
      </c>
      <c r="AE94" s="201" t="str">
        <f aca="false">VLOOKUP(AD94,AA:AA,1,0)</f>
        <v>Rahul Saboo, Advocate</v>
      </c>
    </row>
    <row r="95" customFormat="false" ht="68.65" hidden="false" customHeight="false" outlineLevel="0" collapsed="false">
      <c r="M95" s="207" t="s">
        <v>427</v>
      </c>
      <c r="N95" s="201" t="str">
        <f aca="false">VLOOKUP(M95,P:P,1,0)</f>
        <v>Abel Tom Benny // Thomas and Thomas Advocates</v>
      </c>
      <c r="P95" s="205" t="s">
        <v>328</v>
      </c>
      <c r="Q95" s="201" t="str">
        <f aca="false">VLOOKUP(P95,S:S,1,0)</f>
        <v>J INFRATECH LIMITED</v>
      </c>
      <c r="S95" s="207" t="s">
        <v>370</v>
      </c>
      <c r="T95" s="201" t="str">
        <f aca="false">VLOOKUP(S95,U:U,1,0)</f>
        <v>Parakram Legal</v>
      </c>
      <c r="U95" s="150" t="s">
        <v>427</v>
      </c>
      <c r="V95" s="201" t="str">
        <f aca="false">VLOOKUP(U95,X:X,1,0)</f>
        <v>Abel Tom Benny // Thomas and Thomas Advocates</v>
      </c>
      <c r="X95" s="210" t="s">
        <v>632</v>
      </c>
      <c r="Y95" s="201" t="str">
        <f aca="false">VLOOKUP(X95,AA:AA,1,0)</f>
        <v>Khaitan Legal Associates</v>
      </c>
      <c r="AA95" s="128" t="s">
        <v>546</v>
      </c>
      <c r="AB95" s="201" t="str">
        <f aca="false">VLOOKUP(AA95,AD:AD,1,0)</f>
        <v>Meghna Talwar</v>
      </c>
      <c r="AD95" s="201" t="s">
        <v>546</v>
      </c>
      <c r="AE95" s="201" t="str">
        <f aca="false">VLOOKUP(AD95,AA:AA,1,0)</f>
        <v>Meghna Talwar</v>
      </c>
    </row>
    <row r="96" customFormat="false" ht="13.5" hidden="false" customHeight="false" outlineLevel="0" collapsed="false">
      <c r="M96" s="209" t="s">
        <v>429</v>
      </c>
      <c r="N96" s="201" t="str">
        <f aca="false">VLOOKUP(M96,P:P,1,0)</f>
        <v>Farhan Dubash </v>
      </c>
      <c r="P96" s="207" t="s">
        <v>331</v>
      </c>
      <c r="Q96" s="201" t="str">
        <f aca="false">VLOOKUP(P96,S:S,1,0)</f>
        <v>Vesta Legal</v>
      </c>
      <c r="S96" s="207" t="s">
        <v>372</v>
      </c>
      <c r="T96" s="201" t="str">
        <f aca="false">VLOOKUP(S96,U:U,1,0)</f>
        <v>IndusLaw</v>
      </c>
      <c r="U96" s="145" t="s">
        <v>429</v>
      </c>
      <c r="V96" s="201" t="str">
        <f aca="false">VLOOKUP(U96,X:X,1,0)</f>
        <v>Farhan Dubash </v>
      </c>
      <c r="X96" s="145" t="s">
        <v>638</v>
      </c>
      <c r="Y96" s="201" t="str">
        <f aca="false">VLOOKUP(X96,AA:AA,1,0)</f>
        <v>Krati Gupta</v>
      </c>
      <c r="AA96" s="128" t="s">
        <v>164</v>
      </c>
      <c r="AB96" s="201" t="str">
        <f aca="false">VLOOKUP(AA96,AD:AD,1,0)</f>
        <v>Miglani Varma &amp; Co.</v>
      </c>
      <c r="AD96" s="201" t="s">
        <v>164</v>
      </c>
      <c r="AE96" s="201" t="str">
        <f aca="false">VLOOKUP(AD96,AA:AA,1,0)</f>
        <v>Miglani Varma &amp; Co.</v>
      </c>
    </row>
    <row r="97" customFormat="false" ht="23.85" hidden="false" customHeight="false" outlineLevel="0" collapsed="false">
      <c r="M97" s="207" t="s">
        <v>431</v>
      </c>
      <c r="N97" s="201" t="str">
        <f aca="false">VLOOKUP(M97,P:P,1,0)</f>
        <v>Mustafa S Doctor</v>
      </c>
      <c r="P97" s="219" t="s">
        <v>333</v>
      </c>
      <c r="Q97" s="201" t="str">
        <f aca="false">VLOOKUP(P97,S:S,1,0)</f>
        <v>Vyom Shah</v>
      </c>
      <c r="S97" s="207" t="s">
        <v>375</v>
      </c>
      <c r="T97" s="201" t="str">
        <f aca="false">VLOOKUP(S97,U:U,1,0)</f>
        <v>Deep Cover Law- Chirag Narasimiah</v>
      </c>
      <c r="U97" s="150" t="s">
        <v>431</v>
      </c>
      <c r="V97" s="201" t="str">
        <f aca="false">VLOOKUP(U97,X:X,1,0)</f>
        <v>Mustafa S Doctor</v>
      </c>
      <c r="X97" s="210" t="s">
        <v>780</v>
      </c>
      <c r="Y97" s="201" t="str">
        <f aca="false">VLOOKUP(X97,AA:AA,1,0)</f>
        <v>KRISH HOMES</v>
      </c>
      <c r="AA97" s="128" t="s">
        <v>551</v>
      </c>
      <c r="AB97" s="201" t="str">
        <f aca="false">VLOOKUP(AA97,AD:AD,1,0)</f>
        <v>Joy Baxi &amp; Associates</v>
      </c>
      <c r="AD97" s="201" t="s">
        <v>551</v>
      </c>
      <c r="AE97" s="201" t="str">
        <f aca="false">VLOOKUP(AD97,AA:AA,1,0)</f>
        <v>Joy Baxi &amp; Associates</v>
      </c>
    </row>
    <row r="98" customFormat="false" ht="23.85" hidden="false" customHeight="false" outlineLevel="0" collapsed="false">
      <c r="M98" s="207" t="s">
        <v>434</v>
      </c>
      <c r="N98" s="201" t="str">
        <f aca="false">VLOOKUP(M98,P:P,1,0)</f>
        <v>Naushad Engineer</v>
      </c>
      <c r="P98" s="205" t="s">
        <v>335</v>
      </c>
      <c r="Q98" s="201" t="str">
        <f aca="false">VLOOKUP(P98,S:S,1,0)</f>
        <v>Zubin Behramkamdin</v>
      </c>
      <c r="S98" s="209" t="s">
        <v>247</v>
      </c>
      <c r="T98" s="201" t="str">
        <f aca="false">VLOOKUP(S98,U:U,1,0)</f>
        <v>Centre for Law and Policy Research Trust</v>
      </c>
      <c r="U98" s="150" t="s">
        <v>434</v>
      </c>
      <c r="V98" s="201" t="str">
        <f aca="false">VLOOKUP(U98,X:X,1,0)</f>
        <v>Naushad Engineer</v>
      </c>
      <c r="X98" s="128" t="s">
        <v>689</v>
      </c>
      <c r="Y98" s="201" t="str">
        <f aca="false">VLOOKUP(X98,AA:AA,1,0)</f>
        <v>Krishna Dev Jagarlamudi</v>
      </c>
      <c r="AA98" s="128" t="s">
        <v>181</v>
      </c>
      <c r="AB98" s="201" t="str">
        <f aca="false">VLOOKUP(AA98,AD:AD,1,0)</f>
        <v>Dewani Associates</v>
      </c>
      <c r="AD98" s="201" t="s">
        <v>181</v>
      </c>
      <c r="AE98" s="201" t="str">
        <f aca="false">VLOOKUP(AD98,AA:AA,1,0)</f>
        <v>Dewani Associates</v>
      </c>
    </row>
    <row r="99" customFormat="false" ht="23.85" hidden="false" customHeight="false" outlineLevel="0" collapsed="false">
      <c r="M99" s="207" t="s">
        <v>436</v>
      </c>
      <c r="N99" s="201" t="str">
        <f aca="false">VLOOKUP(M99,P:P,1,0)</f>
        <v>Shyam Kapadia</v>
      </c>
      <c r="P99" s="207" t="s">
        <v>337</v>
      </c>
      <c r="Q99" s="201" t="str">
        <f aca="false">VLOOKUP(P99,S:S,1,0)</f>
        <v>Jennifer Michael</v>
      </c>
      <c r="S99" s="207" t="s">
        <v>381</v>
      </c>
      <c r="T99" s="201" t="str">
        <f aca="false">VLOOKUP(S99,U:U,1,0)</f>
        <v>NKR Law Offices</v>
      </c>
      <c r="U99" s="150" t="s">
        <v>436</v>
      </c>
      <c r="V99" s="201" t="str">
        <f aca="false">VLOOKUP(U99,X:X,1,0)</f>
        <v>Shyam Kapadia</v>
      </c>
      <c r="X99" s="210" t="s">
        <v>648</v>
      </c>
      <c r="Y99" s="201" t="str">
        <f aca="false">VLOOKUP(X99,AA:AA,1,0)</f>
        <v>Krishnan Venugopal</v>
      </c>
      <c r="AA99" s="128" t="s">
        <v>554</v>
      </c>
      <c r="AB99" s="201" t="str">
        <f aca="false">VLOOKUP(AA99,AD:AD,1,0)</f>
        <v>Ganesh &amp; Co.</v>
      </c>
      <c r="AD99" s="201" t="s">
        <v>554</v>
      </c>
      <c r="AE99" s="201" t="str">
        <f aca="false">VLOOKUP(AD99,AA:AA,1,0)</f>
        <v>Ganesh &amp; Co.</v>
      </c>
    </row>
    <row r="100" customFormat="false" ht="13.5" hidden="false" customHeight="false" outlineLevel="0" collapsed="false">
      <c r="M100" s="207" t="s">
        <v>442</v>
      </c>
      <c r="N100" s="201" t="str">
        <f aca="false">VLOOKUP(M100,P:P,1,0)</f>
        <v>Ish Jain / Regius Partners LLP</v>
      </c>
      <c r="P100" s="207" t="s">
        <v>339</v>
      </c>
      <c r="Q100" s="201" t="str">
        <f aca="false">VLOOKUP(P100,S:S,1,0)</f>
        <v>SomÂ Sinha &amp; Associates</v>
      </c>
      <c r="S100" s="207" t="s">
        <v>383</v>
      </c>
      <c r="T100" s="201" t="str">
        <f aca="false">VLOOKUP(S100,U:U,1,0)</f>
        <v>Keystone Partners</v>
      </c>
      <c r="U100" s="128" t="s">
        <v>442</v>
      </c>
      <c r="V100" s="201" t="str">
        <f aca="false">VLOOKUP(U100,X:X,1,0)</f>
        <v>Ish Jain / Regius Partners LLP</v>
      </c>
      <c r="X100" s="128" t="s">
        <v>526</v>
      </c>
      <c r="Y100" s="201" t="str">
        <f aca="false">VLOOKUP(X100,AA:AA,1,0)</f>
        <v>KUAJ LEGAL</v>
      </c>
      <c r="AA100" s="128" t="s">
        <v>322</v>
      </c>
      <c r="AB100" s="201" t="str">
        <f aca="false">VLOOKUP(AA100,AD:AD,1,0)</f>
        <v>Vis Legis Law Practice</v>
      </c>
      <c r="AD100" s="201" t="s">
        <v>322</v>
      </c>
      <c r="AE100" s="201" t="str">
        <f aca="false">VLOOKUP(AD100,AA:AA,1,0)</f>
        <v>Vis Legis Law Practice</v>
      </c>
    </row>
    <row r="101" customFormat="false" ht="31.3" hidden="false" customHeight="false" outlineLevel="0" collapsed="false">
      <c r="M101" s="206" t="s">
        <v>445</v>
      </c>
      <c r="N101" s="204" t="str">
        <f aca="false">VLOOKUP(M101,P:P,1,0)</f>
        <v>
The Guild | Advocates &amp; Associate Counsel</v>
      </c>
      <c r="P101" s="207" t="s">
        <v>341</v>
      </c>
      <c r="Q101" s="201" t="str">
        <f aca="false">VLOOKUP(P101,S:S,1,0)</f>
        <v>MZM Legal LLP</v>
      </c>
      <c r="S101" s="207" t="s">
        <v>386</v>
      </c>
      <c r="T101" s="201" t="str">
        <f aca="false">VLOOKUP(S101,U:U,1,0)</f>
        <v>Prompt Legal (Shared by Jayanth)</v>
      </c>
      <c r="U101" s="159" t="s">
        <v>445</v>
      </c>
      <c r="V101" s="204" t="str">
        <f aca="false">VLOOKUP(U101,X:X,1,0)</f>
        <v>
The Guild | Advocates &amp; Associate Counsel</v>
      </c>
      <c r="X101" s="128" t="s">
        <v>291</v>
      </c>
      <c r="Y101" s="201" t="str">
        <f aca="false">VLOOKUP(X101,AA:AA,1,0)</f>
        <v>Kunal Kunango</v>
      </c>
      <c r="AA101" s="128" t="s">
        <v>133</v>
      </c>
      <c r="AB101" s="201" t="str">
        <f aca="false">VLOOKUP(AA101,AD:AD,1,0)</f>
        <v>U. S. GANDHI &amp; CO.</v>
      </c>
      <c r="AD101" s="201" t="s">
        <v>133</v>
      </c>
      <c r="AE101" s="201" t="str">
        <f aca="false">VLOOKUP(AD101,AA:AA,1,0)</f>
        <v>U. S. GANDHI &amp; CO.</v>
      </c>
    </row>
    <row r="102" customFormat="false" ht="13.5" hidden="false" customHeight="false" outlineLevel="0" collapsed="false">
      <c r="M102" s="207" t="s">
        <v>448</v>
      </c>
      <c r="N102" s="201" t="str">
        <f aca="false">VLOOKUP(M102,P:P,1,0)</f>
        <v>Abhimanyu Garg / Methodica Legal </v>
      </c>
      <c r="P102" s="207" t="s">
        <v>344</v>
      </c>
      <c r="Q102" s="201" t="str">
        <f aca="false">VLOOKUP(P102,S:S,1,0)</f>
        <v>Stride Legal</v>
      </c>
      <c r="S102" s="207" t="s">
        <v>388</v>
      </c>
      <c r="T102" s="201" t="str">
        <f aca="false">VLOOKUP(S102,U:U,1,0)</f>
        <v>Justice (Retd.) AK Sikri</v>
      </c>
      <c r="U102" s="128" t="s">
        <v>448</v>
      </c>
      <c r="V102" s="201" t="str">
        <f aca="false">VLOOKUP(U102,X:X,1,0)</f>
        <v>Abhimanyu Garg / Methodica Legal </v>
      </c>
      <c r="X102" s="128" t="s">
        <v>746</v>
      </c>
      <c r="Y102" s="201" t="str">
        <f aca="false">VLOOKUP(X102,AA:AA,1,0)</f>
        <v>Kushagra Shah</v>
      </c>
      <c r="AA102" s="128" t="s">
        <v>563</v>
      </c>
      <c r="AB102" s="201" t="str">
        <f aca="false">VLOOKUP(AA102,AD:AD,1,0)</f>
        <v>Gauri Puri</v>
      </c>
      <c r="AD102" s="201" t="s">
        <v>563</v>
      </c>
      <c r="AE102" s="201" t="str">
        <f aca="false">VLOOKUP(AD102,AA:AA,1,0)</f>
        <v>Gauri Puri</v>
      </c>
    </row>
    <row r="103" customFormat="false" ht="13.5" hidden="false" customHeight="false" outlineLevel="0" collapsed="false">
      <c r="M103" s="207" t="s">
        <v>451</v>
      </c>
      <c r="N103" s="201" t="str">
        <f aca="false">VLOOKUP(M103,P:P,1,0)</f>
        <v>Megha Chandra</v>
      </c>
      <c r="P103" s="207" t="s">
        <v>346</v>
      </c>
      <c r="Q103" s="201" t="str">
        <f aca="false">VLOOKUP(P103,S:S,1,0)</f>
        <v>Rithin Rai</v>
      </c>
      <c r="S103" s="207" t="s">
        <v>393</v>
      </c>
      <c r="T103" s="201" t="str">
        <f aca="false">VLOOKUP(S103,U:U,1,0)</f>
        <v>Amrita Panda / ADP Chambers- 62</v>
      </c>
      <c r="U103" s="128" t="s">
        <v>451</v>
      </c>
      <c r="V103" s="201" t="str">
        <f aca="false">VLOOKUP(U103,X:X,1,0)</f>
        <v>Megha Chandra</v>
      </c>
      <c r="X103" s="128" t="s">
        <v>125</v>
      </c>
      <c r="Y103" s="201" t="str">
        <f aca="false">VLOOKUP(X103,AA:AA,1,0)</f>
        <v>LEGALOGIC CONSULTING LLP</v>
      </c>
      <c r="AA103" s="128" t="s">
        <v>566</v>
      </c>
      <c r="AB103" s="201" t="str">
        <f aca="false">VLOOKUP(AA103,AD:AD,1,0)</f>
        <v>Amit Bhagat</v>
      </c>
      <c r="AD103" s="201" t="s">
        <v>566</v>
      </c>
      <c r="AE103" s="201" t="str">
        <f aca="false">VLOOKUP(AD103,AA:AA,1,0)</f>
        <v>Amit Bhagat</v>
      </c>
    </row>
    <row r="104" customFormat="false" ht="13.5" hidden="false" customHeight="false" outlineLevel="0" collapsed="false">
      <c r="M104" s="207" t="s">
        <v>318</v>
      </c>
      <c r="N104" s="201" t="str">
        <f aca="false">VLOOKUP(M104,P:P,1,0)</f>
        <v>Asahi Legal LLP</v>
      </c>
      <c r="P104" s="207" t="s">
        <v>350</v>
      </c>
      <c r="Q104" s="201" t="str">
        <f aca="false">VLOOKUP(P104,S:S,1,0)</f>
        <v>Meghav Gupta</v>
      </c>
      <c r="S104" s="207" t="s">
        <v>397</v>
      </c>
      <c r="T104" s="201" t="str">
        <f aca="false">VLOOKUP(S104,U:U,1,0)</f>
        <v>Chambers of Justice Mohit S Shah (Retd.), Former Chief Justice of Bombay and Calcutta High Court</v>
      </c>
      <c r="U104" s="128" t="s">
        <v>458</v>
      </c>
      <c r="V104" s="201" t="str">
        <f aca="false">VLOOKUP(U104,X:X,1,0)</f>
        <v>Shiraz Rustomjee</v>
      </c>
      <c r="X104" s="210" t="s">
        <v>227</v>
      </c>
      <c r="Y104" s="201" t="str">
        <f aca="false">VLOOKUP(X104,AA:AA,1,0)</f>
        <v>Mahek Bookwala</v>
      </c>
      <c r="AA104" s="128" t="s">
        <v>311</v>
      </c>
      <c r="AB104" s="201" t="str">
        <f aca="false">VLOOKUP(AA104,AD:AD,1,0)</f>
        <v>Vishal Kanade</v>
      </c>
      <c r="AD104" s="201" t="s">
        <v>311</v>
      </c>
      <c r="AE104" s="201" t="str">
        <f aca="false">VLOOKUP(AD104,AA:AA,1,0)</f>
        <v>Vishal Kanade</v>
      </c>
    </row>
    <row r="105" customFormat="false" ht="13.5" hidden="false" customHeight="false" outlineLevel="0" collapsed="false">
      <c r="M105" s="209" t="s">
        <v>455</v>
      </c>
      <c r="N105" s="201" t="str">
        <f aca="false">VLOOKUP(M105,P:P,1,0)</f>
        <v>Mr. Jehangir Jejeebhoy</v>
      </c>
      <c r="P105" s="207" t="s">
        <v>352</v>
      </c>
      <c r="Q105" s="201" t="str">
        <f aca="false">VLOOKUP(P105,S:S,1,0)</f>
        <v>Shashwat Bajpai</v>
      </c>
      <c r="S105" s="207" t="s">
        <v>399</v>
      </c>
      <c r="T105" s="201" t="str">
        <f aca="false">VLOOKUP(S105,U:U,1,0)</f>
        <v>Wadia Ghandy &amp; Co.</v>
      </c>
      <c r="U105" s="128" t="s">
        <v>460</v>
      </c>
      <c r="V105" s="201" t="str">
        <f aca="false">VLOOKUP(U105,X:X,1,0)</f>
        <v>Dipankar Majumdar</v>
      </c>
      <c r="X105" s="128" t="s">
        <v>732</v>
      </c>
      <c r="Y105" s="201" t="str">
        <f aca="false">VLOOKUP(X105,AA:AA,1,0)</f>
        <v>Malak Bhatt</v>
      </c>
      <c r="AA105" s="128" t="s">
        <v>569</v>
      </c>
      <c r="AB105" s="201" t="str">
        <f aca="false">VLOOKUP(AA105,AD:AD,1,0)</f>
        <v>Sundeep Karnik</v>
      </c>
      <c r="AD105" s="201" t="s">
        <v>569</v>
      </c>
      <c r="AE105" s="201" t="str">
        <f aca="false">VLOOKUP(AD105,AA:AA,1,0)</f>
        <v>Sundeep Karnik</v>
      </c>
    </row>
    <row r="106" customFormat="false" ht="13.5" hidden="false" customHeight="false" outlineLevel="0" collapsed="false">
      <c r="M106" s="206" t="s">
        <v>458</v>
      </c>
      <c r="N106" s="201" t="str">
        <f aca="false">VLOOKUP(M106,P:P,1,0)</f>
        <v>Shiraz Rustomjee</v>
      </c>
      <c r="P106" s="207" t="s">
        <v>356</v>
      </c>
      <c r="Q106" s="201" t="str">
        <f aca="false">VLOOKUP(P106,S:S,1,0)</f>
        <v>Nitish Raj</v>
      </c>
      <c r="S106" s="205" t="s">
        <v>401</v>
      </c>
      <c r="T106" s="201" t="e">
        <f aca="false">VLOOKUP(S106,U:U,1,0)</f>
        <v>#N/A</v>
      </c>
      <c r="U106" s="128" t="s">
        <v>462</v>
      </c>
      <c r="V106" s="201" t="str">
        <f aca="false">VLOOKUP(U106,X:X,1,0)</f>
        <v>Office of ASG (N. Venkatraman)</v>
      </c>
      <c r="X106" s="128" t="s">
        <v>278</v>
      </c>
      <c r="Y106" s="201" t="str">
        <f aca="false">VLOOKUP(X106,AA:AA,1,0)</f>
        <v>Manish kelker</v>
      </c>
      <c r="AA106" s="128" t="s">
        <v>571</v>
      </c>
      <c r="AB106" s="201" t="str">
        <f aca="false">VLOOKUP(AA106,AD:AD,1,0)</f>
        <v>Rohan Talwar</v>
      </c>
      <c r="AD106" s="201" t="s">
        <v>571</v>
      </c>
      <c r="AE106" s="201" t="str">
        <f aca="false">VLOOKUP(AD106,AA:AA,1,0)</f>
        <v>Rohan Talwar</v>
      </c>
    </row>
    <row r="107" customFormat="false" ht="13.5" hidden="false" customHeight="false" outlineLevel="0" collapsed="false">
      <c r="M107" s="207" t="s">
        <v>460</v>
      </c>
      <c r="N107" s="201" t="str">
        <f aca="false">VLOOKUP(M107,P:P,1,0)</f>
        <v>Dipankar Majumdar</v>
      </c>
      <c r="P107" s="207" t="s">
        <v>358</v>
      </c>
      <c r="Q107" s="201" t="str">
        <f aca="false">VLOOKUP(P107,S:S,1,0)</f>
        <v>Aquilaw</v>
      </c>
      <c r="S107" s="207" t="s">
        <v>403</v>
      </c>
      <c r="T107" s="201" t="str">
        <f aca="false">VLOOKUP(S107,U:U,1,0)</f>
        <v>Eternity Legal</v>
      </c>
      <c r="U107" s="128" t="s">
        <v>509</v>
      </c>
      <c r="V107" s="201" t="str">
        <f aca="false">VLOOKUP(U107,X:X,1,0)</f>
        <v>Poovayya &amp; CO</v>
      </c>
      <c r="X107" s="128" t="s">
        <v>223</v>
      </c>
      <c r="Y107" s="201" t="str">
        <f aca="false">VLOOKUP(X107,AA:AA,1,0)</f>
        <v>Manjari Shah</v>
      </c>
      <c r="AA107" s="128" t="s">
        <v>575</v>
      </c>
      <c r="AB107" s="201" t="str">
        <f aca="false">VLOOKUP(AA107,AD:AD,1,0)</f>
        <v>Aurtus Consulting LLP</v>
      </c>
      <c r="AD107" s="201" t="s">
        <v>130</v>
      </c>
      <c r="AE107" s="201" t="str">
        <f aca="false">VLOOKUP(AD107,AA:AA,1,0)</f>
        <v>Tvashta Law</v>
      </c>
    </row>
    <row r="108" customFormat="false" ht="13.5" hidden="false" customHeight="false" outlineLevel="0" collapsed="false">
      <c r="M108" s="207" t="s">
        <v>462</v>
      </c>
      <c r="N108" s="201" t="str">
        <f aca="false">VLOOKUP(M108,P:P,1,0)</f>
        <v>Office of ASG (N. Venkatraman)</v>
      </c>
      <c r="P108" s="207" t="s">
        <v>360</v>
      </c>
      <c r="Q108" s="201" t="str">
        <f aca="false">VLOOKUP(P108,S:S,1,0)</f>
        <v>Svarniti Law Offices</v>
      </c>
      <c r="S108" s="207" t="s">
        <v>405</v>
      </c>
      <c r="T108" s="201" t="str">
        <f aca="false">VLOOKUP(S108,U:U,1,0)</f>
        <v>Nora Legal Consultants LLP</v>
      </c>
      <c r="U108" s="128" t="s">
        <v>511</v>
      </c>
      <c r="V108" s="201" t="e">
        <f aca="false">VLOOKUP(U108,X:X,1,0)</f>
        <v>#N/A</v>
      </c>
      <c r="X108" s="210" t="s">
        <v>451</v>
      </c>
      <c r="Y108" s="201" t="str">
        <f aca="false">VLOOKUP(X108,AA:AA,1,0)</f>
        <v>Megha Chandra</v>
      </c>
      <c r="AA108" s="128" t="s">
        <v>130</v>
      </c>
      <c r="AB108" s="201" t="str">
        <f aca="false">VLOOKUP(AA108,AD:AD,1,0)</f>
        <v>Tvashta Law</v>
      </c>
      <c r="AD108" s="201" t="s">
        <v>581</v>
      </c>
      <c r="AE108" s="201" t="str">
        <f aca="false">VLOOKUP(AD108,AA:AA,1,0)</f>
        <v>Apoorv Kurup</v>
      </c>
    </row>
    <row r="109" customFormat="false" ht="13.5" hidden="false" customHeight="false" outlineLevel="0" collapsed="false">
      <c r="M109" s="201" t="s">
        <v>466</v>
      </c>
      <c r="N109" s="201" t="e">
        <f aca="false">VLOOKUP(M109,P:P,1,0)</f>
        <v>#N/A</v>
      </c>
      <c r="P109" s="207" t="s">
        <v>364</v>
      </c>
      <c r="Q109" s="201" t="str">
        <f aca="false">VLOOKUP(P109,S:S,1,0)</f>
        <v>Khaitan Legal Asscoiates</v>
      </c>
      <c r="S109" s="205" t="s">
        <v>408</v>
      </c>
      <c r="T109" s="201" t="str">
        <f aca="false">VLOOKUP(S109,U:U,1,0)</f>
        <v>Innovatus Law</v>
      </c>
      <c r="U109" s="128" t="s">
        <v>288</v>
      </c>
      <c r="V109" s="201" t="str">
        <f aca="false">VLOOKUP(U109,X:X,1,0)</f>
        <v>Gupta Law Associates</v>
      </c>
      <c r="X109" s="128" t="s">
        <v>350</v>
      </c>
      <c r="Y109" s="201" t="str">
        <f aca="false">VLOOKUP(X109,AA:AA,1,0)</f>
        <v>Meghav Gupta</v>
      </c>
      <c r="AA109" s="128" t="s">
        <v>581</v>
      </c>
      <c r="AB109" s="201" t="str">
        <f aca="false">VLOOKUP(AA109,AD:AD,1,0)</f>
        <v>Apoorv Kurup</v>
      </c>
      <c r="AD109" s="201" t="s">
        <v>583</v>
      </c>
      <c r="AE109" s="201" t="str">
        <f aca="false">VLOOKUP(AD109,AA:AA,1,0)</f>
        <v>Elixir Legal Services</v>
      </c>
    </row>
    <row r="110" customFormat="false" ht="13.5" hidden="false" customHeight="false" outlineLevel="0" collapsed="false">
      <c r="M110" s="201" t="s">
        <v>468</v>
      </c>
      <c r="N110" s="201" t="e">
        <f aca="false">VLOOKUP(M110,P:P,1,0)</f>
        <v>#N/A</v>
      </c>
      <c r="P110" s="207" t="s">
        <v>366</v>
      </c>
      <c r="Q110" s="201" t="str">
        <f aca="false">VLOOKUP(P110,S:S,1,0)</f>
        <v>Samya Law Chambers</v>
      </c>
      <c r="S110" s="207" t="s">
        <v>410</v>
      </c>
      <c r="T110" s="201" t="str">
        <f aca="false">VLOOKUP(S110,U:U,1,0)</f>
        <v>Gourab Banreji</v>
      </c>
      <c r="U110" s="128" t="s">
        <v>514</v>
      </c>
      <c r="V110" s="201" t="str">
        <f aca="false">VLOOKUP(U110,X:X,1,0)</f>
        <v>Vardharma Chambers</v>
      </c>
      <c r="X110" s="128" t="s">
        <v>546</v>
      </c>
      <c r="Y110" s="201" t="str">
        <f aca="false">VLOOKUP(X110,AA:AA,1,0)</f>
        <v>Meghna Talwar</v>
      </c>
      <c r="AA110" s="128" t="s">
        <v>583</v>
      </c>
      <c r="AB110" s="201" t="str">
        <f aca="false">VLOOKUP(AA110,AD:AD,1,0)</f>
        <v>Elixir Legal Services</v>
      </c>
      <c r="AD110" s="201" t="s">
        <v>152</v>
      </c>
      <c r="AE110" s="201" t="str">
        <f aca="false">VLOOKUP(AD110,AA:AA,1,0)</f>
        <v>Harshit Malik</v>
      </c>
    </row>
    <row r="111" customFormat="false" ht="13.5" hidden="false" customHeight="false" outlineLevel="0" collapsed="false">
      <c r="M111" s="201" t="s">
        <v>470</v>
      </c>
      <c r="N111" s="201" t="e">
        <f aca="false">VLOOKUP(M111,P:P,1,0)</f>
        <v>#N/A</v>
      </c>
      <c r="P111" s="209" t="s">
        <v>370</v>
      </c>
      <c r="Q111" s="201" t="str">
        <f aca="false">VLOOKUP(P111,S:S,1,0)</f>
        <v>Parakram Legal</v>
      </c>
      <c r="S111" s="207" t="s">
        <v>414</v>
      </c>
      <c r="T111" s="201" t="str">
        <f aca="false">VLOOKUP(S111,U:U,1,0)</f>
        <v>MV Law Partners</v>
      </c>
      <c r="U111" s="128" t="s">
        <v>516</v>
      </c>
      <c r="V111" s="201" t="str">
        <f aca="false">VLOOKUP(U111,X:X,1,0)</f>
        <v>Birendra Saraf</v>
      </c>
      <c r="X111" s="210" t="s">
        <v>593</v>
      </c>
      <c r="Y111" s="201" t="str">
        <f aca="false">VLOOKUP(X111,AA:AA,1,0)</f>
        <v>MG Ramachandran</v>
      </c>
      <c r="AA111" s="128" t="s">
        <v>152</v>
      </c>
      <c r="AB111" s="201" t="str">
        <f aca="false">VLOOKUP(AA111,AD:AD,1,0)</f>
        <v>Harshit Malik</v>
      </c>
      <c r="AD111" s="201" t="s">
        <v>587</v>
      </c>
      <c r="AE111" s="201" t="e">
        <f aca="false">VLOOKUP(AD111,AA:AA,1,0)</f>
        <v>#N/A</v>
      </c>
    </row>
    <row r="112" customFormat="false" ht="13.5" hidden="false" customHeight="false" outlineLevel="0" collapsed="false">
      <c r="M112" s="201" t="s">
        <v>486</v>
      </c>
      <c r="N112" s="201" t="e">
        <f aca="false">VLOOKUP(M112,P:P,1,0)</f>
        <v>#N/A</v>
      </c>
      <c r="P112" s="207" t="s">
        <v>372</v>
      </c>
      <c r="Q112" s="201" t="str">
        <f aca="false">VLOOKUP(P112,S:S,1,0)</f>
        <v>IndusLaw</v>
      </c>
      <c r="S112" s="219" t="s">
        <v>416</v>
      </c>
      <c r="T112" s="201" t="str">
        <f aca="false">VLOOKUP(S112,U:U,1,0)</f>
        <v>Ratan Kumar Singh</v>
      </c>
      <c r="U112" s="128" t="s">
        <v>518</v>
      </c>
      <c r="V112" s="201" t="str">
        <f aca="false">VLOOKUP(U112,X:X,1,0)</f>
        <v>IRIS LEGAL</v>
      </c>
      <c r="X112" s="145" t="s">
        <v>164</v>
      </c>
      <c r="Y112" s="201" t="str">
        <f aca="false">VLOOKUP(X112,AA:AA,1,0)</f>
        <v>Miglani Varma &amp; Co.</v>
      </c>
      <c r="AA112" s="128" t="s">
        <v>412</v>
      </c>
      <c r="AB112" s="201" t="str">
        <f aca="false">VLOOKUP(AA112,AD:AD,1,0)</f>
        <v>Solaris Legal</v>
      </c>
      <c r="AD112" s="201" t="s">
        <v>412</v>
      </c>
      <c r="AE112" s="201" t="str">
        <f aca="false">VLOOKUP(AD112,AA:AA,1,0)</f>
        <v>Solaris Legal</v>
      </c>
    </row>
    <row r="113" customFormat="false" ht="13.5" hidden="false" customHeight="false" outlineLevel="0" collapsed="false">
      <c r="M113" s="201" t="s">
        <v>488</v>
      </c>
      <c r="N113" s="201" t="e">
        <f aca="false">VLOOKUP(M113,P:P,1,0)</f>
        <v>#N/A</v>
      </c>
      <c r="P113" s="207" t="s">
        <v>383</v>
      </c>
      <c r="Q113" s="201" t="str">
        <f aca="false">VLOOKUP(P113,S:S,1,0)</f>
        <v>Keystone Partners</v>
      </c>
      <c r="S113" s="207" t="s">
        <v>420</v>
      </c>
      <c r="T113" s="201" t="str">
        <f aca="false">VLOOKUP(S113,U:U,1,0)</f>
        <v>Mr Rohit Gupta</v>
      </c>
      <c r="U113" s="128" t="s">
        <v>520</v>
      </c>
      <c r="V113" s="201" t="str">
        <f aca="false">VLOOKUP(U113,X:X,1,0)</f>
        <v>JYOT-A Public Trust</v>
      </c>
      <c r="X113" s="128" t="s">
        <v>483</v>
      </c>
      <c r="Y113" s="201" t="str">
        <f aca="false">VLOOKUP(X113,AA:AA,1,0)</f>
        <v>Monalisa Kosaria</v>
      </c>
      <c r="AA113" s="128" t="s">
        <v>591</v>
      </c>
      <c r="AB113" s="201" t="str">
        <f aca="false">VLOOKUP(AA113,AD:AD,1,0)</f>
        <v>Surel Shah</v>
      </c>
      <c r="AD113" s="201" t="s">
        <v>591</v>
      </c>
      <c r="AE113" s="201" t="str">
        <f aca="false">VLOOKUP(AD113,AA:AA,1,0)</f>
        <v>Surel Shah</v>
      </c>
    </row>
    <row r="114" customFormat="false" ht="13.5" hidden="false" customHeight="false" outlineLevel="0" collapsed="false">
      <c r="M114" s="53" t="s">
        <v>490</v>
      </c>
      <c r="N114" s="201" t="e">
        <f aca="false">VLOOKUP(M114,P:P,1,0)</f>
        <v>#N/A</v>
      </c>
      <c r="P114" s="207" t="s">
        <v>386</v>
      </c>
      <c r="Q114" s="201" t="str">
        <f aca="false">VLOOKUP(P114,S:S,1,0)</f>
        <v>Prompt Legal (Shared by Jayanth)</v>
      </c>
      <c r="S114" s="205" t="s">
        <v>425</v>
      </c>
      <c r="T114" s="201" t="str">
        <f aca="false">VLOOKUP(S114,U:U,1,0)</f>
        <v>Sanjay Udeshi &amp; Co.</v>
      </c>
      <c r="U114" s="128" t="s">
        <v>522</v>
      </c>
      <c r="V114" s="201" t="str">
        <f aca="false">VLOOKUP(U114,X:X,1,0)</f>
        <v>Yakshay Chheda</v>
      </c>
      <c r="X114" s="128" t="s">
        <v>420</v>
      </c>
      <c r="Y114" s="201" t="str">
        <f aca="false">VLOOKUP(X114,AA:AA,1,0)</f>
        <v>Mr Rohit Gupta</v>
      </c>
      <c r="AA114" s="128" t="s">
        <v>593</v>
      </c>
      <c r="AB114" s="201" t="str">
        <f aca="false">VLOOKUP(AA114,AD:AD,1,0)</f>
        <v>MG Ramachandran</v>
      </c>
      <c r="AD114" s="201" t="s">
        <v>593</v>
      </c>
      <c r="AE114" s="201" t="str">
        <f aca="false">VLOOKUP(AD114,AA:AA,1,0)</f>
        <v>MG Ramachandran</v>
      </c>
    </row>
    <row r="115" customFormat="false" ht="13.5" hidden="false" customHeight="false" outlineLevel="0" collapsed="false">
      <c r="M115" s="201" t="s">
        <v>492</v>
      </c>
      <c r="N115" s="201" t="e">
        <f aca="false">VLOOKUP(M115,P:P,1,0)</f>
        <v>#N/A</v>
      </c>
      <c r="P115" s="207" t="s">
        <v>388</v>
      </c>
      <c r="Q115" s="201" t="str">
        <f aca="false">VLOOKUP(P115,S:S,1,0)</f>
        <v>Justice (Retd.) AK Sikri</v>
      </c>
      <c r="S115" s="207" t="s">
        <v>427</v>
      </c>
      <c r="T115" s="201" t="str">
        <f aca="false">VLOOKUP(S115,U:U,1,0)</f>
        <v>Abel Tom Benny // Thomas and Thomas Advocates</v>
      </c>
      <c r="U115" s="128" t="s">
        <v>524</v>
      </c>
      <c r="V115" s="201" t="str">
        <f aca="false">VLOOKUP(U115,X:X,1,0)</f>
        <v>Tipping Mr Pink Private Limited</v>
      </c>
      <c r="X115" s="128" t="s">
        <v>710</v>
      </c>
      <c r="Y115" s="201" t="str">
        <f aca="false">VLOOKUP(X115,AA:AA,1,0)</f>
        <v>Mukul Sharma and Company</v>
      </c>
      <c r="AA115" s="128" t="s">
        <v>168</v>
      </c>
      <c r="AB115" s="201" t="str">
        <f aca="false">VLOOKUP(AA115,AD:AD,1,0)</f>
        <v>Jade Lex Partners</v>
      </c>
      <c r="AD115" s="201" t="s">
        <v>168</v>
      </c>
      <c r="AE115" s="201" t="str">
        <f aca="false">VLOOKUP(AD115,AA:AA,1,0)</f>
        <v>Jade Lex Partners</v>
      </c>
    </row>
    <row r="116" customFormat="false" ht="13.5" hidden="false" customHeight="false" outlineLevel="0" collapsed="false">
      <c r="M116" s="201" t="s">
        <v>503</v>
      </c>
      <c r="N116" s="201" t="e">
        <f aca="false">VLOOKUP(M116,P:P,1,0)</f>
        <v>#N/A</v>
      </c>
      <c r="P116" s="207" t="s">
        <v>393</v>
      </c>
      <c r="Q116" s="201" t="str">
        <f aca="false">VLOOKUP(P116,S:S,1,0)</f>
        <v>Amrita Panda / ADP Chambers- 62</v>
      </c>
      <c r="S116" s="207" t="s">
        <v>429</v>
      </c>
      <c r="T116" s="201" t="str">
        <f aca="false">VLOOKUP(S116,U:U,1,0)</f>
        <v>Farhan Dubash </v>
      </c>
      <c r="U116" s="128" t="s">
        <v>526</v>
      </c>
      <c r="V116" s="201" t="str">
        <f aca="false">VLOOKUP(U116,X:X,1,0)</f>
        <v>KUAJ LEGAL</v>
      </c>
      <c r="X116" s="128" t="s">
        <v>431</v>
      </c>
      <c r="Y116" s="201" t="str">
        <f aca="false">VLOOKUP(X116,AA:AA,1,0)</f>
        <v>Mustafa S Doctor</v>
      </c>
      <c r="AA116" s="128" t="s">
        <v>596</v>
      </c>
      <c r="AB116" s="201" t="str">
        <f aca="false">VLOOKUP(AA116,AD:AD,1,0)</f>
        <v>Aanchal Basur</v>
      </c>
      <c r="AD116" s="201" t="s">
        <v>596</v>
      </c>
      <c r="AE116" s="201" t="str">
        <f aca="false">VLOOKUP(AD116,AA:AA,1,0)</f>
        <v>Aanchal Basur</v>
      </c>
    </row>
    <row r="117" customFormat="false" ht="13.5" hidden="false" customHeight="false" outlineLevel="0" collapsed="false">
      <c r="M117" s="201" t="s">
        <v>506</v>
      </c>
      <c r="N117" s="201" t="e">
        <f aca="false">VLOOKUP(M117,P:P,1,0)</f>
        <v>#N/A</v>
      </c>
      <c r="P117" s="207" t="s">
        <v>397</v>
      </c>
      <c r="Q117" s="201" t="str">
        <f aca="false">VLOOKUP(P117,S:S,1,0)</f>
        <v>Chambers of Justice Mohit S Shah (Retd.), Former Chief Justice of Bombay and Calcutta High Court</v>
      </c>
      <c r="S117" s="207" t="s">
        <v>431</v>
      </c>
      <c r="T117" s="201" t="str">
        <f aca="false">VLOOKUP(S117,U:U,1,0)</f>
        <v>Mustafa S Doctor</v>
      </c>
      <c r="U117" s="128" t="s">
        <v>528</v>
      </c>
      <c r="V117" s="201" t="e">
        <f aca="false">VLOOKUP(U117,X:X,1,0)</f>
        <v>#N/A</v>
      </c>
      <c r="X117" s="128" t="s">
        <v>414</v>
      </c>
      <c r="Y117" s="201" t="str">
        <f aca="false">VLOOKUP(X117,AA:AA,1,0)</f>
        <v>MV Law Partners</v>
      </c>
      <c r="AA117" s="128" t="s">
        <v>381</v>
      </c>
      <c r="AB117" s="201" t="str">
        <f aca="false">VLOOKUP(AA117,AD:AD,1,0)</f>
        <v>NKR Law Offices</v>
      </c>
      <c r="AD117" s="201" t="s">
        <v>381</v>
      </c>
      <c r="AE117" s="201" t="str">
        <f aca="false">VLOOKUP(AD117,AA:AA,1,0)</f>
        <v>NKR Law Offices</v>
      </c>
    </row>
    <row r="118" customFormat="false" ht="13.5" hidden="false" customHeight="false" outlineLevel="0" collapsed="false">
      <c r="M118" s="201" t="s">
        <v>483</v>
      </c>
      <c r="N118" s="201" t="str">
        <f aca="false">VLOOKUP(M118,P:P,1,0)</f>
        <v>Monalisa Kosaria</v>
      </c>
      <c r="P118" s="207" t="s">
        <v>399</v>
      </c>
      <c r="Q118" s="201" t="str">
        <f aca="false">VLOOKUP(P118,S:S,1,0)</f>
        <v>Wadia Ghandy &amp; Co.</v>
      </c>
      <c r="S118" s="207" t="s">
        <v>434</v>
      </c>
      <c r="T118" s="201" t="str">
        <f aca="false">VLOOKUP(S118,U:U,1,0)</f>
        <v>Naushad Engineer</v>
      </c>
      <c r="U118" s="128" t="s">
        <v>530</v>
      </c>
      <c r="V118" s="201" t="str">
        <f aca="false">VLOOKUP(U118,X:X,1,0)</f>
        <v>Agraa Legal</v>
      </c>
      <c r="X118" s="145" t="s">
        <v>341</v>
      </c>
      <c r="Y118" s="201" t="str">
        <f aca="false">VLOOKUP(X118,AA:AA,1,0)</f>
        <v>MZM Legal LLP</v>
      </c>
      <c r="AA118" s="128" t="s">
        <v>608</v>
      </c>
      <c r="AB118" s="201" t="str">
        <f aca="false">VLOOKUP(AA118,AD:AD,1,0)</f>
        <v>Swapnil Wagh</v>
      </c>
      <c r="AD118" s="201" t="s">
        <v>608</v>
      </c>
      <c r="AE118" s="201" t="str">
        <f aca="false">VLOOKUP(AD118,AA:AA,1,0)</f>
        <v>Swapnil Wagh</v>
      </c>
    </row>
    <row r="119" customFormat="false" ht="13.5" hidden="false" customHeight="false" outlineLevel="0" collapsed="false">
      <c r="P119" s="207" t="s">
        <v>401</v>
      </c>
      <c r="Q119" s="201" t="str">
        <f aca="false">VLOOKUP(P119,S:S,1,0)</f>
        <v>Burgeon Law LLP</v>
      </c>
      <c r="S119" s="207" t="s">
        <v>436</v>
      </c>
      <c r="T119" s="201" t="str">
        <f aca="false">VLOOKUP(S119,U:U,1,0)</f>
        <v>Shyam Kapadia</v>
      </c>
      <c r="U119" s="128" t="s">
        <v>532</v>
      </c>
      <c r="V119" s="201" t="e">
        <f aca="false">VLOOKUP(U119,X:X,1,0)</f>
        <v>#N/A</v>
      </c>
      <c r="X119" s="210" t="s">
        <v>536</v>
      </c>
      <c r="Y119" s="201" t="str">
        <f aca="false">VLOOKUP(X119,AA:AA,1,0)</f>
        <v>Narottam Sharma</v>
      </c>
      <c r="AA119" s="128" t="s">
        <v>610</v>
      </c>
      <c r="AB119" s="201" t="str">
        <f aca="false">VLOOKUP(AA119,AD:AD,1,0)</f>
        <v>Arpit Gupta</v>
      </c>
      <c r="AD119" s="201" t="s">
        <v>610</v>
      </c>
      <c r="AE119" s="201" t="str">
        <f aca="false">VLOOKUP(AD119,AA:AA,1,0)</f>
        <v>Arpit Gupta</v>
      </c>
    </row>
    <row r="120" customFormat="false" ht="13.5" hidden="false" customHeight="false" outlineLevel="0" collapsed="false">
      <c r="P120" s="207" t="s">
        <v>403</v>
      </c>
      <c r="Q120" s="201" t="str">
        <f aca="false">VLOOKUP(P120,S:S,1,0)</f>
        <v>Eternity Legal</v>
      </c>
      <c r="S120" s="207" t="s">
        <v>130</v>
      </c>
      <c r="T120" s="201" t="str">
        <f aca="false">VLOOKUP(S120,U:U,1,0)</f>
        <v>Tvashta Law</v>
      </c>
      <c r="U120" s="128" t="s">
        <v>534</v>
      </c>
      <c r="V120" s="201" t="str">
        <f aca="false">VLOOKUP(U120,X:X,1,0)</f>
        <v>Shobit Phutela</v>
      </c>
      <c r="X120" s="145" t="s">
        <v>434</v>
      </c>
      <c r="Y120" s="201" t="str">
        <f aca="false">VLOOKUP(X120,AA:AA,1,0)</f>
        <v>Naushad Engineer</v>
      </c>
      <c r="AA120" s="128" t="s">
        <v>509</v>
      </c>
      <c r="AB120" s="201" t="str">
        <f aca="false">VLOOKUP(AA120,AD:AD,1,0)</f>
        <v>Poovayya &amp; CO</v>
      </c>
      <c r="AD120" s="201" t="s">
        <v>509</v>
      </c>
      <c r="AE120" s="201" t="str">
        <f aca="false">VLOOKUP(AD120,AA:AA,1,0)</f>
        <v>Poovayya &amp; CO</v>
      </c>
    </row>
    <row r="121" customFormat="false" ht="13.5" hidden="false" customHeight="false" outlineLevel="0" collapsed="false">
      <c r="P121" s="207" t="s">
        <v>405</v>
      </c>
      <c r="Q121" s="201" t="str">
        <f aca="false">VLOOKUP(P121,S:S,1,0)</f>
        <v>Nora Legal Consultants LLP</v>
      </c>
      <c r="S121" s="207" t="s">
        <v>442</v>
      </c>
      <c r="T121" s="201" t="str">
        <f aca="false">VLOOKUP(S121,U:U,1,0)</f>
        <v>Ish Jain / Regius Partners LLP</v>
      </c>
      <c r="U121" s="128" t="s">
        <v>536</v>
      </c>
      <c r="V121" s="201" t="str">
        <f aca="false">VLOOKUP(U121,X:X,1,0)</f>
        <v>Narottam Sharma</v>
      </c>
      <c r="X121" s="145" t="s">
        <v>659</v>
      </c>
      <c r="Y121" s="201" t="str">
        <f aca="false">VLOOKUP(X121,AA:AA,1,0)</f>
        <v>Nayana Tara BG</v>
      </c>
      <c r="AA121" s="128" t="s">
        <v>328</v>
      </c>
      <c r="AB121" s="201" t="str">
        <f aca="false">VLOOKUP(AA121,AD:AD,1,0)</f>
        <v>J INFRATECH LIMITED</v>
      </c>
      <c r="AD121" s="201" t="s">
        <v>328</v>
      </c>
      <c r="AE121" s="201" t="str">
        <f aca="false">VLOOKUP(AD121,AA:AA,1,0)</f>
        <v>J INFRATECH LIMITED</v>
      </c>
    </row>
    <row r="122" customFormat="false" ht="31.3" hidden="false" customHeight="false" outlineLevel="0" collapsed="false">
      <c r="P122" s="207" t="s">
        <v>408</v>
      </c>
      <c r="Q122" s="201" t="str">
        <f aca="false">VLOOKUP(P122,S:S,1,0)</f>
        <v>Innovatus Law</v>
      </c>
      <c r="S122" s="206" t="s">
        <v>445</v>
      </c>
      <c r="T122" s="204" t="str">
        <f aca="false">VLOOKUP(S122,U:U,1,0)</f>
        <v>
The Guild | Advocates &amp; Associate Counsel</v>
      </c>
      <c r="U122" s="128" t="s">
        <v>540</v>
      </c>
      <c r="V122" s="201" t="str">
        <f aca="false">VLOOKUP(U122,X:X,1,0)</f>
        <v>Rahul Saboo, Advocate</v>
      </c>
      <c r="X122" s="128" t="s">
        <v>191</v>
      </c>
      <c r="Y122" s="201" t="str">
        <f aca="false">VLOOKUP(X122,AA:AA,1,0)</f>
        <v>NC Legal</v>
      </c>
      <c r="AA122" s="128" t="s">
        <v>616</v>
      </c>
      <c r="AB122" s="201" t="str">
        <f aca="false">VLOOKUP(AA122,AD:AD,1,0)</f>
        <v>Rohan Shah</v>
      </c>
      <c r="AD122" s="201" t="s">
        <v>616</v>
      </c>
      <c r="AE122" s="201" t="str">
        <f aca="false">VLOOKUP(AD122,AA:AA,1,0)</f>
        <v>Rohan Shah</v>
      </c>
    </row>
    <row r="123" customFormat="false" ht="13.5" hidden="false" customHeight="false" outlineLevel="0" collapsed="false">
      <c r="P123" s="209" t="s">
        <v>410</v>
      </c>
      <c r="Q123" s="201" t="str">
        <f aca="false">VLOOKUP(P123,S:S,1,0)</f>
        <v>Gourab Banreji</v>
      </c>
      <c r="S123" s="207" t="s">
        <v>448</v>
      </c>
      <c r="T123" s="201" t="str">
        <f aca="false">VLOOKUP(S123,U:U,1,0)</f>
        <v>Abhimanyu Garg / Methodica Legal </v>
      </c>
      <c r="U123" s="128" t="s">
        <v>542</v>
      </c>
      <c r="V123" s="201" t="e">
        <f aca="false">VLOOKUP(U123,X:X,1,0)</f>
        <v>#N/A</v>
      </c>
      <c r="X123" s="128" t="s">
        <v>262</v>
      </c>
      <c r="Y123" s="201" t="str">
        <f aca="false">VLOOKUP(X123,AA:AA,1,0)</f>
        <v>Neeta Jain</v>
      </c>
      <c r="AA123" s="128" t="s">
        <v>468</v>
      </c>
      <c r="AB123" s="201" t="str">
        <f aca="false">VLOOKUP(AA123,AD:AD,1,0)</f>
        <v>GM Legal</v>
      </c>
      <c r="AD123" s="201" t="s">
        <v>468</v>
      </c>
      <c r="AE123" s="201" t="str">
        <f aca="false">VLOOKUP(AD123,AA:AA,1,0)</f>
        <v>GM Legal</v>
      </c>
    </row>
    <row r="124" customFormat="false" ht="13.5" hidden="false" customHeight="false" outlineLevel="0" collapsed="false">
      <c r="P124" s="206" t="s">
        <v>412</v>
      </c>
      <c r="Q124" s="201" t="e">
        <f aca="false">VLOOKUP(P124,S:S,1,0)</f>
        <v>#N/A</v>
      </c>
      <c r="S124" s="207" t="s">
        <v>451</v>
      </c>
      <c r="T124" s="201" t="str">
        <f aca="false">VLOOKUP(S124,U:U,1,0)</f>
        <v>Megha Chandra</v>
      </c>
      <c r="U124" s="128" t="s">
        <v>147</v>
      </c>
      <c r="V124" s="201" t="str">
        <f aca="false">VLOOKUP(U124,X:X,1,0)</f>
        <v>RAJANI ASSOCIATES</v>
      </c>
      <c r="X124" s="145" t="s">
        <v>326</v>
      </c>
      <c r="Y124" s="201" t="str">
        <f aca="false">VLOOKUP(X124,AA:AA,1,0)</f>
        <v>Nikhil Pai</v>
      </c>
      <c r="AA124" s="128" t="s">
        <v>549</v>
      </c>
      <c r="AB124" s="201" t="str">
        <f aca="false">VLOOKUP(AA124,AD:AD,1,0)</f>
        <v>S Priya</v>
      </c>
      <c r="AD124" s="201" t="s">
        <v>549</v>
      </c>
      <c r="AE124" s="201" t="str">
        <f aca="false">VLOOKUP(AD124,AA:AA,1,0)</f>
        <v>S Priya</v>
      </c>
    </row>
    <row r="125" customFormat="false" ht="13.5" hidden="false" customHeight="false" outlineLevel="0" collapsed="false">
      <c r="P125" s="207" t="s">
        <v>414</v>
      </c>
      <c r="Q125" s="201" t="str">
        <f aca="false">VLOOKUP(P125,S:S,1,0)</f>
        <v>MV Law Partners</v>
      </c>
      <c r="S125" s="207" t="s">
        <v>458</v>
      </c>
      <c r="T125" s="201" t="str">
        <f aca="false">VLOOKUP(S125,U:U,1,0)</f>
        <v>Shiraz Rustomjee</v>
      </c>
      <c r="U125" s="160" t="s">
        <v>546</v>
      </c>
      <c r="V125" s="201" t="str">
        <f aca="false">VLOOKUP(U125,X:X,1,0)</f>
        <v>Meghna Talwar</v>
      </c>
      <c r="X125" s="128" t="s">
        <v>356</v>
      </c>
      <c r="Y125" s="201" t="str">
        <f aca="false">VLOOKUP(X125,AA:AA,1,0)</f>
        <v>Nitish Raj</v>
      </c>
      <c r="AA125" s="128" t="s">
        <v>626</v>
      </c>
      <c r="AB125" s="201" t="str">
        <f aca="false">VLOOKUP(AA125,AD:AD,1,0)</f>
        <v>Ujjwal Sharma</v>
      </c>
      <c r="AD125" s="201" t="s">
        <v>626</v>
      </c>
      <c r="AE125" s="201" t="str">
        <f aca="false">VLOOKUP(AD125,AA:AA,1,0)</f>
        <v>Ujjwal Sharma</v>
      </c>
    </row>
    <row r="126" customFormat="false" ht="13.5" hidden="false" customHeight="false" outlineLevel="0" collapsed="false">
      <c r="P126" s="207" t="s">
        <v>416</v>
      </c>
      <c r="Q126" s="201" t="str">
        <f aca="false">VLOOKUP(P126,S:S,1,0)</f>
        <v>Ratan Kumar Singh</v>
      </c>
      <c r="S126" s="207" t="s">
        <v>460</v>
      </c>
      <c r="T126" s="201" t="str">
        <f aca="false">VLOOKUP(S126,U:U,1,0)</f>
        <v>Dipankar Majumdar</v>
      </c>
      <c r="U126" s="128" t="s">
        <v>549</v>
      </c>
      <c r="V126" s="201" t="str">
        <f aca="false">VLOOKUP(U126,X:X,1,0)</f>
        <v>S Priya</v>
      </c>
      <c r="X126" s="128" t="s">
        <v>381</v>
      </c>
      <c r="Y126" s="201" t="str">
        <f aca="false">VLOOKUP(X126,AA:AA,1,0)</f>
        <v>NKR Law Offices</v>
      </c>
      <c r="AA126" s="128" t="s">
        <v>628</v>
      </c>
      <c r="AB126" s="201" t="str">
        <f aca="false">VLOOKUP(AA126,AD:AD,1,0)</f>
        <v>Trust Law</v>
      </c>
      <c r="AD126" s="201" t="s">
        <v>628</v>
      </c>
      <c r="AE126" s="201" t="str">
        <f aca="false">VLOOKUP(AD126,AA:AA,1,0)</f>
        <v>Trust Law</v>
      </c>
    </row>
    <row r="127" customFormat="false" ht="13.5" hidden="false" customHeight="false" outlineLevel="0" collapsed="false">
      <c r="P127" s="207" t="s">
        <v>420</v>
      </c>
      <c r="Q127" s="201" t="str">
        <f aca="false">VLOOKUP(P127,S:S,1,0)</f>
        <v>Mr Rohit Gupta</v>
      </c>
      <c r="S127" s="207" t="s">
        <v>462</v>
      </c>
      <c r="T127" s="201" t="str">
        <f aca="false">VLOOKUP(S127,U:U,1,0)</f>
        <v>Office of ASG (N. Venkatraman)</v>
      </c>
      <c r="U127" s="128" t="s">
        <v>551</v>
      </c>
      <c r="V127" s="201" t="str">
        <f aca="false">VLOOKUP(U127,X:X,1,0)</f>
        <v>Joy Baxi &amp; Associates</v>
      </c>
      <c r="X127" s="128" t="s">
        <v>405</v>
      </c>
      <c r="Y127" s="201" t="str">
        <f aca="false">VLOOKUP(X127,AA:AA,1,0)</f>
        <v>Nora Legal Consultants LLP</v>
      </c>
      <c r="AA127" s="128" t="s">
        <v>630</v>
      </c>
      <c r="AB127" s="201" t="str">
        <f aca="false">VLOOKUP(AA127,AD:AD,1,0)</f>
        <v>Priyanshi Kholia</v>
      </c>
      <c r="AD127" s="201" t="s">
        <v>630</v>
      </c>
      <c r="AE127" s="201" t="str">
        <f aca="false">VLOOKUP(AD127,AA:AA,1,0)</f>
        <v>Priyanshi Kholia</v>
      </c>
    </row>
    <row r="128" customFormat="false" ht="13.5" hidden="false" customHeight="false" outlineLevel="0" collapsed="false">
      <c r="P128" s="201" t="s">
        <v>425</v>
      </c>
      <c r="Q128" s="201" t="str">
        <f aca="false">VLOOKUP(P128,S:S,1,0)</f>
        <v>Sanjay Udeshi &amp; Co.</v>
      </c>
      <c r="S128" s="207" t="s">
        <v>125</v>
      </c>
      <c r="T128" s="201" t="str">
        <f aca="false">VLOOKUP(S128,U:U,1,0)</f>
        <v>LEGALOGIC CONSULTING LLP</v>
      </c>
      <c r="U128" s="91" t="s">
        <v>181</v>
      </c>
      <c r="V128" s="201" t="str">
        <f aca="false">VLOOKUP(U128,X:X,1,0)</f>
        <v>Dewani Associates</v>
      </c>
      <c r="X128" s="128" t="s">
        <v>462</v>
      </c>
      <c r="Y128" s="201" t="str">
        <f aca="false">VLOOKUP(X128,AA:AA,1,0)</f>
        <v>Office of ASG (N. Venkatraman)</v>
      </c>
      <c r="AA128" s="128" t="s">
        <v>636</v>
      </c>
      <c r="AB128" s="201" t="str">
        <f aca="false">VLOOKUP(AA128,AD:AD,1,0)</f>
        <v>Bishwajit Dubey</v>
      </c>
      <c r="AD128" s="201" t="s">
        <v>636</v>
      </c>
      <c r="AE128" s="201" t="str">
        <f aca="false">VLOOKUP(AD128,AA:AA,1,0)</f>
        <v>Bishwajit Dubey</v>
      </c>
    </row>
    <row r="129" customFormat="false" ht="13.5" hidden="false" customHeight="false" outlineLevel="0" collapsed="false">
      <c r="P129" s="201" t="s">
        <v>427</v>
      </c>
      <c r="Q129" s="201" t="str">
        <f aca="false">VLOOKUP(P129,S:S,1,0)</f>
        <v>Abel Tom Benny // Thomas and Thomas Advocates</v>
      </c>
      <c r="S129" s="207" t="s">
        <v>509</v>
      </c>
      <c r="T129" s="201" t="str">
        <f aca="false">VLOOKUP(S129,U:U,1,0)</f>
        <v>Poovayya &amp; CO</v>
      </c>
      <c r="U129" s="91" t="s">
        <v>554</v>
      </c>
      <c r="V129" s="201" t="str">
        <f aca="false">VLOOKUP(U129,X:X,1,0)</f>
        <v>Ganesh &amp; Co.</v>
      </c>
      <c r="X129" s="128" t="s">
        <v>370</v>
      </c>
      <c r="Y129" s="201" t="e">
        <f aca="false">VLOOKUP(X129,AA:AA,1,0)</f>
        <v>#N/A</v>
      </c>
      <c r="AA129" s="128" t="s">
        <v>638</v>
      </c>
      <c r="AB129" s="201" t="str">
        <f aca="false">VLOOKUP(AA129,AD:AD,1,0)</f>
        <v>Krati Gupta</v>
      </c>
      <c r="AD129" s="201" t="s">
        <v>638</v>
      </c>
      <c r="AE129" s="201" t="str">
        <f aca="false">VLOOKUP(AD129,AA:AA,1,0)</f>
        <v>Krati Gupta</v>
      </c>
    </row>
    <row r="130" customFormat="false" ht="13.5" hidden="false" customHeight="false" outlineLevel="0" collapsed="false">
      <c r="P130" s="201" t="s">
        <v>429</v>
      </c>
      <c r="Q130" s="201" t="str">
        <f aca="false">VLOOKUP(P130,S:S,1,0)</f>
        <v>Farhan Dubash </v>
      </c>
      <c r="S130" s="207" t="s">
        <v>511</v>
      </c>
      <c r="T130" s="201" t="str">
        <f aca="false">VLOOKUP(S130,U:U,1,0)</f>
        <v>Sajan Poovayya</v>
      </c>
      <c r="U130" s="91" t="s">
        <v>556</v>
      </c>
      <c r="V130" s="201" t="e">
        <f aca="false">VLOOKUP(U130,X:X,1,0)</f>
        <v>#N/A</v>
      </c>
      <c r="X130" s="128" t="s">
        <v>666</v>
      </c>
      <c r="Y130" s="201" t="e">
        <f aca="false">VLOOKUP(X130,AA:AA,1,0)</f>
        <v>#N/A</v>
      </c>
      <c r="AA130" s="128" t="s">
        <v>643</v>
      </c>
      <c r="AB130" s="201" t="str">
        <f aca="false">VLOOKUP(AA130,AD:AD,1,0)</f>
        <v>Hamsaanandini Nanduri</v>
      </c>
      <c r="AD130" s="201" t="s">
        <v>643</v>
      </c>
      <c r="AE130" s="201" t="str">
        <f aca="false">VLOOKUP(AD130,AA:AA,1,0)</f>
        <v>Hamsaanandini Nanduri</v>
      </c>
    </row>
    <row r="131" customFormat="false" ht="13.5" hidden="false" customHeight="false" outlineLevel="0" collapsed="false">
      <c r="P131" s="201" t="s">
        <v>431</v>
      </c>
      <c r="Q131" s="201" t="str">
        <f aca="false">VLOOKUP(P131,S:S,1,0)</f>
        <v>Mustafa S Doctor</v>
      </c>
      <c r="S131" s="207" t="s">
        <v>514</v>
      </c>
      <c r="T131" s="201" t="str">
        <f aca="false">VLOOKUP(S131,U:U,1,0)</f>
        <v>Vardharma Chambers</v>
      </c>
      <c r="U131" s="91" t="s">
        <v>322</v>
      </c>
      <c r="V131" s="201" t="str">
        <f aca="false">VLOOKUP(U131,X:X,1,0)</f>
        <v>Vis Legis Law Practice</v>
      </c>
      <c r="X131" s="145" t="s">
        <v>736</v>
      </c>
      <c r="Y131" s="201" t="str">
        <f aca="false">VLOOKUP(X131,AA:AA,1,0)</f>
        <v>Parul Sharma</v>
      </c>
      <c r="AA131" s="128" t="s">
        <v>483</v>
      </c>
      <c r="AB131" s="201" t="str">
        <f aca="false">VLOOKUP(AA131,AD:AD,1,0)</f>
        <v>Monalisa Kosaria</v>
      </c>
      <c r="AD131" s="201" t="s">
        <v>483</v>
      </c>
      <c r="AE131" s="201" t="str">
        <f aca="false">VLOOKUP(AD131,AA:AA,1,0)</f>
        <v>Monalisa Kosaria</v>
      </c>
    </row>
    <row r="132" customFormat="false" ht="13.5" hidden="false" customHeight="false" outlineLevel="0" collapsed="false">
      <c r="P132" s="201" t="s">
        <v>434</v>
      </c>
      <c r="Q132" s="201" t="str">
        <f aca="false">VLOOKUP(P132,S:S,1,0)</f>
        <v>Naushad Engineer</v>
      </c>
      <c r="S132" s="207" t="s">
        <v>516</v>
      </c>
      <c r="T132" s="201" t="str">
        <f aca="false">VLOOKUP(S132,U:U,1,0)</f>
        <v>Birendra Saraf</v>
      </c>
      <c r="U132" s="91" t="s">
        <v>133</v>
      </c>
      <c r="V132" s="201" t="str">
        <f aca="false">VLOOKUP(U132,X:X,1,0)</f>
        <v>U. S. GANDHI &amp; CO.</v>
      </c>
      <c r="X132" s="145" t="s">
        <v>656</v>
      </c>
      <c r="Y132" s="201" t="str">
        <f aca="false">VLOOKUP(X132,AA:AA,1,0)</f>
        <v>Philips India Limited</v>
      </c>
      <c r="AA132" s="128" t="s">
        <v>288</v>
      </c>
      <c r="AB132" s="201" t="str">
        <f aca="false">VLOOKUP(AA132,AD:AD,1,0)</f>
        <v>Gupta Law Associates</v>
      </c>
      <c r="AD132" s="201" t="s">
        <v>288</v>
      </c>
      <c r="AE132" s="201" t="str">
        <f aca="false">VLOOKUP(AD132,AA:AA,1,0)</f>
        <v>Gupta Law Associates</v>
      </c>
    </row>
    <row r="133" customFormat="false" ht="13.5" hidden="false" customHeight="false" outlineLevel="0" collapsed="false">
      <c r="P133" s="201" t="s">
        <v>436</v>
      </c>
      <c r="Q133" s="201" t="str">
        <f aca="false">VLOOKUP(P133,S:S,1,0)</f>
        <v>Shyam Kapadia</v>
      </c>
      <c r="S133" s="207" t="s">
        <v>518</v>
      </c>
      <c r="T133" s="201" t="str">
        <f aca="false">VLOOKUP(S133,U:U,1,0)</f>
        <v>IRIS LEGAL</v>
      </c>
      <c r="U133" s="91" t="s">
        <v>563</v>
      </c>
      <c r="V133" s="201" t="str">
        <f aca="false">VLOOKUP(U133,X:X,1,0)</f>
        <v>Gauri Puri</v>
      </c>
      <c r="X133" s="128" t="s">
        <v>324</v>
      </c>
      <c r="Y133" s="201" t="str">
        <f aca="false">VLOOKUP(X133,AA:AA,1,0)</f>
        <v>Phoenix Legal</v>
      </c>
      <c r="AA133" s="128" t="s">
        <v>522</v>
      </c>
      <c r="AB133" s="201" t="str">
        <f aca="false">VLOOKUP(AA133,AD:AD,1,0)</f>
        <v>Yakshay Chheda</v>
      </c>
      <c r="AD133" s="201" t="s">
        <v>522</v>
      </c>
      <c r="AE133" s="201" t="str">
        <f aca="false">VLOOKUP(AD133,AA:AA,1,0)</f>
        <v>Yakshay Chheda</v>
      </c>
    </row>
    <row r="134" customFormat="false" ht="13.5" hidden="false" customHeight="false" outlineLevel="0" collapsed="false">
      <c r="P134" s="201" t="s">
        <v>130</v>
      </c>
      <c r="Q134" s="201" t="str">
        <f aca="false">VLOOKUP(P134,S:S,1,0)</f>
        <v>Tvashta Law</v>
      </c>
      <c r="S134" s="207" t="s">
        <v>520</v>
      </c>
      <c r="T134" s="201" t="str">
        <f aca="false">VLOOKUP(S134,U:U,1,0)</f>
        <v>JYOT-A Public Trust</v>
      </c>
      <c r="U134" s="91" t="s">
        <v>566</v>
      </c>
      <c r="V134" s="201" t="str">
        <f aca="false">VLOOKUP(U134,X:X,1,0)</f>
        <v>Amit Bhagat</v>
      </c>
      <c r="X134" s="128" t="s">
        <v>254</v>
      </c>
      <c r="Y134" s="201" t="str">
        <f aca="false">VLOOKUP(X134,AA:AA,1,0)</f>
        <v>Piyush Raheja</v>
      </c>
      <c r="AA134" s="128" t="s">
        <v>648</v>
      </c>
      <c r="AB134" s="201" t="str">
        <f aca="false">VLOOKUP(AA134,AD:AD,1,0)</f>
        <v>Krishnan Venugopal</v>
      </c>
      <c r="AD134" s="201" t="s">
        <v>648</v>
      </c>
      <c r="AE134" s="201" t="str">
        <f aca="false">VLOOKUP(AD134,AA:AA,1,0)</f>
        <v>Krishnan Venugopal</v>
      </c>
    </row>
    <row r="135" customFormat="false" ht="13.5" hidden="false" customHeight="false" outlineLevel="0" collapsed="false">
      <c r="P135" s="201" t="s">
        <v>442</v>
      </c>
      <c r="Q135" s="201" t="str">
        <f aca="false">VLOOKUP(P135,S:S,1,0)</f>
        <v>Ish Jain / Regius Partners LLP</v>
      </c>
      <c r="S135" s="207" t="s">
        <v>522</v>
      </c>
      <c r="T135" s="201" t="str">
        <f aca="false">VLOOKUP(S135,U:U,1,0)</f>
        <v>Yakshay Chheda</v>
      </c>
      <c r="U135" s="91" t="s">
        <v>311</v>
      </c>
      <c r="V135" s="201" t="str">
        <f aca="false">VLOOKUP(U135,X:X,1,0)</f>
        <v>Vishal Kanade</v>
      </c>
      <c r="X135" s="210" t="s">
        <v>509</v>
      </c>
      <c r="Y135" s="201" t="str">
        <f aca="false">VLOOKUP(X135,AA:AA,1,0)</f>
        <v>Poovayya &amp; CO</v>
      </c>
      <c r="AA135" s="128" t="s">
        <v>514</v>
      </c>
      <c r="AB135" s="201" t="str">
        <f aca="false">VLOOKUP(AA135,AD:AD,1,0)</f>
        <v>Vardharma Chambers</v>
      </c>
      <c r="AD135" s="201" t="s">
        <v>514</v>
      </c>
      <c r="AE135" s="201" t="str">
        <f aca="false">VLOOKUP(AD135,AA:AA,1,0)</f>
        <v>Vardharma Chambers</v>
      </c>
    </row>
    <row r="136" customFormat="false" ht="31.3" hidden="false" customHeight="false" outlineLevel="0" collapsed="false">
      <c r="P136" s="204" t="s">
        <v>445</v>
      </c>
      <c r="Q136" s="204" t="str">
        <f aca="false">VLOOKUP(P136,S:S,1,0)</f>
        <v>
The Guild | Advocates &amp; Associate Counsel</v>
      </c>
      <c r="S136" s="207" t="s">
        <v>524</v>
      </c>
      <c r="T136" s="201" t="str">
        <f aca="false">VLOOKUP(S136,U:U,1,0)</f>
        <v>Tipping Mr Pink Private Limited</v>
      </c>
      <c r="U136" s="91" t="s">
        <v>569</v>
      </c>
      <c r="V136" s="201" t="str">
        <f aca="false">VLOOKUP(U136,X:X,1,0)</f>
        <v>Sundeep Karnik</v>
      </c>
      <c r="X136" s="128" t="s">
        <v>230</v>
      </c>
      <c r="Y136" s="201" t="e">
        <f aca="false">VLOOKUP(X136,AA:AA,1,0)</f>
        <v>#N/A</v>
      </c>
      <c r="AA136" s="128" t="s">
        <v>652</v>
      </c>
      <c r="AB136" s="201" t="str">
        <f aca="false">VLOOKUP(AA136,AD:AD,1,0)</f>
        <v>GC Legal</v>
      </c>
      <c r="AD136" s="201" t="s">
        <v>652</v>
      </c>
      <c r="AE136" s="201" t="str">
        <f aca="false">VLOOKUP(AD136,AA:AA,1,0)</f>
        <v>GC Legal</v>
      </c>
    </row>
    <row r="137" customFormat="false" ht="13.5" hidden="false" customHeight="false" outlineLevel="0" collapsed="false">
      <c r="P137" s="201" t="s">
        <v>448</v>
      </c>
      <c r="Q137" s="201" t="str">
        <f aca="false">VLOOKUP(P137,S:S,1,0)</f>
        <v>Abhimanyu Garg / Methodica Legal </v>
      </c>
      <c r="S137" s="207" t="s">
        <v>526</v>
      </c>
      <c r="T137" s="201" t="str">
        <f aca="false">VLOOKUP(S137,U:U,1,0)</f>
        <v>KUAJ LEGAL</v>
      </c>
      <c r="U137" s="91" t="s">
        <v>571</v>
      </c>
      <c r="V137" s="201" t="str">
        <f aca="false">VLOOKUP(U137,X:X,1,0)</f>
        <v>Rohan Talwar</v>
      </c>
      <c r="X137" s="210" t="s">
        <v>716</v>
      </c>
      <c r="Y137" s="201" t="str">
        <f aca="false">VLOOKUP(X137,AA:AA,1,0)</f>
        <v>Pranav Badheka</v>
      </c>
      <c r="AA137" s="128" t="s">
        <v>654</v>
      </c>
      <c r="AB137" s="201" t="str">
        <f aca="false">VLOOKUP(AA137,AD:AD,1,0)</f>
        <v>Anush Raajan</v>
      </c>
      <c r="AD137" s="201" t="s">
        <v>654</v>
      </c>
      <c r="AE137" s="201" t="str">
        <f aca="false">VLOOKUP(AD137,AA:AA,1,0)</f>
        <v>Anush Raajan</v>
      </c>
    </row>
    <row r="138" customFormat="false" ht="13.5" hidden="false" customHeight="false" outlineLevel="0" collapsed="false">
      <c r="P138" s="201" t="s">
        <v>451</v>
      </c>
      <c r="Q138" s="201" t="str">
        <f aca="false">VLOOKUP(P138,S:S,1,0)</f>
        <v>Megha Chandra</v>
      </c>
      <c r="S138" s="207" t="s">
        <v>528</v>
      </c>
      <c r="T138" s="201" t="str">
        <f aca="false">VLOOKUP(S138,U:U,1,0)</f>
        <v>AJNM LAW INDIA LLP</v>
      </c>
      <c r="U138" s="91" t="s">
        <v>573</v>
      </c>
      <c r="V138" s="201" t="e">
        <f aca="false">VLOOKUP(U138,X:X,1,0)</f>
        <v>#N/A</v>
      </c>
      <c r="X138" s="128" t="s">
        <v>238</v>
      </c>
      <c r="Y138" s="201" t="str">
        <f aca="false">VLOOKUP(X138,AA:AA,1,0)</f>
        <v>Pratik Patnaik</v>
      </c>
      <c r="AA138" s="128" t="s">
        <v>656</v>
      </c>
      <c r="AB138" s="201" t="str">
        <f aca="false">VLOOKUP(AA138,AD:AD,1,0)</f>
        <v>Philips India Limited</v>
      </c>
      <c r="AD138" s="201" t="s">
        <v>656</v>
      </c>
      <c r="AE138" s="201" t="str">
        <f aca="false">VLOOKUP(AD138,AA:AA,1,0)</f>
        <v>Philips India Limited</v>
      </c>
    </row>
    <row r="139" customFormat="false" ht="13.5" hidden="false" customHeight="false" outlineLevel="0" collapsed="false">
      <c r="P139" s="201" t="s">
        <v>455</v>
      </c>
      <c r="Q139" s="201" t="e">
        <f aca="false">VLOOKUP(P139,S:S,1,0)</f>
        <v>#N/A</v>
      </c>
      <c r="S139" s="209" t="s">
        <v>530</v>
      </c>
      <c r="T139" s="201" t="str">
        <f aca="false">VLOOKUP(S139,U:U,1,0)</f>
        <v>Agraa Legal</v>
      </c>
      <c r="U139" s="91" t="s">
        <v>575</v>
      </c>
      <c r="V139" s="201" t="str">
        <f aca="false">VLOOKUP(U139,X:X,1,0)</f>
        <v>Aurtus Consulting LLP</v>
      </c>
      <c r="X139" s="128" t="s">
        <v>630</v>
      </c>
      <c r="Y139" s="201" t="str">
        <f aca="false">VLOOKUP(X139,AA:AA,1,0)</f>
        <v>Priyanshi Kholia</v>
      </c>
      <c r="AA139" s="128" t="s">
        <v>659</v>
      </c>
      <c r="AB139" s="201" t="str">
        <f aca="false">VLOOKUP(AA139,AD:AD,1,0)</f>
        <v>Nayana Tara BG</v>
      </c>
      <c r="AD139" s="201" t="s">
        <v>659</v>
      </c>
      <c r="AE139" s="201" t="str">
        <f aca="false">VLOOKUP(AD139,AA:AA,1,0)</f>
        <v>Nayana Tara BG</v>
      </c>
    </row>
    <row r="140" customFormat="false" ht="13.5" hidden="false" customHeight="false" outlineLevel="0" collapsed="false">
      <c r="P140" s="201" t="s">
        <v>458</v>
      </c>
      <c r="Q140" s="201" t="str">
        <f aca="false">VLOOKUP(P140,S:S,1,0)</f>
        <v>Shiraz Rustomjee</v>
      </c>
      <c r="S140" s="207" t="s">
        <v>532</v>
      </c>
      <c r="T140" s="201" t="str">
        <f aca="false">VLOOKUP(S140,U:U,1,0)</f>
        <v>KINJAL CIVILCON LLP</v>
      </c>
      <c r="U140" s="91" t="s">
        <v>130</v>
      </c>
      <c r="V140" s="201" t="str">
        <f aca="false">VLOOKUP(U140,X:X,1,0)</f>
        <v>Tvashta Law</v>
      </c>
      <c r="X140" s="128" t="s">
        <v>386</v>
      </c>
      <c r="Y140" s="201" t="str">
        <f aca="false">VLOOKUP(X140,AA:AA,1,0)</f>
        <v>Prompt Legal (Shared by Jayanth)</v>
      </c>
      <c r="AA140" s="128" t="s">
        <v>661</v>
      </c>
      <c r="AB140" s="201" t="str">
        <f aca="false">VLOOKUP(AA140,AD:AD,1,0)</f>
        <v>PSP Legal</v>
      </c>
      <c r="AD140" s="201" t="s">
        <v>661</v>
      </c>
      <c r="AE140" s="201" t="str">
        <f aca="false">VLOOKUP(AD140,AA:AA,1,0)</f>
        <v>PSP Legal</v>
      </c>
    </row>
    <row r="141" customFormat="false" ht="13.5" hidden="false" customHeight="false" outlineLevel="0" collapsed="false">
      <c r="P141" s="201" t="s">
        <v>460</v>
      </c>
      <c r="Q141" s="201" t="str">
        <f aca="false">VLOOKUP(P141,S:S,1,0)</f>
        <v>Dipankar Majumdar</v>
      </c>
      <c r="S141" s="206" t="s">
        <v>534</v>
      </c>
      <c r="T141" s="201" t="str">
        <f aca="false">VLOOKUP(S141,U:U,1,0)</f>
        <v>Shobit Phutela</v>
      </c>
      <c r="U141" s="91" t="s">
        <v>579</v>
      </c>
      <c r="V141" s="201" t="e">
        <f aca="false">VLOOKUP(U141,X:X,1,0)</f>
        <v>#N/A</v>
      </c>
      <c r="X141" s="210" t="s">
        <v>154</v>
      </c>
      <c r="Y141" s="201" t="str">
        <f aca="false">VLOOKUP(X141,AA:AA,1,0)</f>
        <v>PSN Legal Advocates and Legal Consultants</v>
      </c>
      <c r="AA141" s="160" t="s">
        <v>234</v>
      </c>
      <c r="AB141" s="201" t="str">
        <f aca="false">VLOOKUP(AA141,AD:AD,1,0)</f>
        <v>ICL CORPORATE ADVISORY PRIVATE LIMITED</v>
      </c>
      <c r="AD141" s="201" t="s">
        <v>234</v>
      </c>
      <c r="AE141" s="201" t="str">
        <f aca="false">VLOOKUP(AD141,AA:AA,1,0)</f>
        <v>ICL CORPORATE ADVISORY PRIVATE LIMITED</v>
      </c>
    </row>
    <row r="142" customFormat="false" ht="13.5" hidden="false" customHeight="false" outlineLevel="0" collapsed="false">
      <c r="P142" s="201" t="s">
        <v>462</v>
      </c>
      <c r="Q142" s="201" t="str">
        <f aca="false">VLOOKUP(P142,S:S,1,0)</f>
        <v>Office of ASG (N. Venkatraman)</v>
      </c>
      <c r="S142" s="207" t="s">
        <v>536</v>
      </c>
      <c r="T142" s="201" t="str">
        <f aca="false">VLOOKUP(S142,U:U,1,0)</f>
        <v>Narottam Sharma</v>
      </c>
      <c r="U142" s="91" t="s">
        <v>581</v>
      </c>
      <c r="V142" s="201" t="str">
        <f aca="false">VLOOKUP(U142,X:X,1,0)</f>
        <v>Apoorv Kurup</v>
      </c>
      <c r="X142" s="128" t="s">
        <v>661</v>
      </c>
      <c r="Y142" s="201" t="str">
        <f aca="false">VLOOKUP(X142,AA:AA,1,0)</f>
        <v>PSP Legal</v>
      </c>
      <c r="AA142" s="128" t="s">
        <v>664</v>
      </c>
      <c r="AB142" s="201" t="str">
        <f aca="false">VLOOKUP(AA142,AD:AD,1,0)</f>
        <v>Vivek Anand Anthony Britto</v>
      </c>
      <c r="AD142" s="201" t="s">
        <v>664</v>
      </c>
      <c r="AE142" s="201" t="str">
        <f aca="false">VLOOKUP(AD142,AA:AA,1,0)</f>
        <v>Vivek Anand Anthony Britto</v>
      </c>
    </row>
    <row r="143" customFormat="false" ht="13.5" hidden="false" customHeight="false" outlineLevel="0" collapsed="false">
      <c r="P143" s="201" t="s">
        <v>483</v>
      </c>
      <c r="Q143" s="201" t="e">
        <f aca="false">VLOOKUP(P143,S:S,1,0)</f>
        <v>#N/A</v>
      </c>
      <c r="S143" s="207" t="s">
        <v>540</v>
      </c>
      <c r="T143" s="201" t="str">
        <f aca="false">VLOOKUP(S143,U:U,1,0)</f>
        <v>Rahul Saboo, Advocate</v>
      </c>
      <c r="U143" s="91" t="s">
        <v>583</v>
      </c>
      <c r="V143" s="201" t="str">
        <f aca="false">VLOOKUP(U143,X:X,1,0)</f>
        <v>Elixir Legal Services</v>
      </c>
      <c r="X143" s="128" t="s">
        <v>695</v>
      </c>
      <c r="Y143" s="201" t="str">
        <f aca="false">VLOOKUP(X143,AA:AA,1,0)</f>
        <v>R. Ginodia &amp; Co. LLP</v>
      </c>
      <c r="AA143" s="128" t="s">
        <v>671</v>
      </c>
      <c r="AB143" s="201" t="str">
        <f aca="false">VLOOKUP(AA143,AD:AD,1,0)</f>
        <v>RHP Partners</v>
      </c>
      <c r="AD143" s="201" t="s">
        <v>671</v>
      </c>
      <c r="AE143" s="201" t="str">
        <f aca="false">VLOOKUP(AD143,AA:AA,1,0)</f>
        <v>RHP Partners</v>
      </c>
    </row>
    <row r="144" customFormat="false" ht="13.5" hidden="false" customHeight="false" outlineLevel="0" collapsed="false">
      <c r="P144" s="201" t="s">
        <v>587</v>
      </c>
      <c r="Q144" s="201" t="str">
        <f aca="false">VLOOKUP(P144,S:S,1,0)</f>
        <v>Shrey Lodha</v>
      </c>
      <c r="S144" s="207" t="s">
        <v>542</v>
      </c>
      <c r="T144" s="201" t="str">
        <f aca="false">VLOOKUP(S144,U:U,1,0)</f>
        <v>DSK Legal</v>
      </c>
      <c r="U144" s="91" t="s">
        <v>152</v>
      </c>
      <c r="V144" s="201" t="str">
        <f aca="false">VLOOKUP(U144,X:X,1,0)</f>
        <v>Harshit Malik</v>
      </c>
      <c r="X144" s="145" t="s">
        <v>184</v>
      </c>
      <c r="Y144" s="201" t="str">
        <f aca="false">VLOOKUP(X144,AA:AA,1,0)</f>
        <v>R. Vishnu Kumar, Advocate</v>
      </c>
      <c r="AA144" s="128" t="s">
        <v>286</v>
      </c>
      <c r="AB144" s="201" t="str">
        <f aca="false">VLOOKUP(AA144,AD:AD,1,0)</f>
        <v>Sarthak Advocates &amp; Solicitors</v>
      </c>
      <c r="AD144" s="201" t="s">
        <v>286</v>
      </c>
      <c r="AE144" s="201" t="str">
        <f aca="false">VLOOKUP(AD144,AA:AA,1,0)</f>
        <v>Sarthak Advocates &amp; Solicitors</v>
      </c>
    </row>
    <row r="145" customFormat="false" ht="13.5" hidden="false" customHeight="false" outlineLevel="0" collapsed="false">
      <c r="S145" s="201" t="s">
        <v>147</v>
      </c>
      <c r="T145" s="201" t="str">
        <f aca="false">VLOOKUP(S145,U:U,1,0)</f>
        <v>RAJANI ASSOCIATES</v>
      </c>
      <c r="U145" s="91" t="s">
        <v>587</v>
      </c>
      <c r="V145" s="201" t="e">
        <f aca="false">VLOOKUP(U145,X:X,1,0)</f>
        <v>#N/A</v>
      </c>
      <c r="X145" s="128" t="s">
        <v>540</v>
      </c>
      <c r="Y145" s="201" t="str">
        <f aca="false">VLOOKUP(X145,AA:AA,1,0)</f>
        <v>Rahul Saboo, Advocate</v>
      </c>
      <c r="AA145" s="128" t="s">
        <v>125</v>
      </c>
      <c r="AB145" s="201" t="str">
        <f aca="false">VLOOKUP(AA145,AD:AD,1,0)</f>
        <v>LEGALOGIC CONSULTING LLP</v>
      </c>
      <c r="AD145" s="201" t="s">
        <v>125</v>
      </c>
      <c r="AE145" s="201" t="str">
        <f aca="false">VLOOKUP(AD145,AA:AA,1,0)</f>
        <v>LEGALOGIC CONSULTING LLP</v>
      </c>
    </row>
    <row r="146" customFormat="false" ht="13.5" hidden="false" customHeight="false" outlineLevel="0" collapsed="false">
      <c r="S146" s="201" t="s">
        <v>546</v>
      </c>
      <c r="T146" s="201" t="str">
        <f aca="false">VLOOKUP(S146,U:U,1,0)</f>
        <v>Meghna Talwar</v>
      </c>
      <c r="U146" s="91" t="s">
        <v>412</v>
      </c>
      <c r="V146" s="201" t="str">
        <f aca="false">VLOOKUP(U146,X:X,1,0)</f>
        <v>Solaris Legal</v>
      </c>
      <c r="X146" s="128" t="s">
        <v>147</v>
      </c>
      <c r="Y146" s="201" t="str">
        <f aca="false">VLOOKUP(X146,AA:AA,1,0)</f>
        <v>RAJANI ASSOCIATES</v>
      </c>
      <c r="AA146" s="128" t="s">
        <v>679</v>
      </c>
      <c r="AB146" s="201" t="str">
        <f aca="false">VLOOKUP(AA146,AD:AD,1,0)</f>
        <v>ASV Legal LLP</v>
      </c>
      <c r="AD146" s="201" t="s">
        <v>679</v>
      </c>
      <c r="AE146" s="201" t="str">
        <f aca="false">VLOOKUP(AD146,AA:AA,1,0)</f>
        <v>ASV Legal LLP</v>
      </c>
    </row>
    <row r="147" customFormat="false" ht="13.5" hidden="false" customHeight="false" outlineLevel="0" collapsed="false">
      <c r="S147" s="201" t="s">
        <v>549</v>
      </c>
      <c r="T147" s="201" t="str">
        <f aca="false">VLOOKUP(S147,U:U,1,0)</f>
        <v>S Priya</v>
      </c>
      <c r="U147" s="91" t="s">
        <v>591</v>
      </c>
      <c r="V147" s="201" t="str">
        <f aca="false">VLOOKUP(U147,X:X,1,0)</f>
        <v>Surel Shah</v>
      </c>
      <c r="X147" s="128" t="s">
        <v>620</v>
      </c>
      <c r="Y147" s="201" t="e">
        <f aca="false">VLOOKUP(X147,AA:AA,1,0)</f>
        <v>#N/A</v>
      </c>
      <c r="AA147" s="128" t="s">
        <v>681</v>
      </c>
      <c r="AB147" s="201" t="str">
        <f aca="false">VLOOKUP(AA147,AD:AD,1,0)</f>
        <v>Tarun G Reddy</v>
      </c>
      <c r="AD147" s="201" t="s">
        <v>681</v>
      </c>
      <c r="AE147" s="201" t="str">
        <f aca="false">VLOOKUP(AD147,AA:AA,1,0)</f>
        <v>Tarun G Reddy</v>
      </c>
    </row>
    <row r="148" customFormat="false" ht="13.5" hidden="false" customHeight="false" outlineLevel="0" collapsed="false">
      <c r="S148" s="201" t="s">
        <v>551</v>
      </c>
      <c r="T148" s="201" t="str">
        <f aca="false">VLOOKUP(S148,U:U,1,0)</f>
        <v>Joy Baxi &amp; Associates</v>
      </c>
      <c r="U148" s="91" t="s">
        <v>593</v>
      </c>
      <c r="V148" s="201" t="str">
        <f aca="false">VLOOKUP(U148,X:X,1,0)</f>
        <v>MG Ramachandran</v>
      </c>
      <c r="X148" s="128" t="s">
        <v>174</v>
      </c>
      <c r="Y148" s="201" t="str">
        <f aca="false">VLOOKUP(X148,AA:AA,1,0)</f>
        <v>Rashmikant and Partners</v>
      </c>
      <c r="AA148" s="128" t="s">
        <v>683</v>
      </c>
      <c r="AB148" s="201" t="e">
        <f aca="false">VLOOKUP(AA148,AD:AD,1,0)</f>
        <v>#N/A</v>
      </c>
      <c r="AD148" s="201" t="s">
        <v>157</v>
      </c>
      <c r="AE148" s="201" t="str">
        <f aca="false">VLOOKUP(AD148,AA:AA,1,0)</f>
        <v>Swapna Sheshadri</v>
      </c>
    </row>
    <row r="149" customFormat="false" ht="13.5" hidden="false" customHeight="false" outlineLevel="0" collapsed="false">
      <c r="S149" s="201" t="s">
        <v>554</v>
      </c>
      <c r="T149" s="201" t="str">
        <f aca="false">VLOOKUP(S149,U:U,1,0)</f>
        <v>Ganesh &amp; Co.</v>
      </c>
      <c r="U149" s="91" t="s">
        <v>168</v>
      </c>
      <c r="V149" s="201" t="str">
        <f aca="false">VLOOKUP(U149,X:X,1,0)</f>
        <v>Jade Lex Partners</v>
      </c>
      <c r="X149" s="128" t="s">
        <v>416</v>
      </c>
      <c r="Y149" s="201" t="str">
        <f aca="false">VLOOKUP(X149,AA:AA,1,0)</f>
        <v>Ratan Kumar Singh</v>
      </c>
      <c r="AA149" s="128" t="s">
        <v>157</v>
      </c>
      <c r="AB149" s="201" t="str">
        <f aca="false">VLOOKUP(AA149,AD:AD,1,0)</f>
        <v>Swapna Sheshadri</v>
      </c>
      <c r="AD149" s="201" t="s">
        <v>689</v>
      </c>
      <c r="AE149" s="201" t="str">
        <f aca="false">VLOOKUP(AD149,AA:AA,1,0)</f>
        <v>Krishna Dev Jagarlamudi</v>
      </c>
    </row>
    <row r="150" customFormat="false" ht="13.5" hidden="false" customHeight="false" outlineLevel="0" collapsed="false">
      <c r="S150" s="201" t="s">
        <v>556</v>
      </c>
      <c r="T150" s="201" t="str">
        <f aca="false">VLOOKUP(S150,U:U,1,0)</f>
        <v>AMS Legal</v>
      </c>
      <c r="U150" s="91" t="s">
        <v>596</v>
      </c>
      <c r="V150" s="201" t="str">
        <f aca="false">VLOOKUP(U150,X:X,1,0)</f>
        <v>Aanchal Basur</v>
      </c>
      <c r="X150" s="210" t="s">
        <v>766</v>
      </c>
      <c r="Y150" s="201" t="str">
        <f aca="false">VLOOKUP(X150,AA:AA,1,0)</f>
        <v>Reliance Corporate Advisors (R)</v>
      </c>
      <c r="AA150" s="128" t="s">
        <v>689</v>
      </c>
      <c r="AB150" s="201" t="str">
        <f aca="false">VLOOKUP(AA150,AD:AD,1,0)</f>
        <v>Krishna Dev Jagarlamudi</v>
      </c>
      <c r="AD150" s="201" t="s">
        <v>691</v>
      </c>
      <c r="AE150" s="201" t="str">
        <f aca="false">VLOOKUP(AD150,AA:AA,1,0)</f>
        <v>Gaurav Ray, Advocate on Record</v>
      </c>
    </row>
    <row r="151" customFormat="false" ht="13.5" hidden="false" customHeight="false" outlineLevel="0" collapsed="false">
      <c r="S151" s="201" t="s">
        <v>563</v>
      </c>
      <c r="T151" s="201" t="str">
        <f aca="false">VLOOKUP(S151,U:U,1,0)</f>
        <v>Gauri Puri</v>
      </c>
      <c r="U151" s="91" t="s">
        <v>598</v>
      </c>
      <c r="V151" s="201" t="str">
        <f aca="false">VLOOKUP(U151,X:X,1,0)</f>
        <v>RUNWAL ENTERPRISES LIMITED</v>
      </c>
      <c r="X151" s="128" t="s">
        <v>671</v>
      </c>
      <c r="Y151" s="201" t="str">
        <f aca="false">VLOOKUP(X151,AA:AA,1,0)</f>
        <v>RHP Partners</v>
      </c>
      <c r="AA151" s="128" t="s">
        <v>691</v>
      </c>
      <c r="AB151" s="201" t="str">
        <f aca="false">VLOOKUP(AA151,AD:AD,1,0)</f>
        <v>Gaurav Ray, Advocate on Record</v>
      </c>
      <c r="AD151" s="201" t="s">
        <v>693</v>
      </c>
      <c r="AE151" s="201" t="str">
        <f aca="false">VLOOKUP(AD151,AA:AA,1,0)</f>
        <v>Dhruve Liladhar &amp; Co</v>
      </c>
    </row>
    <row r="152" customFormat="false" ht="13.5" hidden="false" customHeight="false" outlineLevel="0" collapsed="false">
      <c r="S152" s="201" t="s">
        <v>566</v>
      </c>
      <c r="T152" s="201" t="str">
        <f aca="false">VLOOKUP(S152,U:U,1,0)</f>
        <v>Amit Bhagat</v>
      </c>
      <c r="U152" s="91" t="s">
        <v>600</v>
      </c>
      <c r="V152" s="201" t="str">
        <f aca="false">VLOOKUP(U152,X:X,1,0)</f>
        <v>ANM Global Inc</v>
      </c>
      <c r="X152" s="128" t="s">
        <v>346</v>
      </c>
      <c r="Y152" s="201" t="e">
        <f aca="false">VLOOKUP(X152,AA:AA,1,0)</f>
        <v>#N/A</v>
      </c>
      <c r="AA152" s="128" t="s">
        <v>693</v>
      </c>
      <c r="AB152" s="201" t="str">
        <f aca="false">VLOOKUP(AA152,AD:AD,1,0)</f>
        <v>Dhruve Liladhar &amp; Co</v>
      </c>
      <c r="AD152" s="201" t="s">
        <v>695</v>
      </c>
      <c r="AE152" s="201" t="str">
        <f aca="false">VLOOKUP(AD152,AA:AA,1,0)</f>
        <v>R. Ginodia &amp; Co. LLP</v>
      </c>
    </row>
    <row r="153" customFormat="false" ht="13.5" hidden="false" customHeight="false" outlineLevel="0" collapsed="false">
      <c r="S153" s="201" t="s">
        <v>569</v>
      </c>
      <c r="T153" s="201" t="str">
        <f aca="false">VLOOKUP(S153,U:U,1,0)</f>
        <v>Sundeep Karnik</v>
      </c>
      <c r="U153" s="91" t="s">
        <v>381</v>
      </c>
      <c r="V153" s="201" t="str">
        <f aca="false">VLOOKUP(U153,X:X,1,0)</f>
        <v>NKR Law Offices</v>
      </c>
      <c r="X153" s="145" t="s">
        <v>616</v>
      </c>
      <c r="Y153" s="201" t="str">
        <f aca="false">VLOOKUP(X153,AA:AA,1,0)</f>
        <v>Rohan Shah</v>
      </c>
      <c r="AA153" s="128" t="s">
        <v>695</v>
      </c>
      <c r="AB153" s="201" t="str">
        <f aca="false">VLOOKUP(AA153,AD:AD,1,0)</f>
        <v>R. Ginodia &amp; Co. LLP</v>
      </c>
      <c r="AD153" s="201" t="s">
        <v>698</v>
      </c>
      <c r="AE153" s="201" t="str">
        <f aca="false">VLOOKUP(AD153,AA:AA,1,0)</f>
        <v>Saurabh Prakash</v>
      </c>
    </row>
    <row r="154" customFormat="false" ht="13.5" hidden="false" customHeight="false" outlineLevel="0" collapsed="false">
      <c r="S154" s="201" t="s">
        <v>571</v>
      </c>
      <c r="T154" s="201" t="str">
        <f aca="false">VLOOKUP(S154,U:U,1,0)</f>
        <v>Rohan Talwar</v>
      </c>
      <c r="U154" s="91" t="s">
        <v>316</v>
      </c>
      <c r="V154" s="201" t="e">
        <f aca="false">VLOOKUP(U154,X:X,1,0)</f>
        <v>#N/A</v>
      </c>
      <c r="X154" s="210" t="s">
        <v>571</v>
      </c>
      <c r="Y154" s="201" t="str">
        <f aca="false">VLOOKUP(X154,AA:AA,1,0)</f>
        <v>Rohan Talwar</v>
      </c>
      <c r="AA154" s="128" t="s">
        <v>698</v>
      </c>
      <c r="AB154" s="201" t="str">
        <f aca="false">VLOOKUP(AA154,AD:AD,1,0)</f>
        <v>Saurabh Prakash</v>
      </c>
      <c r="AD154" s="201" t="s">
        <v>700</v>
      </c>
      <c r="AE154" s="201" t="str">
        <f aca="false">VLOOKUP(AD154,AA:AA,1,0)</f>
        <v>Ecclesia Advocates and Solicitors</v>
      </c>
    </row>
    <row r="155" customFormat="false" ht="13.5" hidden="false" customHeight="false" outlineLevel="0" collapsed="false">
      <c r="S155" s="201" t="s">
        <v>575</v>
      </c>
      <c r="T155" s="201" t="str">
        <f aca="false">VLOOKUP(S155,U:U,1,0)</f>
        <v>Aurtus Consulting LLP</v>
      </c>
      <c r="U155" s="91" t="s">
        <v>605</v>
      </c>
      <c r="V155" s="201" t="str">
        <f aca="false">VLOOKUP(U155,X:X,1,0)</f>
        <v>Vikas Mehta</v>
      </c>
      <c r="X155" s="128" t="s">
        <v>669</v>
      </c>
      <c r="Y155" s="201" t="str">
        <f aca="false">VLOOKUP(X155,AA:AA,1,0)</f>
        <v>Roshan Santhalia</v>
      </c>
      <c r="AA155" s="128" t="s">
        <v>700</v>
      </c>
      <c r="AB155" s="201" t="str">
        <f aca="false">VLOOKUP(AA155,AD:AD,1,0)</f>
        <v>Ecclesia Advocates and Solicitors</v>
      </c>
      <c r="AD155" s="201" t="s">
        <v>116</v>
      </c>
      <c r="AE155" s="201" t="str">
        <f aca="false">VLOOKUP(AD155,AA:AA,1,0)</f>
        <v>Touchstone Partners</v>
      </c>
    </row>
    <row r="156" customFormat="false" ht="13.5" hidden="false" customHeight="false" outlineLevel="0" collapsed="false">
      <c r="S156" s="201" t="s">
        <v>579</v>
      </c>
      <c r="T156" s="201" t="str">
        <f aca="false">VLOOKUP(S156,U:U,1,0)</f>
        <v>Tejeshwar Singh</v>
      </c>
      <c r="U156" s="91" t="s">
        <v>608</v>
      </c>
      <c r="V156" s="201" t="str">
        <f aca="false">VLOOKUP(U156,X:X,1,0)</f>
        <v>Swapnil Wagh</v>
      </c>
      <c r="X156" s="128" t="s">
        <v>197</v>
      </c>
      <c r="Y156" s="201" t="str">
        <f aca="false">VLOOKUP(X156,AA:AA,1,0)</f>
        <v>RPV LEGAL</v>
      </c>
      <c r="AA156" s="128" t="s">
        <v>116</v>
      </c>
      <c r="AB156" s="201" t="str">
        <f aca="false">VLOOKUP(AA156,AD:AD,1,0)</f>
        <v>Touchstone Partners</v>
      </c>
      <c r="AD156" s="201" t="s">
        <v>703</v>
      </c>
      <c r="AE156" s="201" t="str">
        <f aca="false">VLOOKUP(AD156,AA:AA,1,0)</f>
        <v>Jaiveer Shergil</v>
      </c>
    </row>
    <row r="157" customFormat="false" ht="13.5" hidden="false" customHeight="false" outlineLevel="0" collapsed="false">
      <c r="S157" s="201" t="s">
        <v>583</v>
      </c>
      <c r="T157" s="201" t="str">
        <f aca="false">VLOOKUP(S157,U:U,1,0)</f>
        <v>Elixir Legal Services</v>
      </c>
      <c r="U157" s="91" t="s">
        <v>610</v>
      </c>
      <c r="V157" s="201" t="str">
        <f aca="false">VLOOKUP(U157,X:X,1,0)</f>
        <v>Arpit Gupta</v>
      </c>
      <c r="X157" s="128" t="s">
        <v>598</v>
      </c>
      <c r="Y157" s="201" t="str">
        <f aca="false">VLOOKUP(X157,AA:AA,1,0)</f>
        <v>RUNWAL ENTERPRISES LIMITED</v>
      </c>
      <c r="AA157" s="128" t="s">
        <v>703</v>
      </c>
      <c r="AB157" s="201" t="str">
        <f aca="false">VLOOKUP(AA157,AD:AD,1,0)</f>
        <v>Jaiveer Shergil</v>
      </c>
      <c r="AD157" s="201" t="s">
        <v>710</v>
      </c>
      <c r="AE157" s="201" t="str">
        <f aca="false">VLOOKUP(AD157,AA:AA,1,0)</f>
        <v>Mukul Sharma and Company</v>
      </c>
    </row>
    <row r="158" customFormat="false" ht="13.5" hidden="false" customHeight="false" outlineLevel="0" collapsed="false">
      <c r="S158" s="201" t="s">
        <v>152</v>
      </c>
      <c r="T158" s="201" t="str">
        <f aca="false">VLOOKUP(S158,U:U,1,0)</f>
        <v>Harshit Malik</v>
      </c>
      <c r="U158" s="201" t="s">
        <v>612</v>
      </c>
      <c r="V158" s="201" t="str">
        <f aca="false">VLOOKUP(U158,X:X,1,0)</f>
        <v>Jayakar and Partners</v>
      </c>
      <c r="X158" s="128" t="s">
        <v>640</v>
      </c>
      <c r="Y158" s="201" t="str">
        <f aca="false">VLOOKUP(X158,AA:AA,1,0)</f>
        <v>S C Sharada &amp; Associates| Company Secretaries</v>
      </c>
      <c r="AA158" s="128" t="s">
        <v>708</v>
      </c>
      <c r="AB158" s="201" t="str">
        <f aca="false">VLOOKUP(AA158,AD:AD,1,0)</f>
        <v>TREELIFE VENTURES SERVICES PRIVATE LIMITED</v>
      </c>
      <c r="AD158" s="201" t="s">
        <v>232</v>
      </c>
      <c r="AE158" s="201" t="str">
        <f aca="false">VLOOKUP(AD158,AA:AA,1,0)</f>
        <v>AHUJA VALECHA &amp; ASSOCIATES LLP</v>
      </c>
    </row>
    <row r="159" customFormat="false" ht="16.4" hidden="false" customHeight="false" outlineLevel="0" collapsed="false">
      <c r="S159" s="201" t="s">
        <v>587</v>
      </c>
      <c r="T159" s="201" t="str">
        <f aca="false">VLOOKUP(S159,U:U,1,0)</f>
        <v>Shrey Lodha</v>
      </c>
      <c r="U159" s="201" t="s">
        <v>328</v>
      </c>
      <c r="V159" s="201" t="str">
        <f aca="false">VLOOKUP(U159,X:X,1,0)</f>
        <v>J INFRATECH LIMITED</v>
      </c>
      <c r="X159" s="128" t="s">
        <v>549</v>
      </c>
      <c r="Y159" s="201" t="str">
        <f aca="false">VLOOKUP(X159,AA:AA,1,0)</f>
        <v>S Priya</v>
      </c>
      <c r="AA159" s="128" t="s">
        <v>710</v>
      </c>
      <c r="AB159" s="201" t="str">
        <f aca="false">VLOOKUP(AA159,AD:AD,1,0)</f>
        <v>Mukul Sharma and Company</v>
      </c>
      <c r="AD159" s="201" t="s">
        <v>713</v>
      </c>
      <c r="AE159" s="201" t="str">
        <f aca="false">VLOOKUP(AD159,AA:AA,1,0)</f>
        <v>Brijesh Oberoi</v>
      </c>
    </row>
    <row r="160" customFormat="false" ht="16.4" hidden="false" customHeight="false" outlineLevel="0" collapsed="false">
      <c r="U160" s="201" t="s">
        <v>616</v>
      </c>
      <c r="V160" s="201" t="str">
        <f aca="false">VLOOKUP(U160,X:X,1,0)</f>
        <v>Rohan Shah</v>
      </c>
      <c r="X160" s="128" t="s">
        <v>749</v>
      </c>
      <c r="Y160" s="201" t="str">
        <f aca="false">VLOOKUP(X160,AA:AA,1,0)</f>
        <v>SAGA LEGAL</v>
      </c>
      <c r="AA160" s="128" t="s">
        <v>232</v>
      </c>
      <c r="AB160" s="201" t="str">
        <f aca="false">VLOOKUP(AA160,AD:AD,1,0)</f>
        <v>AHUJA VALECHA &amp; ASSOCIATES LLP</v>
      </c>
      <c r="AD160" s="201" t="s">
        <v>524</v>
      </c>
      <c r="AE160" s="201" t="str">
        <f aca="false">VLOOKUP(AD160,AA:AA,1,0)</f>
        <v>Tipping Mr Pink Private Limited</v>
      </c>
    </row>
    <row r="161" customFormat="false" ht="16.4" hidden="false" customHeight="false" outlineLevel="0" collapsed="false">
      <c r="U161" s="201" t="s">
        <v>468</v>
      </c>
      <c r="V161" s="201" t="str">
        <f aca="false">VLOOKUP(U161,X:X,1,0)</f>
        <v>GM Legal</v>
      </c>
      <c r="X161" s="128" t="s">
        <v>213</v>
      </c>
      <c r="Y161" s="201" t="str">
        <f aca="false">VLOOKUP(X161,AA:AA,1,0)</f>
        <v>Sagar Ghogre</v>
      </c>
      <c r="AA161" s="128" t="s">
        <v>713</v>
      </c>
      <c r="AB161" s="201" t="str">
        <f aca="false">VLOOKUP(AA161,AD:AD,1,0)</f>
        <v>Brijesh Oberoi</v>
      </c>
      <c r="AD161" s="201" t="s">
        <v>716</v>
      </c>
      <c r="AE161" s="201" t="str">
        <f aca="false">VLOOKUP(AD161,AA:AA,1,0)</f>
        <v>Pranav Badheka</v>
      </c>
    </row>
    <row r="162" customFormat="false" ht="16.4" hidden="false" customHeight="false" outlineLevel="0" collapsed="false">
      <c r="U162" s="201" t="s">
        <v>620</v>
      </c>
      <c r="V162" s="201" t="str">
        <f aca="false">VLOOKUP(U162,X:X,1,0)</f>
        <v>Rajeev K. Virmani</v>
      </c>
      <c r="X162" s="210" t="s">
        <v>225</v>
      </c>
      <c r="Y162" s="201" t="str">
        <f aca="false">VLOOKUP(X162,AA:AA,1,0)</f>
        <v>Sagar Sheth</v>
      </c>
      <c r="AA162" s="128" t="s">
        <v>524</v>
      </c>
      <c r="AB162" s="201" t="str">
        <f aca="false">VLOOKUP(AA162,AD:AD,1,0)</f>
        <v>Tipping Mr Pink Private Limited</v>
      </c>
      <c r="AD162" s="201" t="s">
        <v>718</v>
      </c>
      <c r="AE162" s="201" t="str">
        <f aca="false">VLOOKUP(AD162,AA:AA,1,0)</f>
        <v>TRILOK POWER AND CABLES PRIVATE LIMITED</v>
      </c>
    </row>
    <row r="163" customFormat="false" ht="16.4" hidden="false" customHeight="false" outlineLevel="0" collapsed="false">
      <c r="U163" s="201" t="s">
        <v>622</v>
      </c>
      <c r="V163" s="201" t="str">
        <f aca="false">VLOOKUP(U163,X:X,1,0)</f>
        <v>Vaish Associates</v>
      </c>
      <c r="X163" s="128" t="s">
        <v>366</v>
      </c>
      <c r="Y163" s="201" t="str">
        <f aca="false">VLOOKUP(X163,AA:AA,1,0)</f>
        <v>Samya Law Chambers</v>
      </c>
      <c r="AA163" s="128" t="s">
        <v>716</v>
      </c>
      <c r="AB163" s="201" t="str">
        <f aca="false">VLOOKUP(AA163,AD:AD,1,0)</f>
        <v>Pranav Badheka</v>
      </c>
      <c r="AD163" s="201" t="s">
        <v>271</v>
      </c>
      <c r="AE163" s="201" t="str">
        <f aca="false">VLOOKUP(AD163,AA:AA,1,0)</f>
        <v>Saraf and Partners</v>
      </c>
    </row>
    <row r="164" customFormat="false" ht="16.4" hidden="false" customHeight="false" outlineLevel="0" collapsed="false">
      <c r="U164" s="201" t="s">
        <v>624</v>
      </c>
      <c r="V164" s="201" t="str">
        <f aca="false">VLOOKUP(U164,X:X,1,0)</f>
        <v>Acuity Law LLP</v>
      </c>
      <c r="X164" s="210" t="s">
        <v>425</v>
      </c>
      <c r="Y164" s="201" t="str">
        <f aca="false">VLOOKUP(X164,AA:AA,1,0)</f>
        <v>Sanjay Udeshi &amp; Co.</v>
      </c>
      <c r="AA164" s="128" t="s">
        <v>718</v>
      </c>
      <c r="AB164" s="201" t="str">
        <f aca="false">VLOOKUP(AA164,AD:AD,1,0)</f>
        <v>TRILOK POWER AND CABLES PRIVATE LIMITED</v>
      </c>
      <c r="AD164" s="201" t="s">
        <v>721</v>
      </c>
      <c r="AE164" s="201" t="str">
        <f aca="false">VLOOKUP(AD164,AA:AA,1,0)</f>
        <v>Chirag shah, Advocate</v>
      </c>
    </row>
    <row r="165" customFormat="false" ht="16.4" hidden="false" customHeight="false" outlineLevel="0" collapsed="false">
      <c r="U165" s="201" t="s">
        <v>628</v>
      </c>
      <c r="V165" s="201" t="str">
        <f aca="false">VLOOKUP(U165,X:X,1,0)</f>
        <v>Trust Law</v>
      </c>
      <c r="X165" s="128" t="s">
        <v>271</v>
      </c>
      <c r="Y165" s="201" t="str">
        <f aca="false">VLOOKUP(X165,AA:AA,1,0)</f>
        <v>Saraf and Partners</v>
      </c>
      <c r="AA165" s="128" t="s">
        <v>271</v>
      </c>
      <c r="AB165" s="201" t="str">
        <f aca="false">VLOOKUP(AA165,AD:AD,1,0)</f>
        <v>Saraf and Partners</v>
      </c>
      <c r="AD165" s="201" t="s">
        <v>725</v>
      </c>
      <c r="AE165" s="201" t="str">
        <f aca="false">VLOOKUP(AD165,AA:AA,1,0)</f>
        <v>Dharma Law Partners</v>
      </c>
    </row>
    <row r="166" customFormat="false" ht="16.4" hidden="false" customHeight="false" outlineLevel="0" collapsed="false">
      <c r="U166" s="201" t="s">
        <v>630</v>
      </c>
      <c r="V166" s="201" t="str">
        <f aca="false">VLOOKUP(U166,X:X,1,0)</f>
        <v>Priyanshi Kholia</v>
      </c>
      <c r="X166" s="128" t="s">
        <v>286</v>
      </c>
      <c r="Y166" s="201" t="str">
        <f aca="false">VLOOKUP(X166,AA:AA,1,0)</f>
        <v>Sarthak Advocates &amp; Solicitors</v>
      </c>
      <c r="AA166" s="128" t="s">
        <v>721</v>
      </c>
      <c r="AB166" s="201" t="str">
        <f aca="false">VLOOKUP(AA166,AD:AD,1,0)</f>
        <v>Chirag shah, Advocate</v>
      </c>
      <c r="AD166" s="201" t="s">
        <v>727</v>
      </c>
      <c r="AE166" s="201" t="str">
        <f aca="false">VLOOKUP(AD166,AA:AA,1,0)</f>
        <v>Kevic Setalvad</v>
      </c>
    </row>
    <row r="167" customFormat="false" ht="16.4" hidden="false" customHeight="false" outlineLevel="0" collapsed="false">
      <c r="U167" s="201" t="s">
        <v>632</v>
      </c>
      <c r="V167" s="201" t="str">
        <f aca="false">VLOOKUP(U167,X:X,1,0)</f>
        <v>Khaitan Legal Associates</v>
      </c>
      <c r="X167" s="128" t="s">
        <v>241</v>
      </c>
      <c r="Y167" s="201" t="str">
        <f aca="false">VLOOKUP(X167,AA:AA,1,0)</f>
        <v>Saswat Mohanty</v>
      </c>
      <c r="AA167" s="128" t="s">
        <v>723</v>
      </c>
      <c r="AB167" s="201" t="str">
        <f aca="false">VLOOKUP(AA167,AD:AD,1,0)</f>
        <v>Vidhii Partners</v>
      </c>
      <c r="AD167" s="201" t="s">
        <v>729</v>
      </c>
      <c r="AE167" s="201" t="str">
        <f aca="false">VLOOKUP(AD167,AA:AA,1,0)</f>
        <v>Giriraj Subramanium</v>
      </c>
    </row>
    <row r="168" customFormat="false" ht="16.4" hidden="false" customHeight="false" outlineLevel="0" collapsed="false">
      <c r="U168" s="201" t="s">
        <v>346</v>
      </c>
      <c r="V168" s="201" t="str">
        <f aca="false">VLOOKUP(U168,X:X,1,0)</f>
        <v>Rithin Rai</v>
      </c>
      <c r="X168" s="145" t="s">
        <v>698</v>
      </c>
      <c r="Y168" s="201" t="str">
        <f aca="false">VLOOKUP(X168,AA:AA,1,0)</f>
        <v>Saurabh Prakash</v>
      </c>
      <c r="AA168" s="128" t="s">
        <v>725</v>
      </c>
      <c r="AB168" s="201" t="str">
        <f aca="false">VLOOKUP(AA168,AD:AD,1,0)</f>
        <v>Dharma Law Partners</v>
      </c>
      <c r="AD168" s="201" t="s">
        <v>324</v>
      </c>
      <c r="AE168" s="201" t="str">
        <f aca="false">VLOOKUP(AD168,AA:AA,1,0)</f>
        <v>Phoenix Legal</v>
      </c>
    </row>
    <row r="169" customFormat="false" ht="16.4" hidden="false" customHeight="false" outlineLevel="0" collapsed="false">
      <c r="U169" s="201" t="s">
        <v>636</v>
      </c>
      <c r="V169" s="201" t="str">
        <f aca="false">VLOOKUP(U169,X:X,1,0)</f>
        <v>Bishwajit Dubey</v>
      </c>
      <c r="X169" s="210" t="s">
        <v>352</v>
      </c>
      <c r="Y169" s="201" t="str">
        <f aca="false">VLOOKUP(X169,AA:AA,1,0)</f>
        <v>Shashwat Bajpai</v>
      </c>
      <c r="AA169" s="128" t="s">
        <v>727</v>
      </c>
      <c r="AB169" s="201" t="str">
        <f aca="false">VLOOKUP(AA169,AD:AD,1,0)</f>
        <v>Kevic Setalvad</v>
      </c>
      <c r="AD169" s="201" t="s">
        <v>732</v>
      </c>
      <c r="AE169" s="201" t="str">
        <f aca="false">VLOOKUP(AD169,AA:AA,1,0)</f>
        <v>Malak Bhatt</v>
      </c>
    </row>
    <row r="170" customFormat="false" ht="16.4" hidden="false" customHeight="false" outlineLevel="0" collapsed="false">
      <c r="U170" s="201" t="s">
        <v>638</v>
      </c>
      <c r="V170" s="201" t="str">
        <f aca="false">VLOOKUP(U170,X:X,1,0)</f>
        <v>Krati Gupta</v>
      </c>
      <c r="X170" s="210" t="s">
        <v>458</v>
      </c>
      <c r="Y170" s="201" t="str">
        <f aca="false">VLOOKUP(X170,AA:AA,1,0)</f>
        <v>Shiraz Rustomjee</v>
      </c>
      <c r="AA170" s="128" t="s">
        <v>729</v>
      </c>
      <c r="AB170" s="201" t="str">
        <f aca="false">VLOOKUP(AA170,AD:AD,1,0)</f>
        <v>Giriraj Subramanium</v>
      </c>
      <c r="AD170" s="201" t="s">
        <v>605</v>
      </c>
      <c r="AE170" s="201" t="str">
        <f aca="false">VLOOKUP(AD170,AA:AA,1,0)</f>
        <v>Vikas Mehta</v>
      </c>
    </row>
    <row r="171" customFormat="false" ht="16.4" hidden="false" customHeight="false" outlineLevel="0" collapsed="false">
      <c r="U171" s="201" t="s">
        <v>640</v>
      </c>
      <c r="V171" s="201" t="str">
        <f aca="false">VLOOKUP(U171,X:X,1,0)</f>
        <v>S C Sharada &amp; Associates| Company Secretaries</v>
      </c>
      <c r="X171" s="128" t="s">
        <v>534</v>
      </c>
      <c r="Y171" s="201" t="str">
        <f aca="false">VLOOKUP(X171,AA:AA,1,0)</f>
        <v>Shobit Phutela</v>
      </c>
      <c r="AA171" s="128" t="s">
        <v>324</v>
      </c>
      <c r="AB171" s="201" t="str">
        <f aca="false">VLOOKUP(AA171,AD:AD,1,0)</f>
        <v>Phoenix Legal</v>
      </c>
      <c r="AD171" s="201" t="s">
        <v>518</v>
      </c>
      <c r="AE171" s="201" t="str">
        <f aca="false">VLOOKUP(AD171,AA:AA,1,0)</f>
        <v>IRIS LEGAL</v>
      </c>
    </row>
    <row r="172" customFormat="false" ht="16.4" hidden="false" customHeight="false" outlineLevel="0" collapsed="false">
      <c r="U172" s="201" t="s">
        <v>643</v>
      </c>
      <c r="V172" s="201" t="str">
        <f aca="false">VLOOKUP(U172,X:X,1,0)</f>
        <v>Hamsaanandini Nanduri</v>
      </c>
      <c r="X172" s="128" t="s">
        <v>179</v>
      </c>
      <c r="Y172" s="201" t="str">
        <f aca="false">VLOOKUP(X172,AA:AA,1,0)</f>
        <v>Shreeyash Lalit</v>
      </c>
      <c r="AA172" s="128" t="s">
        <v>732</v>
      </c>
      <c r="AB172" s="201" t="str">
        <f aca="false">VLOOKUP(AA172,AD:AD,1,0)</f>
        <v>Malak Bhatt</v>
      </c>
      <c r="AD172" s="201" t="s">
        <v>736</v>
      </c>
      <c r="AE172" s="201" t="str">
        <f aca="false">VLOOKUP(AD172,AA:AA,1,0)</f>
        <v>Parul Sharma</v>
      </c>
    </row>
    <row r="173" customFormat="false" ht="16.4" hidden="false" customHeight="false" outlineLevel="0" collapsed="false">
      <c r="U173" s="201" t="s">
        <v>483</v>
      </c>
      <c r="V173" s="201" t="str">
        <f aca="false">VLOOKUP(U173,X:X,1,0)</f>
        <v>Monalisa Kosaria</v>
      </c>
      <c r="X173" s="128" t="s">
        <v>775</v>
      </c>
      <c r="Y173" s="201" t="str">
        <f aca="false">VLOOKUP(X173,AA:AA,1,0)</f>
        <v>Shreya Desai</v>
      </c>
      <c r="AA173" s="128" t="s">
        <v>605</v>
      </c>
      <c r="AB173" s="201" t="str">
        <f aca="false">VLOOKUP(AA173,AD:AD,1,0)</f>
        <v>Vikas Mehta</v>
      </c>
      <c r="AD173" s="201" t="s">
        <v>738</v>
      </c>
      <c r="AE173" s="201" t="str">
        <f aca="false">VLOOKUP(AD173,AA:AA,1,0)</f>
        <v>Tushar Jarwal</v>
      </c>
    </row>
    <row r="174" customFormat="false" ht="16.4" hidden="false" customHeight="false" outlineLevel="0" collapsed="false">
      <c r="U174" s="201" t="s">
        <v>648</v>
      </c>
      <c r="V174" s="201" t="str">
        <f aca="false">VLOOKUP(U174,X:X,1,0)</f>
        <v>Krishnan Venugopal</v>
      </c>
      <c r="X174" s="128" t="s">
        <v>368</v>
      </c>
      <c r="Y174" s="201" t="str">
        <f aca="false">VLOOKUP(X174,AA:AA,1,0)</f>
        <v>Shri Venkatesh , SKV law offices</v>
      </c>
      <c r="AA174" s="128" t="s">
        <v>518</v>
      </c>
      <c r="AB174" s="201" t="str">
        <f aca="false">VLOOKUP(AA174,AD:AD,1,0)</f>
        <v>IRIS LEGAL</v>
      </c>
      <c r="AD174" s="201" t="s">
        <v>740</v>
      </c>
      <c r="AE174" s="201" t="str">
        <f aca="false">VLOOKUP(AD174,AA:AA,1,0)</f>
        <v>Virmani &amp; Virmani</v>
      </c>
    </row>
    <row r="175" customFormat="false" ht="16.4" hidden="false" customHeight="false" outlineLevel="0" collapsed="false">
      <c r="U175" s="201" t="s">
        <v>652</v>
      </c>
      <c r="V175" s="201" t="str">
        <f aca="false">VLOOKUP(U175,X:X,1,0)</f>
        <v>GC Legal</v>
      </c>
      <c r="X175" s="145" t="s">
        <v>436</v>
      </c>
      <c r="Y175" s="201" t="str">
        <f aca="false">VLOOKUP(X175,AA:AA,1,0)</f>
        <v>Shyam Kapadia</v>
      </c>
      <c r="AA175" s="128" t="s">
        <v>736</v>
      </c>
      <c r="AB175" s="201" t="str">
        <f aca="false">VLOOKUP(AA175,AD:AD,1,0)</f>
        <v>Parul Sharma</v>
      </c>
      <c r="AD175" s="201" t="s">
        <v>742</v>
      </c>
      <c r="AE175" s="201" t="str">
        <f aca="false">VLOOKUP(AD175,AA:AA,1,0)</f>
        <v>KATARIYA CONSULTANCY INDIA LLP</v>
      </c>
    </row>
    <row r="176" customFormat="false" ht="31.3" hidden="false" customHeight="false" outlineLevel="0" collapsed="false">
      <c r="U176" s="201" t="s">
        <v>654</v>
      </c>
      <c r="V176" s="201" t="str">
        <f aca="false">VLOOKUP(U176,X:X,1,0)</f>
        <v>Anush Raajan</v>
      </c>
      <c r="X176" s="159" t="s">
        <v>209</v>
      </c>
      <c r="Y176" s="204" t="str">
        <f aca="false">VLOOKUP(X176,AA:AA,1,0)</f>
        <v>SINHA &amp; COMPANY
</v>
      </c>
      <c r="AA176" s="128" t="s">
        <v>738</v>
      </c>
      <c r="AB176" s="201" t="str">
        <f aca="false">VLOOKUP(AA176,AD:AD,1,0)</f>
        <v>Tushar Jarwal</v>
      </c>
      <c r="AD176" s="201" t="s">
        <v>746</v>
      </c>
      <c r="AE176" s="201" t="str">
        <f aca="false">VLOOKUP(AD176,AA:AA,1,0)</f>
        <v>Kushagra Shah</v>
      </c>
    </row>
    <row r="177" customFormat="false" ht="16.4" hidden="false" customHeight="false" outlineLevel="0" collapsed="false">
      <c r="U177" s="201" t="s">
        <v>656</v>
      </c>
      <c r="V177" s="201" t="str">
        <f aca="false">VLOOKUP(U177,X:X,1,0)</f>
        <v>Philips India Limited</v>
      </c>
      <c r="X177" s="128" t="s">
        <v>245</v>
      </c>
      <c r="Y177" s="201" t="str">
        <f aca="false">VLOOKUP(X177,AA:AA,1,0)</f>
        <v>SK Singhi and Partners</v>
      </c>
      <c r="AA177" s="128" t="s">
        <v>740</v>
      </c>
      <c r="AB177" s="201" t="str">
        <f aca="false">VLOOKUP(AA177,AD:AD,1,0)</f>
        <v>Virmani &amp; Virmani</v>
      </c>
      <c r="AD177" s="201" t="s">
        <v>236</v>
      </c>
      <c r="AE177" s="201" t="str">
        <f aca="false">VLOOKUP(AD177,AA:AA,1,0)</f>
        <v>Argus Partners</v>
      </c>
    </row>
    <row r="178" customFormat="false" ht="16.4" hidden="false" customHeight="false" outlineLevel="0" collapsed="false">
      <c r="U178" s="201" t="s">
        <v>659</v>
      </c>
      <c r="V178" s="201" t="str">
        <f aca="false">VLOOKUP(U178,X:X,1,0)</f>
        <v>Nayana Tara BG</v>
      </c>
      <c r="X178" s="210" t="s">
        <v>249</v>
      </c>
      <c r="Y178" s="201" t="str">
        <f aca="false">VLOOKUP(X178,AA:AA,1,0)</f>
        <v>SKR &amp; associates</v>
      </c>
      <c r="AA178" s="128" t="s">
        <v>742</v>
      </c>
      <c r="AB178" s="201" t="str">
        <f aca="false">VLOOKUP(AA178,AD:AD,1,0)</f>
        <v>KATARIYA CONSULTANCY INDIA LLP</v>
      </c>
      <c r="AD178" s="201" t="s">
        <v>749</v>
      </c>
      <c r="AE178" s="201" t="str">
        <f aca="false">VLOOKUP(AD178,AA:AA,1,0)</f>
        <v>SAGA LEGAL</v>
      </c>
    </row>
    <row r="179" customFormat="false" ht="16.4" hidden="false" customHeight="false" outlineLevel="0" collapsed="false">
      <c r="U179" s="201" t="s">
        <v>661</v>
      </c>
      <c r="V179" s="201" t="str">
        <f aca="false">VLOOKUP(U179,X:X,1,0)</f>
        <v>PSP Legal</v>
      </c>
      <c r="X179" s="128" t="s">
        <v>217</v>
      </c>
      <c r="Y179" s="201" t="str">
        <f aca="false">VLOOKUP(X179,AA:AA,1,0)</f>
        <v>Sneha Phene</v>
      </c>
      <c r="AA179" s="128" t="s">
        <v>744</v>
      </c>
      <c r="AB179" s="201" t="str">
        <f aca="false">VLOOKUP(AA179,AD:AD,1,0)</f>
        <v>Foresight Law Offices</v>
      </c>
      <c r="AD179" s="201" t="s">
        <v>751</v>
      </c>
      <c r="AE179" s="201" t="str">
        <f aca="false">VLOOKUP(AD179,AA:AA,1,0)</f>
        <v>Jain and Talukdar</v>
      </c>
    </row>
    <row r="180" customFormat="false" ht="16.4" hidden="false" customHeight="false" outlineLevel="0" collapsed="false">
      <c r="U180" s="201" t="s">
        <v>664</v>
      </c>
      <c r="V180" s="201" t="str">
        <f aca="false">VLOOKUP(U180,X:X,1,0)</f>
        <v>Vivek Anand Anthony Britto</v>
      </c>
      <c r="X180" s="145" t="s">
        <v>412</v>
      </c>
      <c r="Y180" s="201" t="str">
        <f aca="false">VLOOKUP(X180,AA:AA,1,0)</f>
        <v>Solaris Legal</v>
      </c>
      <c r="AA180" s="128" t="s">
        <v>746</v>
      </c>
      <c r="AB180" s="201" t="str">
        <f aca="false">VLOOKUP(AA180,AD:AD,1,0)</f>
        <v>Kushagra Shah</v>
      </c>
      <c r="AD180" s="201" t="s">
        <v>177</v>
      </c>
      <c r="AE180" s="201" t="str">
        <f aca="false">VLOOKUP(AD180,AA:AA,1,0)</f>
        <v>TLH, Advocates &amp; Solicitors</v>
      </c>
    </row>
    <row r="181" customFormat="false" ht="16.4" hidden="false" customHeight="false" outlineLevel="0" collapsed="false">
      <c r="U181" s="201" t="s">
        <v>666</v>
      </c>
      <c r="V181" s="201" t="str">
        <f aca="false">VLOOKUP(U181,X:X,1,0)</f>
        <v>Parinam Law Associates</v>
      </c>
      <c r="X181" s="128" t="s">
        <v>339</v>
      </c>
      <c r="Y181" s="201" t="str">
        <f aca="false">VLOOKUP(X181,AA:AA,1,0)</f>
        <v>SomÂ Sinha &amp; Associates</v>
      </c>
      <c r="AA181" s="128" t="s">
        <v>236</v>
      </c>
      <c r="AB181" s="201" t="str">
        <f aca="false">VLOOKUP(AA181,AD:AD,1,0)</f>
        <v>Argus Partners</v>
      </c>
      <c r="AD181" s="201" t="s">
        <v>755</v>
      </c>
      <c r="AE181" s="201" t="str">
        <f aca="false">VLOOKUP(AD181,AA:AA,1,0)</f>
        <v>Bharat Chugh</v>
      </c>
    </row>
    <row r="182" customFormat="false" ht="16.4" hidden="false" customHeight="false" outlineLevel="0" collapsed="false">
      <c r="U182" s="201" t="s">
        <v>669</v>
      </c>
      <c r="V182" s="201" t="str">
        <f aca="false">VLOOKUP(U182,X:X,1,0)</f>
        <v>Roshan Santhalia</v>
      </c>
      <c r="X182" s="128" t="s">
        <v>284</v>
      </c>
      <c r="Y182" s="201" t="str">
        <f aca="false">VLOOKUP(X182,AA:AA,1,0)</f>
        <v>SRCO Legal / Salvador Raghav &amp; Co.</v>
      </c>
      <c r="AA182" s="128" t="s">
        <v>749</v>
      </c>
      <c r="AB182" s="201" t="str">
        <f aca="false">VLOOKUP(AA182,AD:AD,1,0)</f>
        <v>SAGA LEGAL</v>
      </c>
      <c r="AD182" s="201" t="s">
        <v>757</v>
      </c>
      <c r="AE182" s="201" t="str">
        <f aca="false">VLOOKUP(AD182,AA:AA,1,0)</f>
        <v>Tuli &amp; Co.</v>
      </c>
    </row>
    <row r="183" customFormat="false" ht="16.4" hidden="false" customHeight="false" outlineLevel="0" collapsed="false">
      <c r="U183" s="201" t="s">
        <v>671</v>
      </c>
      <c r="V183" s="201" t="str">
        <f aca="false">VLOOKUP(U183,X:X,1,0)</f>
        <v>RHP Partners</v>
      </c>
      <c r="X183" s="128" t="s">
        <v>252</v>
      </c>
      <c r="Y183" s="201" t="str">
        <f aca="false">VLOOKUP(X183,AA:AA,1,0)</f>
        <v>Srivastava &amp; Company</v>
      </c>
      <c r="AA183" s="128" t="s">
        <v>751</v>
      </c>
      <c r="AB183" s="201" t="str">
        <f aca="false">VLOOKUP(AA183,AD:AD,1,0)</f>
        <v>Jain and Talukdar</v>
      </c>
      <c r="AD183" s="201" t="s">
        <v>759</v>
      </c>
      <c r="AE183" s="201" t="str">
        <f aca="false">VLOOKUP(AD183,AA:AA,1,0)</f>
        <v>Karthik Sundar</v>
      </c>
    </row>
    <row r="184" customFormat="false" ht="16.4" hidden="false" customHeight="false" outlineLevel="0" collapsed="false">
      <c r="U184" s="201" t="s">
        <v>286</v>
      </c>
      <c r="V184" s="201" t="str">
        <f aca="false">VLOOKUP(U184,X:X,1,0)</f>
        <v>Sarthak Advocates &amp; Solicitors</v>
      </c>
      <c r="X184" s="128" t="s">
        <v>344</v>
      </c>
      <c r="Y184" s="201" t="e">
        <f aca="false">VLOOKUP(X184,AA:AA,1,0)</f>
        <v>#N/A</v>
      </c>
      <c r="AA184" s="128" t="s">
        <v>177</v>
      </c>
      <c r="AB184" s="201" t="str">
        <f aca="false">VLOOKUP(AA184,AD:AD,1,0)</f>
        <v>TLH, Advocates &amp; Solicitors</v>
      </c>
      <c r="AD184" s="201" t="s">
        <v>761</v>
      </c>
      <c r="AE184" s="201" t="str">
        <f aca="false">VLOOKUP(AD184,AA:AA,1,0)</f>
        <v>Akkash Bhadana</v>
      </c>
    </row>
    <row r="185" customFormat="false" ht="16.4" hidden="false" customHeight="false" outlineLevel="0" collapsed="false">
      <c r="U185" s="201" t="s">
        <v>125</v>
      </c>
      <c r="V185" s="201" t="str">
        <f aca="false">VLOOKUP(U185,X:X,1,0)</f>
        <v>LEGALOGIC CONSULTING LLP</v>
      </c>
      <c r="X185" s="128" t="s">
        <v>569</v>
      </c>
      <c r="Y185" s="201" t="str">
        <f aca="false">VLOOKUP(X185,AA:AA,1,0)</f>
        <v>Sundeep Karnik</v>
      </c>
      <c r="AA185" s="128" t="s">
        <v>755</v>
      </c>
      <c r="AB185" s="201" t="str">
        <f aca="false">VLOOKUP(AA185,AD:AD,1,0)</f>
        <v>Bharat Chugh</v>
      </c>
      <c r="AD185" s="201" t="s">
        <v>763</v>
      </c>
      <c r="AE185" s="201" t="str">
        <f aca="false">VLOOKUP(AD185,AA:AA,1,0)</f>
        <v>Gaurav Gupta</v>
      </c>
    </row>
    <row r="186" customFormat="false" ht="16.4" hidden="false" customHeight="false" outlineLevel="0" collapsed="false">
      <c r="U186" s="201" t="s">
        <v>677</v>
      </c>
      <c r="V186" s="201" t="str">
        <f aca="false">VLOOKUP(U186,X:X,1,0)</f>
        <v>Ankit Talsania</v>
      </c>
      <c r="X186" s="128" t="s">
        <v>591</v>
      </c>
      <c r="Y186" s="201" t="str">
        <f aca="false">VLOOKUP(X186,AA:AA,1,0)</f>
        <v>Surel Shah</v>
      </c>
      <c r="AA186" s="128" t="s">
        <v>757</v>
      </c>
      <c r="AB186" s="201" t="str">
        <f aca="false">VLOOKUP(AA186,AD:AD,1,0)</f>
        <v>Tuli &amp; Co.</v>
      </c>
      <c r="AD186" s="201" t="s">
        <v>318</v>
      </c>
      <c r="AE186" s="201" t="str">
        <f aca="false">VLOOKUP(AD186,AA:AA,1,0)</f>
        <v>Asahi Legal LLP</v>
      </c>
    </row>
    <row r="187" customFormat="false" ht="16.4" hidden="false" customHeight="false" outlineLevel="0" collapsed="false">
      <c r="U187" s="201" t="s">
        <v>679</v>
      </c>
      <c r="V187" s="201" t="str">
        <f aca="false">VLOOKUP(U187,X:X,1,0)</f>
        <v>ASV Legal LLP</v>
      </c>
      <c r="X187" s="128" t="s">
        <v>360</v>
      </c>
      <c r="Y187" s="201" t="str">
        <f aca="false">VLOOKUP(X187,AA:AA,1,0)</f>
        <v>Svarniti Law Offices</v>
      </c>
      <c r="AA187" s="128" t="s">
        <v>759</v>
      </c>
      <c r="AB187" s="201" t="str">
        <f aca="false">VLOOKUP(AA187,AD:AD,1,0)</f>
        <v>Karthik Sundar</v>
      </c>
      <c r="AD187" s="201" t="s">
        <v>766</v>
      </c>
      <c r="AE187" s="201" t="str">
        <f aca="false">VLOOKUP(AD187,AA:AA,1,0)</f>
        <v>Reliance Corporate Advisors (R)</v>
      </c>
    </row>
    <row r="188" customFormat="false" ht="16.4" hidden="false" customHeight="false" outlineLevel="0" collapsed="false">
      <c r="U188" s="201" t="s">
        <v>681</v>
      </c>
      <c r="V188" s="201" t="str">
        <f aca="false">VLOOKUP(U188,X:X,1,0)</f>
        <v>Tarun G Reddy</v>
      </c>
      <c r="X188" s="128" t="s">
        <v>157</v>
      </c>
      <c r="Y188" s="201" t="str">
        <f aca="false">VLOOKUP(X188,AA:AA,1,0)</f>
        <v>Swapna Sheshadri</v>
      </c>
      <c r="AA188" s="128" t="s">
        <v>761</v>
      </c>
      <c r="AB188" s="201" t="str">
        <f aca="false">VLOOKUP(AA188,AD:AD,1,0)</f>
        <v>Akkash Bhadana</v>
      </c>
      <c r="AD188" s="201" t="s">
        <v>768</v>
      </c>
      <c r="AE188" s="201" t="str">
        <f aca="false">VLOOKUP(AD188,AA:AA,1,0)</f>
        <v>Amrit Grewal</v>
      </c>
    </row>
    <row r="189" customFormat="false" ht="16.4" hidden="false" customHeight="false" outlineLevel="0" collapsed="false">
      <c r="U189" s="201" t="s">
        <v>683</v>
      </c>
      <c r="V189" s="201" t="str">
        <f aca="false">VLOOKUP(U189,X:X,1,0)</f>
        <v>Karanjawala &amp; Company Advocates</v>
      </c>
      <c r="X189" s="128" t="s">
        <v>608</v>
      </c>
      <c r="Y189" s="201" t="str">
        <f aca="false">VLOOKUP(X189,AA:AA,1,0)</f>
        <v>Swapnil Wagh</v>
      </c>
      <c r="AA189" s="128" t="s">
        <v>763</v>
      </c>
      <c r="AB189" s="201" t="str">
        <f aca="false">VLOOKUP(AA189,AD:AD,1,0)</f>
        <v>Gaurav Gupta</v>
      </c>
      <c r="AD189" s="201" t="s">
        <v>632</v>
      </c>
      <c r="AE189" s="201" t="str">
        <f aca="false">VLOOKUP(AD189,AA:AA,1,0)</f>
        <v>Khaitan Legal Associates</v>
      </c>
    </row>
    <row r="190" customFormat="false" ht="16.4" hidden="false" customHeight="false" outlineLevel="0" collapsed="false">
      <c r="U190" s="201" t="s">
        <v>687</v>
      </c>
      <c r="V190" s="201" t="str">
        <f aca="false">VLOOKUP(U190,X:X,1,0)</f>
        <v>Clavius Legal</v>
      </c>
      <c r="X190" s="128" t="s">
        <v>498</v>
      </c>
      <c r="Y190" s="201" t="str">
        <f aca="false">VLOOKUP(X190,AA:AA,1,0)</f>
        <v>Talha Abdul Rahman</v>
      </c>
      <c r="AA190" s="128" t="s">
        <v>318</v>
      </c>
      <c r="AB190" s="201" t="str">
        <f aca="false">VLOOKUP(AA190,AD:AD,1,0)</f>
        <v>Asahi Legal LLP</v>
      </c>
      <c r="AD190" s="201" t="s">
        <v>498</v>
      </c>
      <c r="AE190" s="201" t="str">
        <f aca="false">VLOOKUP(AD190,AA:AA,1,0)</f>
        <v>Talha Abdul Rahman</v>
      </c>
    </row>
    <row r="191" customFormat="false" ht="16.4" hidden="false" customHeight="false" outlineLevel="0" collapsed="false">
      <c r="U191" s="201" t="s">
        <v>689</v>
      </c>
      <c r="V191" s="201" t="str">
        <f aca="false">VLOOKUP(U191,X:X,1,0)</f>
        <v>Krishna Dev Jagarlamudi</v>
      </c>
      <c r="X191" s="128" t="s">
        <v>681</v>
      </c>
      <c r="Y191" s="201" t="str">
        <f aca="false">VLOOKUP(X191,AA:AA,1,0)</f>
        <v>Tarun G Reddy</v>
      </c>
      <c r="AA191" s="128" t="s">
        <v>766</v>
      </c>
      <c r="AB191" s="201" t="str">
        <f aca="false">VLOOKUP(AA191,AD:AD,1,0)</f>
        <v>Reliance Corporate Advisors (R)</v>
      </c>
      <c r="AD191" s="201" t="s">
        <v>147</v>
      </c>
      <c r="AE191" s="201" t="str">
        <f aca="false">VLOOKUP(AD191,AA:AA,1,0)</f>
        <v>RAJANI ASSOCIATES</v>
      </c>
    </row>
    <row r="192" customFormat="false" ht="16.4" hidden="false" customHeight="false" outlineLevel="0" collapsed="false">
      <c r="U192" s="201" t="s">
        <v>691</v>
      </c>
      <c r="V192" s="201" t="str">
        <f aca="false">VLOOKUP(U192,X:X,1,0)</f>
        <v>Gaurav Ray, Advocate on Record</v>
      </c>
      <c r="X192" s="210" t="s">
        <v>524</v>
      </c>
      <c r="Y192" s="201" t="str">
        <f aca="false">VLOOKUP(X192,AA:AA,1,0)</f>
        <v>Tipping Mr Pink Private Limited</v>
      </c>
      <c r="AA192" s="128" t="s">
        <v>768</v>
      </c>
      <c r="AB192" s="201" t="str">
        <f aca="false">VLOOKUP(AA192,AD:AD,1,0)</f>
        <v>Amrit Grewal</v>
      </c>
      <c r="AD192" s="201" t="s">
        <v>573</v>
      </c>
      <c r="AE192" s="201" t="str">
        <f aca="false">VLOOKUP(AD192,AA:AA,1,0)</f>
        <v>ZEUS Law Associates</v>
      </c>
    </row>
    <row r="193" customFormat="false" ht="16.4" hidden="false" customHeight="false" outlineLevel="0" collapsed="false">
      <c r="U193" s="201" t="s">
        <v>695</v>
      </c>
      <c r="V193" s="201" t="str">
        <f aca="false">VLOOKUP(U193,X:X,1,0)</f>
        <v>R. Ginodia &amp; Co. LLP</v>
      </c>
      <c r="X193" s="208" t="s">
        <v>177</v>
      </c>
      <c r="Y193" s="201" t="str">
        <f aca="false">VLOOKUP(X193,AA:AA,1,0)</f>
        <v>TLH, Advocates &amp; Solicitors</v>
      </c>
      <c r="AA193" s="128" t="s">
        <v>632</v>
      </c>
      <c r="AB193" s="201" t="str">
        <f aca="false">VLOOKUP(AA193,AD:AD,1,0)</f>
        <v>Khaitan Legal Associates</v>
      </c>
      <c r="AD193" s="201" t="s">
        <v>780</v>
      </c>
      <c r="AE193" s="201" t="str">
        <f aca="false">VLOOKUP(AD193,AA:AA,1,0)</f>
        <v>KRISH HOMES</v>
      </c>
    </row>
    <row r="194" customFormat="false" ht="16.4" hidden="false" customHeight="false" outlineLevel="0" collapsed="false">
      <c r="U194" s="201" t="s">
        <v>698</v>
      </c>
      <c r="V194" s="201" t="str">
        <f aca="false">VLOOKUP(U194,X:X,1,0)</f>
        <v>Saurabh Prakash</v>
      </c>
      <c r="X194" s="128" t="s">
        <v>116</v>
      </c>
      <c r="Y194" s="201" t="str">
        <f aca="false">VLOOKUP(X194,AA:AA,1,0)</f>
        <v>Touchstone Partners</v>
      </c>
      <c r="AA194" s="128" t="s">
        <v>771</v>
      </c>
      <c r="AB194" s="201" t="e">
        <f aca="false">VLOOKUP(AA194,AD:AD,1,0)</f>
        <v>#N/A</v>
      </c>
      <c r="AD194" s="201" t="s">
        <v>782</v>
      </c>
      <c r="AE194" s="201" t="str">
        <f aca="false">VLOOKUP(AD194,AA:AA,1,0)</f>
        <v>Saqeb Mahbub</v>
      </c>
    </row>
    <row r="195" customFormat="false" ht="16.4" hidden="false" customHeight="false" outlineLevel="0" collapsed="false">
      <c r="U195" s="201" t="s">
        <v>700</v>
      </c>
      <c r="V195" s="201" t="str">
        <f aca="false">VLOOKUP(U195,X:X,1,0)</f>
        <v>Ecclesia Advocates and Solicitors</v>
      </c>
      <c r="X195" s="210" t="s">
        <v>708</v>
      </c>
      <c r="Y195" s="201" t="str">
        <f aca="false">VLOOKUP(X195,AA:AA,1,0)</f>
        <v>TREELIFE VENTURES SERVICES PRIVATE LIMITED</v>
      </c>
      <c r="AA195" s="128" t="s">
        <v>498</v>
      </c>
      <c r="AB195" s="201" t="str">
        <f aca="false">VLOOKUP(AA195,AD:AD,1,0)</f>
        <v>Talha Abdul Rahman</v>
      </c>
      <c r="AD195" s="201" t="s">
        <v>784</v>
      </c>
      <c r="AE195" s="201" t="str">
        <f aca="false">VLOOKUP(AD195,AA:AA,1,0)</f>
        <v>JSM Law Partners</v>
      </c>
    </row>
    <row r="196" customFormat="false" ht="16.4" hidden="false" customHeight="false" outlineLevel="0" collapsed="false">
      <c r="U196" s="201" t="s">
        <v>703</v>
      </c>
      <c r="V196" s="201" t="str">
        <f aca="false">VLOOKUP(U196,X:X,1,0)</f>
        <v>Jaiveer Shergil</v>
      </c>
      <c r="X196" s="128" t="s">
        <v>718</v>
      </c>
      <c r="Y196" s="201" t="str">
        <f aca="false">VLOOKUP(X196,AA:AA,1,0)</f>
        <v>TRILOK POWER AND CABLES PRIVATE LIMITED</v>
      </c>
      <c r="AA196" s="128" t="s">
        <v>775</v>
      </c>
      <c r="AB196" s="201" t="e">
        <f aca="false">VLOOKUP(AA196,AD:AD,1,0)</f>
        <v>#N/A</v>
      </c>
      <c r="AD196" s="201" t="s">
        <v>598</v>
      </c>
      <c r="AE196" s="201" t="str">
        <f aca="false">VLOOKUP(AD196,AA:AA,1,0)</f>
        <v>RUNWAL ENTERPRISES LIMITED</v>
      </c>
    </row>
    <row r="197" customFormat="false" ht="13.5" hidden="false" customHeight="false" outlineLevel="0" collapsed="false">
      <c r="X197" s="128" t="s">
        <v>628</v>
      </c>
      <c r="Y197" s="201" t="str">
        <f aca="false">VLOOKUP(X197,AA:AA,1,0)</f>
        <v>Trust Law</v>
      </c>
      <c r="AA197" s="128" t="s">
        <v>147</v>
      </c>
      <c r="AB197" s="201" t="str">
        <f aca="false">VLOOKUP(AA197,AD:AD,1,0)</f>
        <v>RAJANI ASSOCIATES</v>
      </c>
      <c r="AD197" s="201" t="s">
        <v>360</v>
      </c>
      <c r="AE197" s="201" t="str">
        <f aca="false">VLOOKUP(AD197,AA:AA,1,0)</f>
        <v>Svarniti Law Offices</v>
      </c>
    </row>
    <row r="198" customFormat="false" ht="13.5" hidden="false" customHeight="false" outlineLevel="0" collapsed="false">
      <c r="X198" s="128" t="s">
        <v>757</v>
      </c>
      <c r="Y198" s="201" t="str">
        <f aca="false">VLOOKUP(X198,AA:AA,1,0)</f>
        <v>Tuli &amp; Co.</v>
      </c>
      <c r="AA198" s="128" t="s">
        <v>573</v>
      </c>
      <c r="AB198" s="201" t="str">
        <f aca="false">VLOOKUP(AA198,AD:AD,1,0)</f>
        <v>ZEUS Law Associates</v>
      </c>
      <c r="AD198" s="201" t="s">
        <v>788</v>
      </c>
      <c r="AE198" s="201" t="str">
        <f aca="false">VLOOKUP(AD198,AA:AA,1,0)</f>
        <v>Justice Ravindra Bhat</v>
      </c>
    </row>
    <row r="199" customFormat="false" ht="13.5" hidden="false" customHeight="false" outlineLevel="0" collapsed="false">
      <c r="X199" s="128" t="s">
        <v>738</v>
      </c>
      <c r="Y199" s="201" t="str">
        <f aca="false">VLOOKUP(X199,AA:AA,1,0)</f>
        <v>Tushar Jarwal</v>
      </c>
      <c r="AA199" s="128" t="s">
        <v>780</v>
      </c>
      <c r="AB199" s="201" t="str">
        <f aca="false">VLOOKUP(AA199,AD:AD,1,0)</f>
        <v>KRISH HOMES</v>
      </c>
      <c r="AD199" s="201" t="s">
        <v>301</v>
      </c>
      <c r="AE199" s="201" t="str">
        <f aca="false">VLOOKUP(AD199,AA:AA,1,0)</f>
        <v>Gera Developments Pvt. Ltd.</v>
      </c>
    </row>
    <row r="200" customFormat="false" ht="13.5" hidden="false" customHeight="false" outlineLevel="0" collapsed="false">
      <c r="X200" s="210" t="s">
        <v>130</v>
      </c>
      <c r="Y200" s="201" t="str">
        <f aca="false">VLOOKUP(X200,AA:AA,1,0)</f>
        <v>Tvashta Law</v>
      </c>
      <c r="AA200" s="128" t="s">
        <v>782</v>
      </c>
      <c r="AB200" s="201" t="str">
        <f aca="false">VLOOKUP(AA200,AD:AD,1,0)</f>
        <v>Saqeb Mahbub</v>
      </c>
      <c r="AD200" s="201" t="s">
        <v>640</v>
      </c>
      <c r="AE200" s="201" t="str">
        <f aca="false">VLOOKUP(AD200,AA:AA,1,0)</f>
        <v>S C Sharada &amp; Associates| Company Secretaries</v>
      </c>
    </row>
    <row r="201" customFormat="false" ht="13.5" hidden="false" customHeight="false" outlineLevel="0" collapsed="false">
      <c r="X201" s="210" t="s">
        <v>133</v>
      </c>
      <c r="Y201" s="201" t="str">
        <f aca="false">VLOOKUP(X201,AA:AA,1,0)</f>
        <v>U. S. GANDHI &amp; CO.</v>
      </c>
      <c r="AA201" s="128" t="s">
        <v>784</v>
      </c>
      <c r="AB201" s="201" t="str">
        <f aca="false">VLOOKUP(AA201,AD:AD,1,0)</f>
        <v>JSM Law Partners</v>
      </c>
      <c r="AD201" s="201" t="s">
        <v>799</v>
      </c>
      <c r="AE201" s="201" t="str">
        <f aca="false">VLOOKUP(AD201,AA:AA,1,0)</f>
        <v>Udai V. S. Rathore</v>
      </c>
    </row>
    <row r="202" customFormat="false" ht="13.5" hidden="false" customHeight="false" outlineLevel="0" collapsed="false">
      <c r="X202" s="128" t="s">
        <v>626</v>
      </c>
      <c r="Y202" s="201" t="str">
        <f aca="false">VLOOKUP(X202,AA:AA,1,0)</f>
        <v>Ujjwal Sharma</v>
      </c>
      <c r="AA202" s="128" t="s">
        <v>598</v>
      </c>
      <c r="AB202" s="201" t="str">
        <f aca="false">VLOOKUP(AA202,AD:AD,1,0)</f>
        <v>RUNWAL ENTERPRISES LIMITED</v>
      </c>
      <c r="AD202" s="201" t="s">
        <v>187</v>
      </c>
      <c r="AE202" s="201" t="str">
        <f aca="false">VLOOKUP(AD202,AA:AA,1,0)</f>
        <v>Yash Momaya</v>
      </c>
    </row>
    <row r="203" customFormat="false" ht="13.5" hidden="false" customHeight="false" outlineLevel="0" collapsed="false">
      <c r="X203" s="210" t="s">
        <v>127</v>
      </c>
      <c r="Y203" s="201" t="str">
        <f aca="false">VLOOKUP(X203,AA:AA,1,0)</f>
        <v>VACUITAS COUNSELLOR LLP</v>
      </c>
      <c r="AA203" s="128" t="s">
        <v>360</v>
      </c>
      <c r="AB203" s="201" t="str">
        <f aca="false">VLOOKUP(AA203,AD:AD,1,0)</f>
        <v>Svarniti Law Offices</v>
      </c>
      <c r="AD203" s="201" t="s">
        <v>687</v>
      </c>
      <c r="AE203" s="201" t="str">
        <f aca="false">VLOOKUP(AD203,AA:AA,1,0)</f>
        <v>Clavius Legal</v>
      </c>
    </row>
    <row r="204" customFormat="false" ht="13.5" hidden="false" customHeight="false" outlineLevel="0" collapsed="false">
      <c r="X204" s="210" t="s">
        <v>622</v>
      </c>
      <c r="Y204" s="201" t="e">
        <f aca="false">VLOOKUP(X204,AA:AA,1,0)</f>
        <v>#N/A</v>
      </c>
      <c r="AA204" s="128" t="s">
        <v>788</v>
      </c>
      <c r="AB204" s="201" t="str">
        <f aca="false">VLOOKUP(AA204,AD:AD,1,0)</f>
        <v>Justice Ravindra Bhat</v>
      </c>
      <c r="AD204" s="201" t="s">
        <v>414</v>
      </c>
      <c r="AE204" s="201" t="str">
        <f aca="false">VLOOKUP(AD204,AA:AA,1,0)</f>
        <v>MV Law Partners</v>
      </c>
    </row>
    <row r="205" customFormat="false" ht="13.5" hidden="false" customHeight="false" outlineLevel="0" collapsed="false">
      <c r="X205" s="128" t="s">
        <v>514</v>
      </c>
      <c r="Y205" s="201" t="str">
        <f aca="false">VLOOKUP(X205,AA:AA,1,0)</f>
        <v>Vardharma Chambers</v>
      </c>
      <c r="AA205" s="128" t="s">
        <v>301</v>
      </c>
      <c r="AB205" s="201" t="str">
        <f aca="false">VLOOKUP(AA205,AD:AD,1,0)</f>
        <v>Gera Developments Pvt. Ltd.</v>
      </c>
      <c r="AD205" s="201" t="s">
        <v>804</v>
      </c>
      <c r="AE205" s="201" t="str">
        <f aca="false">VLOOKUP(AD205,AA:AA,1,0)</f>
        <v>MDP Legal</v>
      </c>
    </row>
    <row r="206" customFormat="false" ht="13.5" hidden="false" customHeight="false" outlineLevel="0" collapsed="false">
      <c r="X206" s="128" t="s">
        <v>149</v>
      </c>
      <c r="Y206" s="201" t="e">
        <f aca="false">VLOOKUP(X206,AA:AA,1,0)</f>
        <v>#N/A</v>
      </c>
      <c r="AA206" s="128" t="s">
        <v>793</v>
      </c>
      <c r="AB206" s="201" t="e">
        <f aca="false">VLOOKUP(AA206,AD:AD,1,0)</f>
        <v>#N/A</v>
      </c>
      <c r="AD206" s="201" t="s">
        <v>806</v>
      </c>
      <c r="AE206" s="201" t="str">
        <f aca="false">VLOOKUP(AD206,AA:AA,1,0)</f>
        <v>RRG &amp; Associates</v>
      </c>
    </row>
    <row r="207" customFormat="false" ht="13.5" hidden="false" customHeight="false" outlineLevel="0" collapsed="false">
      <c r="X207" s="128" t="s">
        <v>122</v>
      </c>
      <c r="Y207" s="201" t="str">
        <f aca="false">VLOOKUP(X207,AA:AA,1,0)</f>
        <v>Veritas Legal Advocates and Solicitors</v>
      </c>
      <c r="AA207" s="128" t="s">
        <v>640</v>
      </c>
      <c r="AB207" s="201" t="str">
        <f aca="false">VLOOKUP(AA207,AD:AD,1,0)</f>
        <v>S C Sharada &amp; Associates| Company Secretaries</v>
      </c>
      <c r="AD207" s="201" t="s">
        <v>808</v>
      </c>
      <c r="AE207" s="201" t="str">
        <f aca="false">VLOOKUP(AD207,AA:AA,1,0)</f>
        <v>Dhru &amp; Co</v>
      </c>
    </row>
    <row r="208" customFormat="false" ht="13.5" hidden="false" customHeight="false" outlineLevel="0" collapsed="false">
      <c r="X208" s="128" t="s">
        <v>331</v>
      </c>
      <c r="Y208" s="201" t="str">
        <f aca="false">VLOOKUP(X208,AA:AA,1,0)</f>
        <v>Vesta Legal</v>
      </c>
      <c r="AA208" s="128" t="s">
        <v>797</v>
      </c>
      <c r="AB208" s="201" t="e">
        <f aca="false">VLOOKUP(AA208,AD:AD,1,0)</f>
        <v>#N/A</v>
      </c>
      <c r="AD208" s="201" t="s">
        <v>811</v>
      </c>
      <c r="AE208" s="201" t="str">
        <f aca="false">VLOOKUP(AD208,AA:AA,1,0)</f>
        <v>Hiren Kamod</v>
      </c>
    </row>
    <row r="209" customFormat="false" ht="13.5" hidden="false" customHeight="false" outlineLevel="0" collapsed="false">
      <c r="X209" s="128" t="s">
        <v>723</v>
      </c>
      <c r="Y209" s="201" t="str">
        <f aca="false">VLOOKUP(X209,AA:AA,1,0)</f>
        <v>Vidhii Partners</v>
      </c>
      <c r="AA209" s="128" t="s">
        <v>799</v>
      </c>
      <c r="AB209" s="201" t="str">
        <f aca="false">VLOOKUP(AA209,AD:AD,1,0)</f>
        <v>Udai V. S. Rathore</v>
      </c>
      <c r="AD209" s="201" t="s">
        <v>813</v>
      </c>
      <c r="AE209" s="201" t="str">
        <f aca="false">VLOOKUP(AD209,AA:AA,1,0)</f>
        <v>Pravah Law</v>
      </c>
    </row>
    <row r="210" customFormat="false" ht="13.5" hidden="false" customHeight="false" outlineLevel="0" collapsed="false">
      <c r="X210" s="128" t="s">
        <v>605</v>
      </c>
      <c r="Y210" s="201" t="str">
        <f aca="false">VLOOKUP(X210,AA:AA,1,0)</f>
        <v>Vikas Mehta</v>
      </c>
      <c r="AA210" s="128" t="s">
        <v>187</v>
      </c>
      <c r="AB210" s="201" t="str">
        <f aca="false">VLOOKUP(AA210,AD:AD,1,0)</f>
        <v>Yash Momaya</v>
      </c>
      <c r="AD210" s="201" t="s">
        <v>199</v>
      </c>
      <c r="AE210" s="201" t="str">
        <f aca="false">VLOOKUP(AD210,AA:AA,1,0)</f>
        <v>AP &amp; Partners, Advocates</v>
      </c>
    </row>
    <row r="211" customFormat="false" ht="13.5" hidden="false" customHeight="false" outlineLevel="0" collapsed="false">
      <c r="X211" s="128" t="s">
        <v>740</v>
      </c>
      <c r="Y211" s="201" t="str">
        <f aca="false">VLOOKUP(X211,AA:AA,1,0)</f>
        <v>Virmani &amp; Virmani</v>
      </c>
      <c r="AA211" s="128" t="s">
        <v>687</v>
      </c>
      <c r="AB211" s="201" t="str">
        <f aca="false">VLOOKUP(AA211,AD:AD,1,0)</f>
        <v>Clavius Legal</v>
      </c>
      <c r="AD211" s="201" t="s">
        <v>817</v>
      </c>
      <c r="AE211" s="201" t="str">
        <f aca="false">VLOOKUP(AD211,AA:AA,1,0)</f>
        <v>Ajinkya Kurdukar</v>
      </c>
    </row>
    <row r="212" customFormat="false" ht="13.5" hidden="false" customHeight="false" outlineLevel="0" collapsed="false">
      <c r="X212" s="128" t="s">
        <v>322</v>
      </c>
      <c r="Y212" s="201" t="str">
        <f aca="false">VLOOKUP(X212,AA:AA,1,0)</f>
        <v>Vis Legis Law Practice</v>
      </c>
      <c r="AA212" s="128" t="s">
        <v>414</v>
      </c>
      <c r="AB212" s="201" t="str">
        <f aca="false">VLOOKUP(AA212,AD:AD,1,0)</f>
        <v>MV Law Partners</v>
      </c>
      <c r="AD212" s="201" t="s">
        <v>708</v>
      </c>
      <c r="AE212" s="201" t="str">
        <f aca="false">VLOOKUP(AD212,AA:AA,1,0)</f>
        <v>TREELIFE VENTURES SERVICES PRIVATE LIMITED</v>
      </c>
    </row>
    <row r="213" customFormat="false" ht="13.5" hidden="false" customHeight="false" outlineLevel="0" collapsed="false">
      <c r="X213" s="128" t="s">
        <v>311</v>
      </c>
      <c r="Y213" s="201" t="str">
        <f aca="false">VLOOKUP(X213,AA:AA,1,0)</f>
        <v>Vishal Kanade</v>
      </c>
      <c r="AA213" s="128" t="s">
        <v>804</v>
      </c>
      <c r="AB213" s="201" t="str">
        <f aca="false">VLOOKUP(AA213,AD:AD,1,0)</f>
        <v>MDP Legal</v>
      </c>
      <c r="AD213" s="201" t="s">
        <v>820</v>
      </c>
      <c r="AE213" s="201" t="str">
        <f aca="false">VLOOKUP(AD213,AA:AA,1,0)</f>
        <v>Vijay Manjreka</v>
      </c>
    </row>
    <row r="214" customFormat="false" ht="13.5" hidden="false" customHeight="false" outlineLevel="0" collapsed="false">
      <c r="X214" s="210" t="s">
        <v>664</v>
      </c>
      <c r="Y214" s="201" t="str">
        <f aca="false">VLOOKUP(X214,AA:AA,1,0)</f>
        <v>Vivek Anand Anthony Britto</v>
      </c>
      <c r="AA214" s="128" t="s">
        <v>806</v>
      </c>
      <c r="AB214" s="201" t="str">
        <f aca="false">VLOOKUP(AA214,AD:AD,1,0)</f>
        <v>RRG &amp; Associates</v>
      </c>
      <c r="AD214" s="201" t="s">
        <v>669</v>
      </c>
      <c r="AE214" s="201" t="str">
        <f aca="false">VLOOKUP(AD214,AA:AA,1,0)</f>
        <v>Roshan Santhalia</v>
      </c>
    </row>
    <row r="215" customFormat="false" ht="13.5" hidden="false" customHeight="false" outlineLevel="0" collapsed="false">
      <c r="X215" s="128" t="s">
        <v>333</v>
      </c>
      <c r="Y215" s="201" t="str">
        <f aca="false">VLOOKUP(X215,AA:AA,1,0)</f>
        <v>Vyom Shah</v>
      </c>
      <c r="AA215" s="128" t="s">
        <v>808</v>
      </c>
      <c r="AB215" s="201" t="str">
        <f aca="false">VLOOKUP(AA215,AD:AD,1,0)</f>
        <v>Dhru &amp; Co</v>
      </c>
      <c r="AD215" s="201" t="s">
        <v>824</v>
      </c>
      <c r="AE215" s="201" t="str">
        <f aca="false">VLOOKUP(AD215,AA:AA,1,0)</f>
        <v>Ankur Mahindro</v>
      </c>
    </row>
    <row r="216" customFormat="false" ht="13.5" hidden="false" customHeight="false" outlineLevel="0" collapsed="false">
      <c r="X216" s="210" t="s">
        <v>399</v>
      </c>
      <c r="Y216" s="201" t="str">
        <f aca="false">VLOOKUP(X216,AA:AA,1,0)</f>
        <v>Wadia Ghandy &amp; Co.</v>
      </c>
      <c r="AA216" s="128" t="s">
        <v>811</v>
      </c>
      <c r="AB216" s="201" t="str">
        <f aca="false">VLOOKUP(AA216,AD:AD,1,0)</f>
        <v>Hiren Kamod</v>
      </c>
      <c r="AD216" s="201" t="s">
        <v>826</v>
      </c>
      <c r="AE216" s="201" t="str">
        <f aca="false">VLOOKUP(AD216,AA:AA,1,0)</f>
        <v>Pragati Law Chambers</v>
      </c>
    </row>
    <row r="217" customFormat="false" ht="13.5" hidden="false" customHeight="false" outlineLevel="0" collapsed="false">
      <c r="X217" s="128" t="s">
        <v>522</v>
      </c>
      <c r="Y217" s="201" t="str">
        <f aca="false">VLOOKUP(X217,AA:AA,1,0)</f>
        <v>Yakshay Chheda</v>
      </c>
      <c r="AA217" s="128" t="s">
        <v>813</v>
      </c>
      <c r="AB217" s="201" t="str">
        <f aca="false">VLOOKUP(AA217,AD:AD,1,0)</f>
        <v>Pravah Law</v>
      </c>
      <c r="AD217" s="201" t="s">
        <v>723</v>
      </c>
      <c r="AE217" s="201" t="str">
        <f aca="false">VLOOKUP(AD217,AA:AA,1,0)</f>
        <v>Vidhii Partners</v>
      </c>
    </row>
    <row r="218" customFormat="false" ht="13.5" hidden="false" customHeight="false" outlineLevel="0" collapsed="false">
      <c r="X218" s="128" t="s">
        <v>309</v>
      </c>
      <c r="Y218" s="201" t="str">
        <f aca="false">VLOOKUP(X218,AA:AA,1,0)</f>
        <v>Zoheb Hossain</v>
      </c>
      <c r="AA218" s="128" t="s">
        <v>199</v>
      </c>
      <c r="AB218" s="201" t="str">
        <f aca="false">VLOOKUP(AA218,AD:AD,1,0)</f>
        <v>AP &amp; Partners, Advocates</v>
      </c>
      <c r="AD218" s="201" t="s">
        <v>705</v>
      </c>
      <c r="AE218" s="201" t="str">
        <f aca="false">VLOOKUP(AD218,AA:AA,1,0)</f>
        <v>Devina Sehgal</v>
      </c>
    </row>
    <row r="219" customFormat="false" ht="13.5" hidden="false" customHeight="false" outlineLevel="0" collapsed="false">
      <c r="X219" s="128" t="s">
        <v>335</v>
      </c>
      <c r="Y219" s="201" t="str">
        <f aca="false">VLOOKUP(X219,AA:AA,1,0)</f>
        <v>Zubin Behramkamdin</v>
      </c>
      <c r="AA219" s="128" t="s">
        <v>817</v>
      </c>
      <c r="AB219" s="201" t="str">
        <f aca="false">VLOOKUP(AA219,AD:AD,1,0)</f>
        <v>Ajinkya Kurdukar</v>
      </c>
      <c r="AD219" s="201" t="s">
        <v>830</v>
      </c>
      <c r="AE219" s="201" t="str">
        <f aca="false">VLOOKUP(AD219,AA:AA,1,0)</f>
        <v>KK &amp; Co</v>
      </c>
    </row>
    <row r="220" customFormat="false" ht="13.5" hidden="false" customHeight="false" outlineLevel="0" collapsed="false">
      <c r="X220" s="128" t="s">
        <v>221</v>
      </c>
      <c r="Y220" s="201" t="str">
        <f aca="false">VLOOKUP(X220,AA:AA,1,0)</f>
        <v>Zulfiqar Jariwala</v>
      </c>
      <c r="AA220" s="128" t="s">
        <v>820</v>
      </c>
      <c r="AB220" s="201" t="str">
        <f aca="false">VLOOKUP(AA220,AD:AD,1,0)</f>
        <v>Vijay Manjreka</v>
      </c>
      <c r="AD220" s="201" t="s">
        <v>834</v>
      </c>
      <c r="AE220" s="201" t="str">
        <f aca="false">VLOOKUP(AD220,AA:AA,1,0)</f>
        <v>Aditya Narayan Mahajan</v>
      </c>
    </row>
    <row r="221" customFormat="false" ht="13.5" hidden="false" customHeight="false" outlineLevel="0" collapsed="false">
      <c r="X221" s="145"/>
      <c r="AA221" s="128" t="s">
        <v>669</v>
      </c>
      <c r="AB221" s="201" t="str">
        <f aca="false">VLOOKUP(AA221,AD:AD,1,0)</f>
        <v>Roshan Santhalia</v>
      </c>
      <c r="AD221" s="201" t="s">
        <v>836</v>
      </c>
      <c r="AE221" s="201" t="str">
        <f aca="false">VLOOKUP(AD221,AA:AA,1,0)</f>
        <v>Prateek Rath</v>
      </c>
    </row>
    <row r="222" customFormat="false" ht="13.5" hidden="false" customHeight="false" outlineLevel="0" collapsed="false">
      <c r="X222" s="128"/>
      <c r="AA222" s="128" t="s">
        <v>824</v>
      </c>
      <c r="AB222" s="201" t="str">
        <f aca="false">VLOOKUP(AA222,AD:AD,1,0)</f>
        <v>Ankur Mahindro</v>
      </c>
      <c r="AD222" s="201" t="s">
        <v>839</v>
      </c>
      <c r="AE222" s="201" t="str">
        <f aca="false">VLOOKUP(AD222,AA:AA,1,0)</f>
        <v>OASIS REALTY</v>
      </c>
    </row>
    <row r="223" customFormat="false" ht="13.5" hidden="false" customHeight="false" outlineLevel="0" collapsed="false">
      <c r="X223" s="210"/>
      <c r="AA223" s="128" t="s">
        <v>826</v>
      </c>
      <c r="AB223" s="201" t="str">
        <f aca="false">VLOOKUP(AA223,AD:AD,1,0)</f>
        <v>Pragati Law Chambers</v>
      </c>
      <c r="AD223" s="201" t="s">
        <v>841</v>
      </c>
      <c r="AE223" s="201" t="str">
        <f aca="false">VLOOKUP(AD223,AA:AA,1,0)</f>
        <v>Jehangir Jeejeebhoy</v>
      </c>
    </row>
    <row r="224" customFormat="false" ht="13.5" hidden="false" customHeight="false" outlineLevel="0" collapsed="false">
      <c r="X224" s="128"/>
      <c r="AA224" s="128" t="s">
        <v>705</v>
      </c>
      <c r="AB224" s="201" t="str">
        <f aca="false">VLOOKUP(AA224,AD:AD,1,0)</f>
        <v>Devina Sehgal</v>
      </c>
      <c r="AD224" s="201" t="s">
        <v>843</v>
      </c>
      <c r="AE224" s="201" t="str">
        <f aca="false">VLOOKUP(AD224,AA:AA,1,0)</f>
        <v>Samar Bansal</v>
      </c>
    </row>
    <row r="225" customFormat="false" ht="13.5" hidden="false" customHeight="false" outlineLevel="0" collapsed="false">
      <c r="X225" s="128"/>
      <c r="AA225" s="128" t="s">
        <v>830</v>
      </c>
      <c r="AB225" s="201" t="str">
        <f aca="false">VLOOKUP(AA225,AD:AD,1,0)</f>
        <v>KK &amp; Co</v>
      </c>
      <c r="AD225" s="201" t="s">
        <v>744</v>
      </c>
      <c r="AE225" s="201" t="str">
        <f aca="false">VLOOKUP(AD225,AA:AA,1,0)</f>
        <v>Foresight Law Offices</v>
      </c>
    </row>
    <row r="226" customFormat="false" ht="13.5" hidden="false" customHeight="false" outlineLevel="0" collapsed="false">
      <c r="X226" s="128"/>
      <c r="AA226" s="128" t="s">
        <v>834</v>
      </c>
      <c r="AB226" s="201" t="str">
        <f aca="false">VLOOKUP(AA226,AD:AD,1,0)</f>
        <v>Aditya Narayan Mahajan</v>
      </c>
      <c r="AD226" s="201" t="s">
        <v>846</v>
      </c>
      <c r="AE226" s="201" t="str">
        <f aca="false">VLOOKUP(AD226,AA:AA,1,0)</f>
        <v>Law office of Amrita Sarkar</v>
      </c>
    </row>
    <row r="227" customFormat="false" ht="13.5" hidden="false" customHeight="false" outlineLevel="0" collapsed="false">
      <c r="AA227" s="128" t="s">
        <v>836</v>
      </c>
      <c r="AB227" s="201" t="str">
        <f aca="false">VLOOKUP(AA227,AD:AD,1,0)</f>
        <v>Prateek Rath</v>
      </c>
      <c r="AD227" s="201" t="s">
        <v>296</v>
      </c>
      <c r="AE227" s="201" t="str">
        <f aca="false">VLOOKUP(AD227,AA:AA,1,0)</f>
        <v>Hamza mir</v>
      </c>
    </row>
    <row r="228" customFormat="false" ht="13.5" hidden="false" customHeight="false" outlineLevel="0" collapsed="false">
      <c r="AA228" s="128" t="s">
        <v>839</v>
      </c>
      <c r="AB228" s="201" t="str">
        <f aca="false">VLOOKUP(AA228,AD:AD,1,0)</f>
        <v>OASIS REALTY</v>
      </c>
      <c r="AD228" s="201" t="s">
        <v>849</v>
      </c>
      <c r="AE228" s="201" t="str">
        <f aca="false">VLOOKUP(AD228,AA:AA,1,0)</f>
        <v>Ankita Sharma</v>
      </c>
    </row>
    <row r="229" customFormat="false" ht="13.5" hidden="false" customHeight="false" outlineLevel="0" collapsed="false">
      <c r="AA229" s="128" t="s">
        <v>841</v>
      </c>
      <c r="AB229" s="201" t="str">
        <f aca="false">VLOOKUP(AA229,AD:AD,1,0)</f>
        <v>Jehangir Jeejeebhoy</v>
      </c>
      <c r="AD229" s="201" t="s">
        <v>851</v>
      </c>
      <c r="AE229" s="201" t="str">
        <f aca="false">VLOOKUP(AD229,AA:AA,1,0)</f>
        <v>Mihir Desai</v>
      </c>
    </row>
    <row r="230" customFormat="false" ht="13.5" hidden="false" customHeight="false" outlineLevel="0" collapsed="false">
      <c r="AA230" s="128" t="s">
        <v>843</v>
      </c>
      <c r="AB230" s="201" t="str">
        <f aca="false">VLOOKUP(AA230,AD:AD,1,0)</f>
        <v>Samar Bansal</v>
      </c>
      <c r="AD230" s="201" t="s">
        <v>853</v>
      </c>
      <c r="AE230" s="201" t="str">
        <f aca="false">VLOOKUP(AD230,AA:AA,1,0)</f>
        <v>Kunal Vaishnav</v>
      </c>
    </row>
    <row r="231" customFormat="false" ht="13.5" hidden="false" customHeight="false" outlineLevel="0" collapsed="false">
      <c r="AA231" s="128" t="s">
        <v>846</v>
      </c>
      <c r="AB231" s="201" t="str">
        <f aca="false">VLOOKUP(AA231,AD:AD,1,0)</f>
        <v>Law office of Amrita Sarkar</v>
      </c>
      <c r="AD231" s="201" t="s">
        <v>855</v>
      </c>
      <c r="AE231" s="201" t="e">
        <f aca="false">VLOOKUP(AD231,AA:AA,1,0)</f>
        <v>#N/A</v>
      </c>
    </row>
    <row r="232" customFormat="false" ht="13.5" hidden="false" customHeight="false" outlineLevel="0" collapsed="false">
      <c r="AA232" s="128" t="s">
        <v>849</v>
      </c>
      <c r="AB232" s="201" t="str">
        <f aca="false">VLOOKUP(AA232,AD:AD,1,0)</f>
        <v>Ankita Sharma</v>
      </c>
      <c r="AD232" s="201" t="s">
        <v>857</v>
      </c>
      <c r="AE232" s="201" t="str">
        <f aca="false">VLOOKUP(AD232,AA:AA,1,0)</f>
        <v>Rajdeep Panda</v>
      </c>
    </row>
    <row r="233" customFormat="false" ht="13.5" hidden="false" customHeight="false" outlineLevel="0" collapsed="false">
      <c r="AA233" s="128" t="s">
        <v>851</v>
      </c>
      <c r="AB233" s="201" t="str">
        <f aca="false">VLOOKUP(AA233,AD:AD,1,0)</f>
        <v>Mihir Desai</v>
      </c>
      <c r="AD233" s="201" t="s">
        <v>859</v>
      </c>
      <c r="AE233" s="201" t="str">
        <f aca="false">VLOOKUP(AD233,AA:AA,1,0)</f>
        <v>Hammurabi &amp; Solomon Partner</v>
      </c>
    </row>
    <row r="234" customFormat="false" ht="13.5" hidden="false" customHeight="false" outlineLevel="0" collapsed="false">
      <c r="AA234" s="128" t="s">
        <v>853</v>
      </c>
      <c r="AB234" s="201" t="str">
        <f aca="false">VLOOKUP(AA234,AD:AD,1,0)</f>
        <v>Kunal Vaishnav</v>
      </c>
      <c r="AD234" s="201" t="s">
        <v>575</v>
      </c>
      <c r="AE234" s="201" t="str">
        <f aca="false">VLOOKUP(AD234,AA:AA,1,0)</f>
        <v>Aurtus Consulting LLP</v>
      </c>
    </row>
    <row r="235" customFormat="false" ht="13.5" hidden="false" customHeight="false" outlineLevel="0" collapsed="false">
      <c r="AA235" s="128" t="s">
        <v>857</v>
      </c>
      <c r="AB235" s="201" t="str">
        <f aca="false">VLOOKUP(AA235,AD:AD,1,0)</f>
        <v>Rajdeep Panda</v>
      </c>
      <c r="AD235" s="201" t="s">
        <v>862</v>
      </c>
      <c r="AE235" s="201" t="str">
        <f aca="false">VLOOKUP(AD235,AA:AA,1,0)</f>
        <v>Prerit Goyal</v>
      </c>
    </row>
    <row r="236" customFormat="false" ht="13.5" hidden="false" customHeight="false" outlineLevel="0" collapsed="false">
      <c r="AA236" s="128" t="s">
        <v>859</v>
      </c>
      <c r="AB236" s="201" t="str">
        <f aca="false">VLOOKUP(AA236,AD:AD,1,0)</f>
        <v>Hammurabi &amp; Solomon Partner</v>
      </c>
      <c r="AD236" s="201" t="s">
        <v>865</v>
      </c>
      <c r="AE236" s="201" t="e">
        <f aca="false">VLOOKUP(AD236,AA:AA,1,0)</f>
        <v>#N/A</v>
      </c>
    </row>
    <row r="237" customFormat="false" ht="13.5" hidden="false" customHeight="false" outlineLevel="0" collapsed="false">
      <c r="AA237" s="128" t="s">
        <v>862</v>
      </c>
      <c r="AB237" s="201" t="str">
        <f aca="false">VLOOKUP(AA237,AD:AD,1,0)</f>
        <v>Prerit Goyal</v>
      </c>
      <c r="AD237" s="201" t="s">
        <v>867</v>
      </c>
      <c r="AE237" s="201" t="str">
        <f aca="false">VLOOKUP(AD237,AA:AA,1,0)</f>
        <v>Shamik Sanjanwala</v>
      </c>
    </row>
    <row r="238" customFormat="false" ht="13.5" hidden="false" customHeight="false" outlineLevel="0" collapsed="false">
      <c r="AA238" s="128" t="s">
        <v>867</v>
      </c>
      <c r="AB238" s="201" t="str">
        <f aca="false">VLOOKUP(AA238,AD:AD,1,0)</f>
        <v>Shamik Sanjanwala</v>
      </c>
      <c r="AD238" s="201" t="s">
        <v>869</v>
      </c>
      <c r="AE238" s="201" t="str">
        <f aca="false">VLOOKUP(AD238,AA:AA,1,0)</f>
        <v>Adarsh Ramakrishnan</v>
      </c>
    </row>
    <row r="239" customFormat="false" ht="13.5" hidden="false" customHeight="false" outlineLevel="0" collapsed="false">
      <c r="AA239" s="128" t="s">
        <v>869</v>
      </c>
      <c r="AB239" s="201" t="str">
        <f aca="false">VLOOKUP(AA239,AD:AD,1,0)</f>
        <v>Adarsh Ramakrishnan</v>
      </c>
      <c r="AD239" s="201" t="s">
        <v>871</v>
      </c>
      <c r="AE239" s="201" t="str">
        <f aca="false">VLOOKUP(AD239,AA:AA,1,0)</f>
        <v>Aditya S Puar</v>
      </c>
    </row>
    <row r="240" customFormat="false" ht="13.5" hidden="false" customHeight="false" outlineLevel="0" collapsed="false">
      <c r="AA240" s="128" t="s">
        <v>871</v>
      </c>
      <c r="AB240" s="201" t="str">
        <f aca="false">VLOOKUP(AA240,AD:AD,1,0)</f>
        <v>Aditya S Puar</v>
      </c>
      <c r="AD240" s="201" t="s">
        <v>873</v>
      </c>
      <c r="AE240" s="201" t="str">
        <f aca="false">VLOOKUP(AD240,AA:AA,1,0)</f>
        <v>Debopriyo Moulik</v>
      </c>
    </row>
    <row r="241" customFormat="false" ht="13.5" hidden="false" customHeight="false" outlineLevel="0" collapsed="false">
      <c r="AA241" s="128" t="s">
        <v>873</v>
      </c>
      <c r="AB241" s="201" t="str">
        <f aca="false">VLOOKUP(AA241,AD:AD,1,0)</f>
        <v>Debopriyo Moulik</v>
      </c>
      <c r="AD241" s="201" t="s">
        <v>875</v>
      </c>
      <c r="AE241" s="201" t="str">
        <f aca="false">VLOOKUP(AD241,AA:AA,1,0)</f>
        <v>REMFRY &amp; SAGAR CONSULTANT PVT LTD</v>
      </c>
    </row>
    <row r="242" customFormat="false" ht="13.5" hidden="false" customHeight="false" outlineLevel="0" collapsed="false">
      <c r="AA242" s="128" t="s">
        <v>875</v>
      </c>
      <c r="AB242" s="201" t="str">
        <f aca="false">VLOOKUP(AA242,AD:AD,1,0)</f>
        <v>REMFRY &amp; SAGAR CONSULTANT PVT LTD</v>
      </c>
      <c r="AD242" s="201" t="s">
        <v>877</v>
      </c>
      <c r="AE242" s="201" t="str">
        <f aca="false">VLOOKUP(AD242,AA:AA,1,0)</f>
        <v>Anirban Bhattacharya</v>
      </c>
    </row>
    <row r="243" customFormat="false" ht="31.3" hidden="false" customHeight="false" outlineLevel="0" collapsed="false">
      <c r="AA243" s="128" t="s">
        <v>877</v>
      </c>
      <c r="AB243" s="201" t="str">
        <f aca="false">VLOOKUP(AA243,AD:AD,1,0)</f>
        <v>Anirban Bhattacharya</v>
      </c>
      <c r="AD243" s="204" t="s">
        <v>879</v>
      </c>
      <c r="AE243" s="204" t="str">
        <f aca="false">VLOOKUP(AD243,AA:AA,1,0)</f>
        <v>Jayant Mehta 
</v>
      </c>
    </row>
    <row r="244" customFormat="false" ht="35.05" hidden="false" customHeight="false" outlineLevel="0" collapsed="false">
      <c r="AA244" s="159" t="s">
        <v>879</v>
      </c>
      <c r="AB244" s="204" t="str">
        <f aca="false">VLOOKUP(AA244,AD:AD,1,0)</f>
        <v>Jayant Mehta 
</v>
      </c>
      <c r="AD244" s="201" t="s">
        <v>882</v>
      </c>
      <c r="AE244" s="201" t="str">
        <f aca="false">VLOOKUP(AD244,AA:AA,1,0)</f>
        <v>Rohit Sharma</v>
      </c>
    </row>
    <row r="245" customFormat="false" ht="13.5" hidden="false" customHeight="false" outlineLevel="0" collapsed="false">
      <c r="AA245" s="128" t="s">
        <v>882</v>
      </c>
      <c r="AB245" s="201" t="str">
        <f aca="false">VLOOKUP(AA245,AD:AD,1,0)</f>
        <v>Rohit Sharma</v>
      </c>
      <c r="AD245" s="201" t="s">
        <v>884</v>
      </c>
      <c r="AE245" s="201" t="e">
        <f aca="false">VLOOKUP(AD245,AA:AA,1,0)</f>
        <v>#N/A</v>
      </c>
    </row>
    <row r="246" customFormat="false" ht="13.5" hidden="false" customHeight="false" outlineLevel="0" collapsed="false">
      <c r="AA246" s="128" t="s">
        <v>624</v>
      </c>
      <c r="AB246" s="201" t="str">
        <f aca="false">VLOOKUP(AA246,AD:AD,1,0)</f>
        <v>Acuity Law LLP</v>
      </c>
      <c r="AD246" s="201" t="s">
        <v>624</v>
      </c>
      <c r="AE246" s="201" t="str">
        <f aca="false">VLOOKUP(AD246,AA:AA,1,0)</f>
        <v>Acuity Law LLP</v>
      </c>
    </row>
    <row r="247" customFormat="false" ht="13.5" hidden="false" customHeight="false" outlineLevel="0" collapsed="false">
      <c r="AD247" s="201" t="s">
        <v>887</v>
      </c>
      <c r="AE247" s="201" t="e">
        <f aca="false">VLOOKUP(AD247,AA:AA,1,0)</f>
        <v>#N/A</v>
      </c>
    </row>
    <row r="248" customFormat="false" ht="13.5" hidden="false" customHeight="false" outlineLevel="0" collapsed="false">
      <c r="AD248" s="201" t="s">
        <v>1233</v>
      </c>
      <c r="AE248" s="201" t="e">
        <f aca="false">VLOOKUP(AD248,AA:AA,1,0)</f>
        <v>#N/A</v>
      </c>
    </row>
    <row r="249" customFormat="false" ht="13.5" hidden="false" customHeight="false" outlineLevel="0" collapsed="false">
      <c r="AD249" s="201" t="s">
        <v>1236</v>
      </c>
      <c r="AE249" s="201" t="e">
        <f aca="false">VLOOKUP(AD249,AA:AA,1,0)</f>
        <v>#N/A</v>
      </c>
    </row>
    <row r="250" customFormat="false" ht="13.5" hidden="false" customHeight="false" outlineLevel="0" collapsed="false">
      <c r="AD250" s="201" t="s">
        <v>273</v>
      </c>
      <c r="AE250" s="201" t="e">
        <f aca="false">VLOOKUP(AD250,AA:AA,1,0)</f>
        <v>#N/A</v>
      </c>
    </row>
    <row r="251" customFormat="false" ht="13.5" hidden="false" customHeight="false" outlineLevel="0" collapsed="false">
      <c r="AD251" s="201" t="s">
        <v>1239</v>
      </c>
      <c r="AE251" s="201" t="e">
        <f aca="false">VLOOKUP(AD251,AA:AA,1,0)</f>
        <v>#N/A</v>
      </c>
    </row>
    <row r="252" customFormat="false" ht="13.5" hidden="false" customHeight="false" outlineLevel="0" collapsed="false">
      <c r="AD252" s="201" t="s">
        <v>1244</v>
      </c>
      <c r="AE252" s="201" t="e">
        <f aca="false">VLOOKUP(AD252,AA:AA,1,0)</f>
        <v>#N/A</v>
      </c>
    </row>
    <row r="253" customFormat="false" ht="13.5" hidden="false" customHeight="false" outlineLevel="0" collapsed="false">
      <c r="AD253" s="201" t="s">
        <v>1246</v>
      </c>
      <c r="AE253" s="201" t="e">
        <f aca="false">VLOOKUP(AD253,AA:AA,1,0)</f>
        <v>#N/A</v>
      </c>
    </row>
    <row r="254" customFormat="false" ht="13.5" hidden="false" customHeight="false" outlineLevel="0" collapsed="false">
      <c r="AD254" s="201" t="s">
        <v>1250</v>
      </c>
      <c r="AE254" s="201" t="e">
        <f aca="false">VLOOKUP(AD254,AA:AA,1,0)</f>
        <v>#N/A</v>
      </c>
    </row>
    <row r="255" customFormat="false" ht="13.5" hidden="false" customHeight="false" outlineLevel="0" collapsed="false">
      <c r="AD255" s="201" t="s">
        <v>1252</v>
      </c>
      <c r="AE255" s="201" t="e">
        <f aca="false">VLOOKUP(AD255,AA:AA,1,0)</f>
        <v>#N/A</v>
      </c>
    </row>
    <row r="256" customFormat="false" ht="13.5" hidden="false" customHeight="false" outlineLevel="0" collapsed="false">
      <c r="AD256" s="201" t="s">
        <v>1255</v>
      </c>
      <c r="AE256" s="201" t="e">
        <f aca="false">VLOOKUP(AD256,AA:AA,1,0)</f>
        <v>#N/A</v>
      </c>
    </row>
    <row r="257" customFormat="false" ht="13.5" hidden="false" customHeight="false" outlineLevel="0" collapsed="false">
      <c r="AD257" s="201" t="s">
        <v>622</v>
      </c>
      <c r="AE257" s="201" t="e">
        <f aca="false">VLOOKUP(AD257,AA:AA,1,0)</f>
        <v>#N/A</v>
      </c>
    </row>
    <row r="258" customFormat="false" ht="13.5" hidden="false" customHeight="false" outlineLevel="0" collapsed="false">
      <c r="AD258" s="201" t="s">
        <v>1267</v>
      </c>
      <c r="AE258" s="201" t="e">
        <f aca="false">VLOOKUP(AD258,AA:AA,1,0)</f>
        <v>#N/A</v>
      </c>
    </row>
    <row r="259" customFormat="false" ht="13.5" hidden="false" customHeight="false" outlineLevel="0" collapsed="false">
      <c r="AD259" s="201" t="s">
        <v>1269</v>
      </c>
      <c r="AE259" s="201" t="e">
        <f aca="false">VLOOKUP(AD259,AA:AA,1,0)</f>
        <v>#N/A</v>
      </c>
    </row>
    <row r="260" customFormat="false" ht="13.5" hidden="false" customHeight="false" outlineLevel="0" collapsed="false">
      <c r="AD260" s="201" t="s">
        <v>1271</v>
      </c>
      <c r="AE260" s="201" t="e">
        <f aca="false">VLOOKUP(AD260,AA:AA,1,0)</f>
        <v>#N/A</v>
      </c>
    </row>
    <row r="261" customFormat="false" ht="13.5" hidden="false" customHeight="false" outlineLevel="0" collapsed="false">
      <c r="AD261" s="201" t="s">
        <v>1273</v>
      </c>
      <c r="AE261" s="201" t="e">
        <f aca="false">VLOOKUP(AD261,AA:AA,1,0)</f>
        <v>#N/A</v>
      </c>
    </row>
    <row r="262" customFormat="false" ht="13.5" hidden="false" customHeight="false" outlineLevel="0" collapsed="false">
      <c r="AD262" s="201" t="s">
        <v>1275</v>
      </c>
      <c r="AE262" s="201" t="e">
        <f aca="false">VLOOKUP(AD262,AA:AA,1,0)</f>
        <v>#N/A</v>
      </c>
    </row>
    <row r="263" customFormat="false" ht="13.5" hidden="false" customHeight="false" outlineLevel="0" collapsed="false">
      <c r="AD263" s="201" t="s">
        <v>1277</v>
      </c>
      <c r="AE263" s="201" t="e">
        <f aca="false">VLOOKUP(AD263,AA:AA,1,0)</f>
        <v>#N/A</v>
      </c>
    </row>
    <row r="264" customFormat="false" ht="13.5" hidden="false" customHeight="false" outlineLevel="0" collapsed="false">
      <c r="AD264" s="201" t="s">
        <v>1279</v>
      </c>
      <c r="AE264" s="201" t="e">
        <f aca="false">VLOOKUP(AD264,AA:AA,1,0)</f>
        <v>#N/A</v>
      </c>
    </row>
    <row r="265" customFormat="false" ht="13.5" hidden="false" customHeight="false" outlineLevel="0" collapsed="false">
      <c r="AD265" s="201" t="s">
        <v>1281</v>
      </c>
      <c r="AE265" s="201" t="e">
        <f aca="false">VLOOKUP(AD265,AA:AA,1,0)</f>
        <v>#N/A</v>
      </c>
    </row>
    <row r="266" customFormat="false" ht="13.5" hidden="false" customHeight="false" outlineLevel="0" collapsed="false">
      <c r="AD266" s="201" t="s">
        <v>1283</v>
      </c>
      <c r="AE266" s="201" t="e">
        <f aca="false">VLOOKUP(AD266,AA:AA,1,0)</f>
        <v>#N/A</v>
      </c>
    </row>
    <row r="267" customFormat="false" ht="13.5" hidden="false" customHeight="false" outlineLevel="0" collapsed="false">
      <c r="AD267" s="201" t="s">
        <v>1287</v>
      </c>
      <c r="AE267" s="201" t="e">
        <f aca="false">VLOOKUP(AD267,AA:AA,1,0)</f>
        <v>#N/A</v>
      </c>
    </row>
    <row r="268" customFormat="false" ht="13.5" hidden="false" customHeight="false" outlineLevel="0" collapsed="false">
      <c r="AD268" s="201" t="s">
        <v>1289</v>
      </c>
      <c r="AE268" s="201" t="e">
        <f aca="false">VLOOKUP(AD268,AA:AA,1,0)</f>
        <v>#N/A</v>
      </c>
    </row>
    <row r="269" customFormat="false" ht="13.5" hidden="false" customHeight="false" outlineLevel="0" collapsed="false">
      <c r="AD269" s="201" t="s">
        <v>1292</v>
      </c>
      <c r="AE269" s="201" t="e">
        <f aca="false">VLOOKUP(AD269,AA:AA,1,0)</f>
        <v>#N/A</v>
      </c>
    </row>
    <row r="270" customFormat="false" ht="13.5" hidden="false" customHeight="false" outlineLevel="0" collapsed="false">
      <c r="AD270" s="201" t="s">
        <v>1294</v>
      </c>
      <c r="AE270" s="201" t="e">
        <f aca="false">VLOOKUP(AD270,AA:AA,1,0)</f>
        <v>#N/A</v>
      </c>
    </row>
    <row r="271" customFormat="false" ht="13.5" hidden="false" customHeight="false" outlineLevel="0" collapsed="false">
      <c r="AD271" s="201" t="s">
        <v>1296</v>
      </c>
      <c r="AE271" s="201" t="e">
        <f aca="false">VLOOKUP(AD271,AA:AA,1,0)</f>
        <v>#N/A</v>
      </c>
    </row>
    <row r="272" customFormat="false" ht="13.5" hidden="false" customHeight="false" outlineLevel="0" collapsed="false">
      <c r="AD272" s="201" t="s">
        <v>1298</v>
      </c>
      <c r="AE272" s="201" t="e">
        <f aca="false">VLOOKUP(AD272,AA:AA,1,0)</f>
        <v>#N/A</v>
      </c>
    </row>
    <row r="273" customFormat="false" ht="13.5" hidden="false" customHeight="false" outlineLevel="0" collapsed="false">
      <c r="AD273" s="201" t="s">
        <v>1301</v>
      </c>
      <c r="AE273" s="201" t="e">
        <f aca="false">VLOOKUP(AD273,AA:AA,1,0)</f>
        <v>#N/A</v>
      </c>
    </row>
    <row r="274" customFormat="false" ht="13.5" hidden="false" customHeight="false" outlineLevel="0" collapsed="false">
      <c r="AD274" s="201" t="s">
        <v>1305</v>
      </c>
      <c r="AE274" s="201" t="e">
        <f aca="false">VLOOKUP(AD274,AA:AA,1,0)</f>
        <v>#N/A</v>
      </c>
    </row>
    <row r="275" customFormat="false" ht="13.5" hidden="false" customHeight="false" outlineLevel="0" collapsed="false">
      <c r="AD275" s="201" t="s">
        <v>1310</v>
      </c>
      <c r="AE275" s="201" t="e">
        <f aca="false">VLOOKUP(AD275,AA:AA,1,0)</f>
        <v>#N/A</v>
      </c>
    </row>
    <row r="276" customFormat="false" ht="13.5" hidden="false" customHeight="false" outlineLevel="0" collapsed="false">
      <c r="AD276" s="201" t="s">
        <v>1315</v>
      </c>
      <c r="AE276" s="201" t="e">
        <f aca="false">VLOOKUP(AD276,AA:AA,1,0)</f>
        <v>#N/A</v>
      </c>
    </row>
    <row r="277" customFormat="false" ht="13.5" hidden="false" customHeight="false" outlineLevel="0" collapsed="false">
      <c r="AD277" s="201" t="s">
        <v>1323</v>
      </c>
      <c r="AE277" s="201" t="e">
        <f aca="false">VLOOKUP(AD277,AA:AA,1,0)</f>
        <v>#N/A</v>
      </c>
    </row>
    <row r="278" customFormat="false" ht="13.5" hidden="false" customHeight="false" outlineLevel="0" collapsed="false">
      <c r="AD278" s="201" t="s">
        <v>1325</v>
      </c>
      <c r="AE278" s="201" t="e">
        <f aca="false">VLOOKUP(AD278,AA:AA,1,0)</f>
        <v>#N/A</v>
      </c>
    </row>
    <row r="279" customFormat="false" ht="13.5" hidden="false" customHeight="false" outlineLevel="0" collapsed="false">
      <c r="AD279" s="201" t="s">
        <v>1329</v>
      </c>
      <c r="AE279" s="201" t="e">
        <f aca="false">VLOOKUP(AD279,AA:AA,1,0)</f>
        <v>#N/A</v>
      </c>
    </row>
    <row r="280" customFormat="false" ht="13.5" hidden="false" customHeight="false" outlineLevel="0" collapsed="false">
      <c r="AD280" s="201" t="s">
        <v>1333</v>
      </c>
      <c r="AE280" s="201" t="e">
        <f aca="false">VLOOKUP(AD280,AA:AA,1,0)</f>
        <v>#N/A</v>
      </c>
    </row>
    <row r="281" customFormat="false" ht="13.5" hidden="false" customHeight="false" outlineLevel="0" collapsed="false">
      <c r="AD281" s="201" t="s">
        <v>1337</v>
      </c>
      <c r="AE281" s="201" t="e">
        <f aca="false">VLOOKUP(AD281,AA:AA,1,0)</f>
        <v>#N/A</v>
      </c>
    </row>
    <row r="282" customFormat="false" ht="13.5" hidden="false" customHeight="false" outlineLevel="0" collapsed="false">
      <c r="AD282" s="201" t="s">
        <v>1339</v>
      </c>
      <c r="AE282" s="201" t="e">
        <f aca="false">VLOOKUP(AD282,AA:AA,1,0)</f>
        <v>#N/A</v>
      </c>
    </row>
    <row r="283" customFormat="false" ht="13.5" hidden="false" customHeight="false" outlineLevel="0" collapsed="false">
      <c r="AD283" s="201" t="s">
        <v>1345</v>
      </c>
      <c r="AE283" s="201" t="e">
        <f aca="false">VLOOKUP(AD283,AA:AA,1,0)</f>
        <v>#N/A</v>
      </c>
    </row>
    <row r="284" customFormat="false" ht="13.5" hidden="false" customHeight="false" outlineLevel="0" collapsed="false">
      <c r="AD284" s="201" t="s">
        <v>1351</v>
      </c>
      <c r="AE284" s="201" t="e">
        <f aca="false">VLOOKUP(AD284,AA:AA,1,0)</f>
        <v>#N/A</v>
      </c>
    </row>
    <row r="285" customFormat="false" ht="13.5" hidden="false" customHeight="false" outlineLevel="0" collapsed="false">
      <c r="AD285" s="201" t="s">
        <v>1353</v>
      </c>
      <c r="AE285" s="201" t="e">
        <f aca="false">VLOOKUP(AD285,AA:AA,1,0)</f>
        <v>#N/A</v>
      </c>
    </row>
    <row r="286" customFormat="false" ht="13.5" hidden="false" customHeight="false" outlineLevel="0" collapsed="false">
      <c r="AD286" s="201" t="s">
        <v>1355</v>
      </c>
      <c r="AE286" s="201" t="e">
        <f aca="false">VLOOKUP(AD286,AA:AA,1,0)</f>
        <v>#N/A</v>
      </c>
    </row>
    <row r="287" customFormat="false" ht="13.5" hidden="false" customHeight="false" outlineLevel="0" collapsed="false">
      <c r="AD287" s="201" t="s">
        <v>1357</v>
      </c>
      <c r="AE287" s="201" t="e">
        <f aca="false">VLOOKUP(AD287,AA:AA,1,0)</f>
        <v>#N/A</v>
      </c>
    </row>
    <row r="288" customFormat="false" ht="13.5" hidden="false" customHeight="false" outlineLevel="0" collapsed="false">
      <c r="AD288" s="201" t="s">
        <v>1359</v>
      </c>
      <c r="AE288" s="201" t="e">
        <f aca="false">VLOOKUP(AD288,AA:AA,1,0)</f>
        <v>#N/A</v>
      </c>
    </row>
    <row r="289" customFormat="false" ht="13.5" hidden="false" customHeight="false" outlineLevel="0" collapsed="false">
      <c r="AD289" s="201" t="s">
        <v>1361</v>
      </c>
      <c r="AE289" s="201" t="e">
        <f aca="false">VLOOKUP(AD289,AA:AA,1,0)</f>
        <v>#N/A</v>
      </c>
    </row>
  </sheetData>
  <autoFilter ref="A1:AE290"/>
  <conditionalFormatting sqref="AA145">
    <cfRule type="duplicateValues" priority="2" aboveAverage="0" equalAverage="0" bottom="0" percent="0" rank="0" text="" dxfId="45"/>
  </conditionalFormatting>
  <conditionalFormatting sqref="AA85">
    <cfRule type="duplicateValues" priority="3" aboveAverage="0" equalAverage="0" bottom="0" percent="0" rank="0" text="" dxfId="46"/>
  </conditionalFormatting>
  <conditionalFormatting sqref="AA64:AA90">
    <cfRule type="duplicateValues" priority="4" aboveAverage="0" equalAverage="0" bottom="0" percent="0" rank="0" text="" dxfId="47"/>
  </conditionalFormatting>
  <conditionalFormatting sqref="AA2:AA90">
    <cfRule type="duplicateValues" priority="5" aboveAverage="0" equalAverage="0" bottom="0" percent="0" rank="0" text="" dxfId="48"/>
  </conditionalFormatting>
  <conditionalFormatting sqref="AA146:AA246 AA2:AA144">
    <cfRule type="duplicateValues" priority="6" aboveAverage="0" equalAverage="0" bottom="0" percent="0" rank="0" text="" dxfId="49"/>
  </conditionalFormatting>
  <conditionalFormatting sqref="AA146:AA246 AA91:AA144 AA46 AA2:AA40">
    <cfRule type="duplicateValues" priority="7" aboveAverage="0" equalAverage="0" bottom="0" percent="0" rank="0" text="" dxfId="50"/>
  </conditionalFormatting>
  <conditionalFormatting sqref="AA146:AA246 AA64:AA144 AA46 AA2:AA40">
    <cfRule type="duplicateValues" priority="8" aboveAverage="0" equalAverage="0" bottom="0" percent="0" rank="0" text="" dxfId="51"/>
    <cfRule type="duplicateValues" priority="9" aboveAverage="0" equalAverage="0" bottom="0" percent="0" rank="0" text="" dxfId="52"/>
  </conditionalFormatting>
  <conditionalFormatting sqref="X164">
    <cfRule type="duplicateValues" priority="10" aboveAverage="0" equalAverage="0" bottom="0" percent="0" rank="0" text="" dxfId="53"/>
  </conditionalFormatting>
  <conditionalFormatting sqref="X95">
    <cfRule type="duplicateValues" priority="11" aboveAverage="0" equalAverage="0" bottom="0" percent="0" rank="0" text="" dxfId="54"/>
  </conditionalFormatting>
  <conditionalFormatting sqref="X73:X100">
    <cfRule type="duplicateValues" priority="12" aboveAverage="0" equalAverage="0" bottom="0" percent="0" rank="0" text="" dxfId="55"/>
  </conditionalFormatting>
  <conditionalFormatting sqref="X2:X100">
    <cfRule type="duplicateValues" priority="13" aboveAverage="0" equalAverage="0" bottom="0" percent="0" rank="0" text="" dxfId="56"/>
  </conditionalFormatting>
  <conditionalFormatting sqref="X165:X226 X2:X163">
    <cfRule type="duplicateValues" priority="14" aboveAverage="0" equalAverage="0" bottom="0" percent="0" rank="0" text="" dxfId="57"/>
  </conditionalFormatting>
  <conditionalFormatting sqref="X165:X226 X101:X163 X51 X2:X44">
    <cfRule type="duplicateValues" priority="15" aboveAverage="0" equalAverage="0" bottom="0" percent="0" rank="0" text="" dxfId="58"/>
  </conditionalFormatting>
  <conditionalFormatting sqref="X165:X226 X73:X163 X51 X2:X44">
    <cfRule type="duplicateValues" priority="16" aboveAverage="0" equalAverage="0" bottom="0" percent="0" rank="0" text="" dxfId="59"/>
    <cfRule type="duplicateValues" priority="17" aboveAverage="0" equalAverage="0" bottom="0" percent="0" rank="0" text="" dxfId="60"/>
  </conditionalFormatting>
  <conditionalFormatting sqref="U96">
    <cfRule type="duplicateValues" priority="18" aboveAverage="0" equalAverage="0" bottom="0" percent="0" rank="0" text="" dxfId="61"/>
  </conditionalFormatting>
  <conditionalFormatting sqref="U74:U101">
    <cfRule type="duplicateValues" priority="19" aboveAverage="0" equalAverage="0" bottom="0" percent="0" rank="0" text="" dxfId="62"/>
  </conditionalFormatting>
  <conditionalFormatting sqref="U128:U157 U2:U126">
    <cfRule type="duplicateValues" priority="20" aboveAverage="0" equalAverage="0" bottom="0" percent="0" rank="0" text="" dxfId="63"/>
  </conditionalFormatting>
  <conditionalFormatting sqref="U128:U157 U102:U126 U2:U46">
    <cfRule type="duplicateValues" priority="21" aboveAverage="0" equalAverage="0" bottom="0" percent="0" rank="0" text="" dxfId="64"/>
  </conditionalFormatting>
  <conditionalFormatting sqref="U128:U157 U74:U126 U2:U46">
    <cfRule type="duplicateValues" priority="22" aboveAverage="0" equalAverage="0" bottom="0" percent="0" rank="0" text="" dxfId="65"/>
    <cfRule type="duplicateValues" priority="23" aboveAverage="0" equalAverage="0" bottom="0" percent="0" rank="0" text="" dxfId="66"/>
  </conditionalFormatting>
  <conditionalFormatting sqref="S115">
    <cfRule type="duplicateValues" priority="24" aboveAverage="0" equalAverage="0" bottom="0" percent="0" rank="0" text="" dxfId="67"/>
    <cfRule type="duplicateValues" priority="25" aboveAverage="0" equalAverage="0" bottom="0" percent="0" rank="0" text="" dxfId="68"/>
    <cfRule type="duplicateValues" priority="26" aboveAverage="0" equalAverage="0" bottom="0" percent="0" rank="0" text="" dxfId="69"/>
    <cfRule type="duplicateValues" priority="27" aboveAverage="0" equalAverage="0" bottom="0" percent="0" rank="0" text="" dxfId="70"/>
    <cfRule type="duplicateValues" priority="28" aboveAverage="0" equalAverage="0" bottom="0" percent="0" rank="0" text="" dxfId="71"/>
  </conditionalFormatting>
  <conditionalFormatting sqref="S102">
    <cfRule type="duplicateValues" priority="29" aboveAverage="0" equalAverage="0" bottom="0" percent="0" rank="0" text="" dxfId="72"/>
  </conditionalFormatting>
  <conditionalFormatting sqref="S78:S107">
    <cfRule type="duplicateValues" priority="30" aboveAverage="0" equalAverage="0" bottom="0" percent="0" rank="0" text="" dxfId="73"/>
  </conditionalFormatting>
  <conditionalFormatting sqref="S108:S114 S93 S2:S50 S116:S143">
    <cfRule type="duplicateValues" priority="31" aboveAverage="0" equalAverage="0" bottom="0" percent="0" rank="0" text="" dxfId="74"/>
  </conditionalFormatting>
  <conditionalFormatting sqref="S78:S114 S2:S50 S116:S143">
    <cfRule type="duplicateValues" priority="32" aboveAverage="0" equalAverage="0" bottom="0" percent="0" rank="0" text="" dxfId="75"/>
    <cfRule type="duplicateValues" priority="33" aboveAverage="0" equalAverage="0" bottom="0" percent="0" rank="0" text="" dxfId="76"/>
  </conditionalFormatting>
  <conditionalFormatting sqref="S116:S143 S2:S114">
    <cfRule type="duplicateValues" priority="34" aboveAverage="0" equalAverage="0" bottom="0" percent="0" rank="0" text="" dxfId="77"/>
  </conditionalFormatting>
  <conditionalFormatting sqref="P99">
    <cfRule type="duplicateValues" priority="35" aboveAverage="0" equalAverage="0" bottom="0" percent="0" rank="0" text="" dxfId="78"/>
    <cfRule type="duplicateValues" priority="36" aboveAverage="0" equalAverage="0" bottom="0" percent="0" rank="0" text="" dxfId="79"/>
    <cfRule type="duplicateValues" priority="37" aboveAverage="0" equalAverage="0" bottom="0" percent="0" rank="0" text="" dxfId="80"/>
    <cfRule type="duplicateValues" priority="38" aboveAverage="0" equalAverage="0" bottom="0" percent="0" rank="0" text="" dxfId="81"/>
    <cfRule type="duplicateValues" priority="39" aboveAverage="0" equalAverage="0" bottom="0" percent="0" rank="0" text="" dxfId="82"/>
  </conditionalFormatting>
  <conditionalFormatting sqref="P120">
    <cfRule type="duplicateValues" priority="40" aboveAverage="0" equalAverage="0" bottom="0" percent="0" rank="0" text="" dxfId="83"/>
  </conditionalFormatting>
  <conditionalFormatting sqref="P126 P2:P58">
    <cfRule type="duplicateValues" priority="41" aboveAverage="0" equalAverage="0" bottom="0" percent="0" rank="0" text="" dxfId="84"/>
  </conditionalFormatting>
  <conditionalFormatting sqref="P100:P126 P2:P98">
    <cfRule type="duplicateValues" priority="42" aboveAverage="0" equalAverage="0" bottom="0" percent="0" rank="0" text="" dxfId="85"/>
  </conditionalFormatting>
  <conditionalFormatting sqref="P98 P100:P125">
    <cfRule type="duplicateValues" priority="43" aboveAverage="0" equalAverage="0" bottom="0" percent="0" rank="0" text="" dxfId="86"/>
  </conditionalFormatting>
  <conditionalFormatting sqref="P100:P125 P2:P98">
    <cfRule type="duplicateValues" priority="44" aboveAverage="0" equalAverage="0" bottom="0" percent="0" rank="0" text="" dxfId="87"/>
  </conditionalFormatting>
  <conditionalFormatting sqref="P98 P2:P58 P100:P126">
    <cfRule type="duplicateValues" priority="45" aboveAverage="0" equalAverage="0" bottom="0" percent="0" rank="0" text="" dxfId="88"/>
    <cfRule type="duplicateValues" priority="46" aboveAverage="0" equalAverage="0" bottom="0" percent="0" rank="0" text="" dxfId="89"/>
  </conditionalFormatting>
  <conditionalFormatting sqref="M100">
    <cfRule type="duplicateValues" priority="47" aboveAverage="0" equalAverage="0" bottom="0" percent="0" rank="0" text="" dxfId="90"/>
  </conditionalFormatting>
  <conditionalFormatting sqref="M108 M78 M2:M71">
    <cfRule type="duplicateValues" priority="48" aboveAverage="0" equalAverage="0" bottom="0" percent="0" rank="0" text="" dxfId="91"/>
  </conditionalFormatting>
  <conditionalFormatting sqref="M2:M108">
    <cfRule type="duplicateValues" priority="49" aboveAverage="0" equalAverage="0" bottom="0" percent="0" rank="0" text="" dxfId="92"/>
  </conditionalFormatting>
  <conditionalFormatting sqref="M74:M108 M2:M71">
    <cfRule type="duplicateValues" priority="50" aboveAverage="0" equalAverage="0" bottom="0" percent="0" rank="0" text="" dxfId="93"/>
    <cfRule type="duplicateValues" priority="51" aboveAverage="0" equalAverage="0" bottom="0" percent="0" rank="0" text="" dxfId="94"/>
  </conditionalFormatting>
  <conditionalFormatting sqref="M74:M107">
    <cfRule type="duplicateValues" priority="52" aboveAverage="0" equalAverage="0" bottom="0" percent="0" rank="0" text="" dxfId="95"/>
  </conditionalFormatting>
  <conditionalFormatting sqref="M2:M107">
    <cfRule type="duplicateValues" priority="53" aboveAverage="0" equalAverage="0" bottom="0" percent="0" rank="0" text="" dxfId="96"/>
  </conditionalFormatting>
  <conditionalFormatting sqref="J43">
    <cfRule type="duplicateValues" priority="54" aboveAverage="0" equalAverage="0" bottom="0" percent="0" rank="0" text="" dxfId="97"/>
  </conditionalFormatting>
  <conditionalFormatting sqref="J31 J18 J2:J11">
    <cfRule type="duplicateValues" priority="55" aboveAverage="0" equalAverage="0" bottom="0" percent="0" rank="0" text="" dxfId="98"/>
  </conditionalFormatting>
  <conditionalFormatting sqref="G38:G1048576 G1:G36">
    <cfRule type="duplicateValues" priority="56" aboveAverage="0" equalAverage="0" bottom="0" percent="0" rank="0" text="" dxfId="99"/>
  </conditionalFormatting>
  <conditionalFormatting sqref="G32:G35">
    <cfRule type="duplicateValues" priority="57" aboveAverage="0" equalAverage="0" bottom="0" percent="0" rank="0" text="" dxfId="100"/>
  </conditionalFormatting>
  <conditionalFormatting sqref="G24">
    <cfRule type="duplicateValues" priority="58" aboveAverage="0" equalAverage="0" bottom="0" percent="0" rank="0" text="" dxfId="101"/>
  </conditionalFormatting>
  <conditionalFormatting sqref="G23:G36 G9:G21">
    <cfRule type="duplicateValues" priority="59" aboveAverage="0" equalAverage="0" bottom="0" percent="0" rank="0" text="" dxfId="102"/>
  </conditionalFormatting>
  <conditionalFormatting sqref="G23:G35 G2:G21">
    <cfRule type="duplicateValues" priority="60" aboveAverage="0" equalAverage="0" bottom="0" percent="0" rank="0" text="" dxfId="103"/>
  </conditionalFormatting>
  <conditionalFormatting sqref="G23:G36 G2:G21">
    <cfRule type="duplicateValues" priority="61" aboveAverage="0" equalAverage="0" bottom="0" percent="0" rank="0" text="" dxfId="104"/>
  </conditionalFormatting>
  <conditionalFormatting sqref="G15 G2:G7">
    <cfRule type="duplicateValues" priority="62" aboveAverage="0" equalAverage="0" bottom="0" percent="0" rank="0" text="" dxfId="105"/>
  </conditionalFormatting>
  <conditionalFormatting sqref="G23:G36 G9:G21 G2:G7">
    <cfRule type="duplicateValues" priority="63" aboveAverage="0" equalAverage="0" bottom="0" percent="0" rank="0" text="" dxfId="106"/>
    <cfRule type="duplicateValues" priority="64" aboveAverage="0" equalAverage="0" bottom="0" percent="0" rank="0" text="" dxfId="107"/>
  </conditionalFormatting>
  <conditionalFormatting sqref="D14">
    <cfRule type="duplicateValues" priority="65" aboveAverage="0" equalAverage="0" bottom="0" percent="0" rank="0" text="" dxfId="108"/>
  </conditionalFormatting>
  <conditionalFormatting sqref="D12">
    <cfRule type="duplicateValues" priority="66" aboveAverage="0" equalAverage="0" bottom="0" percent="0" rank="0" text="" dxfId="109"/>
  </conditionalFormatting>
  <conditionalFormatting sqref="D2:D6">
    <cfRule type="duplicateValues" priority="67" aboveAverage="0" equalAverage="0" bottom="0" percent="0" rank="0" text="" dxfId="110"/>
  </conditionalFormatting>
  <conditionalFormatting sqref="D17:D20">
    <cfRule type="duplicateValues" priority="68" aboveAverage="0" equalAverage="0" bottom="0" percent="0" rank="0" text="" dxfId="111"/>
  </conditionalFormatting>
  <conditionalFormatting sqref="D8:D20 D2:D6">
    <cfRule type="duplicateValues" priority="69" aboveAverage="0" equalAverage="0" bottom="0" percent="0" rank="0" text="" dxfId="112"/>
  </conditionalFormatting>
  <conditionalFormatting sqref="D8:D21 D2:D6">
    <cfRule type="duplicateValues" priority="70" aboveAverage="0" equalAverage="0" bottom="0" percent="0" rank="0" text="" dxfId="113"/>
    <cfRule type="duplicateValues" priority="71" aboveAverage="0" equalAverage="0" bottom="0" percent="0" rank="0" text="" dxfId="114"/>
    <cfRule type="duplicateValues" priority="72" aboveAverage="0" equalAverage="0" bottom="0" percent="0" rank="0" text="" dxfId="115"/>
  </conditionalFormatting>
  <conditionalFormatting sqref="D8:D21">
    <cfRule type="duplicateValues" priority="73" aboveAverage="0" equalAverage="0" bottom="0" percent="0" rank="0" text="" dxfId="116"/>
  </conditionalFormatting>
  <conditionalFormatting sqref="J41:J58 J2:J39">
    <cfRule type="duplicateValues" priority="74" aboveAverage="0" equalAverage="0" bottom="0" percent="0" rank="0" text="" dxfId="117"/>
  </conditionalFormatting>
  <conditionalFormatting sqref="J41:J58 J13:J39 J2:J11">
    <cfRule type="duplicateValues" priority="75" aboveAverage="0" equalAverage="0" bottom="0" percent="0" rank="0" text="" dxfId="118"/>
    <cfRule type="duplicateValues" priority="76" aboveAverage="0" equalAverage="0" bottom="0" percent="0" rank="0" text="" dxfId="119"/>
  </conditionalFormatting>
  <conditionalFormatting sqref="J41:J58">
    <cfRule type="duplicateValues" priority="77" aboveAverage="0" equalAverage="0" bottom="0" percent="0" rank="0" text="" dxfId="120"/>
  </conditionalFormatting>
  <conditionalFormatting sqref="J41:J58 J13:J39">
    <cfRule type="duplicateValues" priority="78" aboveAverage="0" equalAverage="0" bottom="0" percent="0" rank="0" text="" dxfId="121"/>
  </conditionalFormatting>
  <conditionalFormatting sqref="J53:J58">
    <cfRule type="duplicateValues" priority="79" aboveAverage="0" equalAverage="0" bottom="0" percent="0" rank="0" text="" dxfId="122"/>
  </conditionalFormatting>
  <conditionalFormatting sqref="S2:S107">
    <cfRule type="duplicateValues" priority="80" aboveAverage="0" equalAverage="0" bottom="0" percent="0" rank="0" text="" dxfId="123"/>
  </conditionalFormatting>
  <conditionalFormatting sqref="U2:U101">
    <cfRule type="duplicateValues" priority="81" aboveAverage="0" equalAverage="0" bottom="0" percent="0" rank="0" text="" dxfId="124"/>
  </conditionalFormatting>
  <conditionalFormatting sqref="U198:U1048576 U159:U196 U1:U157">
    <cfRule type="duplicateValues" priority="82" aboveAverage="0" equalAverage="0" bottom="0" percent="0" rank="0" text="" dxfId="125"/>
  </conditionalFormatting>
  <hyperlinks>
    <hyperlink ref="U29" r:id="rId2" location="/contacts/2297152000000117207" display="Sagar Sheth"/>
    <hyperlink ref="M38" r:id="rId3" location="/contacts/2297152000000117207" display="Spark Legal"/>
    <hyperlink ref="P41" r:id="rId4" location="/contacts/2297152000000117207" display="SINHA &amp; COMPANY&#10;"/>
    <hyperlink ref="S48" r:id="rId5" location="/contacts/2297152000000117207" display="Kajol Punjabi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  <legacy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2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L5" activeCellId="1" sqref="AC4:AE412 L5"/>
    </sheetView>
  </sheetViews>
  <sheetFormatPr defaultColWidth="8.73046875" defaultRowHeight="13.5" zeroHeight="false" outlineLevelRow="0" outlineLevelCol="0"/>
  <cols>
    <col collapsed="false" customWidth="false" hidden="false" outlineLevel="0" max="2" min="1" style="53" width="8.73"/>
    <col collapsed="false" customWidth="true" hidden="false" outlineLevel="0" max="3" min="3" style="53" width="33.9"/>
    <col collapsed="false" customWidth="true" hidden="false" outlineLevel="0" max="4" min="4" style="53" width="30.82"/>
    <col collapsed="false" customWidth="true" hidden="false" outlineLevel="0" max="5" min="5" style="53" width="13.82"/>
    <col collapsed="false" customWidth="true" hidden="false" outlineLevel="0" max="6" min="6" style="53" width="31.18"/>
    <col collapsed="false" customWidth="true" hidden="false" outlineLevel="0" max="7" min="7" style="53" width="25.54"/>
    <col collapsed="false" customWidth="true" hidden="false" outlineLevel="0" max="8" min="8" style="53" width="28.36"/>
    <col collapsed="false" customWidth="true" hidden="false" outlineLevel="0" max="9" min="9" style="53" width="43.73"/>
    <col collapsed="false" customWidth="true" hidden="false" outlineLevel="0" max="10" min="10" style="53" width="34.91"/>
    <col collapsed="false" customWidth="true" hidden="false" outlineLevel="0" max="11" min="11" style="53" width="33.45"/>
    <col collapsed="false" customWidth="false" hidden="false" outlineLevel="0" max="16384" min="12" style="53" width="8.73"/>
  </cols>
  <sheetData>
    <row r="1" customFormat="false" ht="19.7" hidden="false" customHeight="false" outlineLevel="0" collapsed="false">
      <c r="B1" s="3" t="s">
        <v>0</v>
      </c>
      <c r="C1" s="3"/>
      <c r="D1" s="3"/>
      <c r="E1" s="3"/>
      <c r="F1" s="3"/>
    </row>
    <row r="2" customFormat="false" ht="13.5" hidden="false" customHeight="false" outlineLevel="0" collapsed="false">
      <c r="B2" s="55" t="s">
        <v>1372</v>
      </c>
      <c r="C2" s="55"/>
      <c r="D2" s="55"/>
      <c r="E2" s="55"/>
      <c r="F2" s="55"/>
      <c r="G2" s="55"/>
    </row>
    <row r="3" customFormat="false" ht="13.5" hidden="false" customHeight="false" outlineLevel="0" collapsed="false">
      <c r="G3" s="55"/>
    </row>
    <row r="4" customFormat="false" ht="13.5" hidden="false" customHeight="false" outlineLevel="0" collapsed="false">
      <c r="B4" s="220" t="s">
        <v>1373</v>
      </c>
      <c r="C4" s="221" t="n">
        <v>45658</v>
      </c>
      <c r="D4" s="221" t="n">
        <v>45689</v>
      </c>
      <c r="E4" s="221" t="n">
        <v>45717</v>
      </c>
      <c r="F4" s="221" t="n">
        <v>45748</v>
      </c>
      <c r="G4" s="221" t="n">
        <v>45778</v>
      </c>
      <c r="H4" s="221" t="n">
        <v>45809</v>
      </c>
      <c r="I4" s="221" t="n">
        <v>45839</v>
      </c>
      <c r="J4" s="221" t="n">
        <v>45870</v>
      </c>
      <c r="K4" s="221" t="n">
        <v>45901</v>
      </c>
      <c r="L4" s="222" t="n">
        <v>45931</v>
      </c>
      <c r="O4" s="223"/>
    </row>
    <row r="5" customFormat="false" ht="13.5" hidden="false" customHeight="false" outlineLevel="0" collapsed="false">
      <c r="B5" s="224" t="n">
        <v>1</v>
      </c>
      <c r="C5" s="151" t="s">
        <v>412</v>
      </c>
      <c r="D5" s="151" t="s">
        <v>478</v>
      </c>
      <c r="E5" s="151" t="s">
        <v>189</v>
      </c>
      <c r="F5" s="53" t="s">
        <v>396</v>
      </c>
      <c r="G5" s="161" t="s">
        <v>418</v>
      </c>
      <c r="H5" s="128" t="s">
        <v>120</v>
      </c>
      <c r="I5" s="128" t="s">
        <v>116</v>
      </c>
      <c r="J5" s="128" t="s">
        <v>159</v>
      </c>
      <c r="K5" s="225" t="s">
        <v>677</v>
      </c>
      <c r="L5" s="128" t="s">
        <v>331</v>
      </c>
    </row>
    <row r="6" customFormat="false" ht="13.5" hidden="false" customHeight="false" outlineLevel="0" collapsed="false">
      <c r="B6" s="224" t="n">
        <f aca="false">B5+1</f>
        <v>2</v>
      </c>
      <c r="C6" s="151" t="s">
        <v>1059</v>
      </c>
      <c r="D6" s="151" t="s">
        <v>391</v>
      </c>
      <c r="E6" s="151" t="s">
        <v>481</v>
      </c>
      <c r="G6" s="161" t="s">
        <v>423</v>
      </c>
      <c r="H6" s="145" t="s">
        <v>136</v>
      </c>
      <c r="I6" s="145" t="s">
        <v>140</v>
      </c>
      <c r="J6" s="128" t="s">
        <v>199</v>
      </c>
      <c r="K6" s="225" t="s">
        <v>600</v>
      </c>
      <c r="L6" s="128" t="s">
        <v>683</v>
      </c>
    </row>
    <row r="7" customFormat="false" ht="13.5" hidden="false" customHeight="false" outlineLevel="0" collapsed="false">
      <c r="B7" s="224" t="n">
        <f aca="false">B6+1</f>
        <v>3</v>
      </c>
      <c r="C7" s="151" t="s">
        <v>501</v>
      </c>
      <c r="D7" s="151" t="s">
        <v>370</v>
      </c>
      <c r="E7" s="225"/>
      <c r="F7" s="151"/>
      <c r="G7" s="161" t="s">
        <v>466</v>
      </c>
      <c r="H7" s="128" t="s">
        <v>166</v>
      </c>
      <c r="I7" s="128" t="s">
        <v>142</v>
      </c>
      <c r="J7" s="128" t="s">
        <v>205</v>
      </c>
      <c r="K7" s="225" t="s">
        <v>375</v>
      </c>
      <c r="L7" s="128" t="s">
        <v>771</v>
      </c>
    </row>
    <row r="8" customFormat="false" ht="13.5" hidden="false" customHeight="false" outlineLevel="0" collapsed="false">
      <c r="B8" s="224" t="n">
        <f aca="false">B7+1</f>
        <v>4</v>
      </c>
      <c r="C8" s="151" t="s">
        <v>498</v>
      </c>
      <c r="D8" s="151" t="s">
        <v>476</v>
      </c>
      <c r="E8" s="151"/>
      <c r="F8" s="151"/>
      <c r="G8" s="145" t="s">
        <v>468</v>
      </c>
      <c r="H8" s="128" t="s">
        <v>168</v>
      </c>
      <c r="I8" s="128" t="s">
        <v>275</v>
      </c>
      <c r="J8" s="128" t="s">
        <v>354</v>
      </c>
      <c r="K8" s="225" t="s">
        <v>303</v>
      </c>
      <c r="L8" s="128" t="s">
        <v>775</v>
      </c>
    </row>
    <row r="9" customFormat="false" ht="13.5" hidden="false" customHeight="false" outlineLevel="0" collapsed="false">
      <c r="B9" s="224" t="n">
        <f aca="false">B8+1</f>
        <v>5</v>
      </c>
      <c r="C9" s="151"/>
      <c r="D9" s="151" t="s">
        <v>470</v>
      </c>
      <c r="E9" s="225"/>
      <c r="F9" s="151"/>
      <c r="G9" s="161" t="s">
        <v>470</v>
      </c>
      <c r="H9" s="128" t="s">
        <v>170</v>
      </c>
      <c r="I9" s="128" t="s">
        <v>301</v>
      </c>
      <c r="J9" s="145" t="s">
        <v>247</v>
      </c>
      <c r="K9" s="225" t="s">
        <v>612</v>
      </c>
      <c r="L9" s="128" t="s">
        <v>793</v>
      </c>
    </row>
    <row r="10" customFormat="false" ht="13.5" hidden="false" customHeight="false" outlineLevel="0" collapsed="false">
      <c r="B10" s="224" t="n">
        <f aca="false">B9+1</f>
        <v>6</v>
      </c>
      <c r="C10" s="151"/>
      <c r="D10" s="224"/>
      <c r="E10" s="224"/>
      <c r="F10" s="151"/>
      <c r="G10" s="161" t="s">
        <v>486</v>
      </c>
      <c r="H10" s="128" t="s">
        <v>172</v>
      </c>
      <c r="I10" s="128" t="s">
        <v>305</v>
      </c>
      <c r="J10" s="128" t="s">
        <v>511</v>
      </c>
      <c r="K10" s="225" t="s">
        <v>370</v>
      </c>
      <c r="L10" s="128" t="s">
        <v>797</v>
      </c>
    </row>
    <row r="11" customFormat="false" ht="13.5" hidden="false" customHeight="false" outlineLevel="0" collapsed="false">
      <c r="B11" s="224" t="n">
        <f aca="false">B10+1</f>
        <v>7</v>
      </c>
      <c r="C11" s="225"/>
      <c r="D11" s="224"/>
      <c r="E11" s="224"/>
      <c r="F11" s="151"/>
      <c r="G11" s="161" t="s">
        <v>488</v>
      </c>
      <c r="H11" s="128" t="s">
        <v>193</v>
      </c>
      <c r="I11" s="128" t="s">
        <v>313</v>
      </c>
      <c r="J11" s="128" t="s">
        <v>528</v>
      </c>
      <c r="K11" s="225" t="s">
        <v>666</v>
      </c>
    </row>
    <row r="12" customFormat="false" ht="13.5" hidden="false" customHeight="false" outlineLevel="0" collapsed="false">
      <c r="B12" s="224" t="n">
        <f aca="false">B11+1</f>
        <v>8</v>
      </c>
      <c r="C12" s="225"/>
      <c r="D12" s="224"/>
      <c r="E12" s="224"/>
      <c r="F12" s="151"/>
      <c r="G12" s="160" t="s">
        <v>490</v>
      </c>
      <c r="H12" s="128" t="s">
        <v>195</v>
      </c>
      <c r="I12" s="128" t="s">
        <v>358</v>
      </c>
      <c r="J12" s="128" t="s">
        <v>532</v>
      </c>
      <c r="K12" s="225" t="s">
        <v>230</v>
      </c>
    </row>
    <row r="13" customFormat="false" ht="13.5" hidden="false" customHeight="false" outlineLevel="0" collapsed="false">
      <c r="B13" s="224" t="n">
        <f aca="false">B12+1</f>
        <v>9</v>
      </c>
      <c r="C13" s="224"/>
      <c r="D13" s="224"/>
      <c r="E13" s="224"/>
      <c r="F13" s="151"/>
      <c r="G13" s="160" t="s">
        <v>492</v>
      </c>
      <c r="H13" s="128" t="s">
        <v>201</v>
      </c>
      <c r="I13" s="128" t="s">
        <v>360</v>
      </c>
      <c r="J13" s="128" t="s">
        <v>542</v>
      </c>
      <c r="K13" s="225" t="s">
        <v>620</v>
      </c>
    </row>
    <row r="14" customFormat="false" ht="13.5" hidden="false" customHeight="false" outlineLevel="0" collapsed="false">
      <c r="B14" s="224" t="n">
        <f aca="false">B13+1</f>
        <v>10</v>
      </c>
      <c r="C14" s="224"/>
      <c r="D14" s="224"/>
      <c r="E14" s="224"/>
      <c r="F14" s="225"/>
      <c r="G14" s="160" t="s">
        <v>503</v>
      </c>
      <c r="H14" s="128" t="s">
        <v>203</v>
      </c>
      <c r="I14" s="128" t="s">
        <v>364</v>
      </c>
      <c r="J14" s="128" t="s">
        <v>556</v>
      </c>
      <c r="K14" s="225" t="s">
        <v>346</v>
      </c>
    </row>
    <row r="15" customFormat="false" ht="13.5" hidden="false" customHeight="false" outlineLevel="0" collapsed="false">
      <c r="B15" s="224" t="n">
        <f aca="false">B14+1</f>
        <v>11</v>
      </c>
      <c r="C15" s="224"/>
      <c r="D15" s="224"/>
      <c r="E15" s="224"/>
      <c r="F15" s="225"/>
      <c r="G15" s="160" t="s">
        <v>506</v>
      </c>
      <c r="H15" s="128" t="s">
        <v>236</v>
      </c>
      <c r="I15" s="128" t="s">
        <v>401</v>
      </c>
      <c r="J15" s="128" t="s">
        <v>573</v>
      </c>
      <c r="K15" s="225" t="s">
        <v>344</v>
      </c>
    </row>
    <row r="16" customFormat="false" ht="13.5" hidden="false" customHeight="false" outlineLevel="0" collapsed="false">
      <c r="B16" s="224" t="n">
        <f aca="false">B15+1</f>
        <v>12</v>
      </c>
      <c r="C16" s="224"/>
      <c r="D16" s="224"/>
      <c r="E16" s="224"/>
      <c r="F16" s="225"/>
      <c r="H16" s="128" t="s">
        <v>271</v>
      </c>
      <c r="I16" s="128"/>
      <c r="J16" s="128" t="s">
        <v>579</v>
      </c>
      <c r="K16" s="225" t="s">
        <v>622</v>
      </c>
    </row>
    <row r="17" customFormat="false" ht="13.5" hidden="false" customHeight="false" outlineLevel="0" collapsed="false">
      <c r="B17" s="224" t="n">
        <f aca="false">B16+1</f>
        <v>13</v>
      </c>
      <c r="C17" s="224"/>
      <c r="D17" s="224"/>
      <c r="E17" s="224"/>
      <c r="F17" s="225"/>
      <c r="G17" s="161"/>
      <c r="H17" s="128" t="s">
        <v>273</v>
      </c>
      <c r="I17" s="128"/>
      <c r="J17" s="128" t="s">
        <v>587</v>
      </c>
      <c r="K17" s="225" t="s">
        <v>149</v>
      </c>
    </row>
    <row r="18" customFormat="false" ht="13.5" hidden="false" customHeight="false" outlineLevel="0" collapsed="false">
      <c r="B18" s="224" t="n">
        <f aca="false">B17+1</f>
        <v>14</v>
      </c>
      <c r="C18" s="225"/>
      <c r="D18" s="225"/>
      <c r="E18" s="225"/>
      <c r="F18" s="225"/>
      <c r="G18" s="225"/>
      <c r="H18" s="128" t="s">
        <v>412</v>
      </c>
      <c r="I18" s="128"/>
      <c r="J18" s="225" t="s">
        <v>316</v>
      </c>
      <c r="K18" s="225"/>
    </row>
    <row r="19" customFormat="false" ht="13.5" hidden="false" customHeight="false" outlineLevel="0" collapsed="false">
      <c r="B19" s="224" t="n">
        <f aca="false">B18+1</f>
        <v>15</v>
      </c>
      <c r="C19" s="225"/>
      <c r="D19" s="225"/>
      <c r="E19" s="225"/>
      <c r="F19" s="225"/>
      <c r="G19" s="225"/>
      <c r="H19" s="128" t="s">
        <v>455</v>
      </c>
      <c r="I19" s="128"/>
      <c r="J19" s="225"/>
      <c r="K19" s="225"/>
    </row>
    <row r="20" customFormat="false" ht="13.5" hidden="false" customHeight="false" outlineLevel="0" collapsed="false">
      <c r="B20" s="224" t="n">
        <f aca="false">B19+1</f>
        <v>16</v>
      </c>
      <c r="C20" s="225"/>
      <c r="D20" s="225"/>
      <c r="E20" s="225"/>
      <c r="F20" s="225"/>
      <c r="G20" s="225"/>
      <c r="H20" s="225" t="s">
        <v>483</v>
      </c>
      <c r="I20" s="225"/>
      <c r="J20" s="225"/>
      <c r="K20" s="225"/>
    </row>
    <row r="21" customFormat="false" ht="13.5" hidden="false" customHeight="false" outlineLevel="0" collapsed="false">
      <c r="B21" s="224" t="n">
        <f aca="false">B20+1</f>
        <v>17</v>
      </c>
      <c r="C21" s="225"/>
      <c r="D21" s="225"/>
      <c r="E21" s="225"/>
      <c r="F21" s="225"/>
      <c r="G21" s="225"/>
      <c r="H21" s="159" t="s">
        <v>187</v>
      </c>
      <c r="I21" s="225"/>
      <c r="J21" s="225"/>
      <c r="K21" s="225"/>
    </row>
    <row r="22" customFormat="false" ht="13.5" hidden="false" customHeight="false" outlineLevel="0" collapsed="false">
      <c r="B22" s="224" t="n">
        <f aca="false">B21+1</f>
        <v>18</v>
      </c>
      <c r="C22" s="225"/>
      <c r="D22" s="225"/>
      <c r="E22" s="225"/>
      <c r="F22" s="225"/>
      <c r="G22" s="225"/>
      <c r="H22" s="225"/>
      <c r="I22" s="225"/>
      <c r="J22" s="225"/>
      <c r="K22" s="225"/>
    </row>
  </sheetData>
  <conditionalFormatting sqref="L6:L10">
    <cfRule type="duplicateValues" priority="2" aboveAverage="0" equalAverage="0" bottom="0" percent="0" rank="0" text="" dxfId="126"/>
    <cfRule type="duplicateValues" priority="3" aboveAverage="0" equalAverage="0" bottom="0" percent="0" rank="0" text="" dxfId="127"/>
    <cfRule type="duplicateValues" priority="4" aboveAverage="0" equalAverage="0" bottom="0" percent="0" rank="0" text="" dxfId="128"/>
  </conditionalFormatting>
  <conditionalFormatting sqref="L5">
    <cfRule type="duplicateValues" priority="5" aboveAverage="0" equalAverage="0" bottom="0" percent="0" rank="0" text="" dxfId="129"/>
  </conditionalFormatting>
  <conditionalFormatting sqref="L5:L10">
    <cfRule type="duplicateValues" priority="6" aboveAverage="0" equalAverage="0" bottom="0" percent="0" rank="0" text="" dxfId="130"/>
  </conditionalFormatting>
  <conditionalFormatting sqref="J9">
    <cfRule type="duplicateValues" priority="7" aboveAverage="0" equalAverage="0" bottom="0" percent="0" rank="0" text="" dxfId="131"/>
  </conditionalFormatting>
  <conditionalFormatting sqref="J5:J17">
    <cfRule type="duplicateValues" priority="8" aboveAverage="0" equalAverage="0" bottom="0" percent="0" rank="0" text="" dxfId="132"/>
    <cfRule type="duplicateValues" priority="9" aboveAverage="0" equalAverage="0" bottom="0" percent="0" rank="0" text="" dxfId="133"/>
  </conditionalFormatting>
  <conditionalFormatting sqref="J10:J17 J5:J7">
    <cfRule type="duplicateValues" priority="10" aboveAverage="0" equalAverage="0" bottom="0" percent="0" rank="0" text="" dxfId="134"/>
  </conditionalFormatting>
  <conditionalFormatting sqref="J9:J17 J5:J7">
    <cfRule type="duplicateValues" priority="11" aboveAverage="0" equalAverage="0" bottom="0" percent="0" rank="0" text="" dxfId="135"/>
    <cfRule type="duplicateValues" priority="12" aboveAverage="0" equalAverage="0" bottom="0" percent="0" rank="0" text="" dxfId="136"/>
  </conditionalFormatting>
  <conditionalFormatting sqref="J5:J9">
    <cfRule type="duplicateValues" priority="13" aboveAverage="0" equalAverage="0" bottom="0" percent="0" rank="0" text="" dxfId="137"/>
  </conditionalFormatting>
  <conditionalFormatting sqref="H21">
    <cfRule type="duplicateValues" priority="14" aboveAverage="0" equalAverage="0" bottom="0" percent="0" rank="0" text="" dxfId="138"/>
    <cfRule type="duplicateValues" priority="15" aboveAverage="0" equalAverage="0" bottom="0" percent="0" rank="0" text="" dxfId="139"/>
    <cfRule type="duplicateValues" priority="16" aboveAverage="0" equalAverage="0" bottom="0" percent="0" rank="0" text="" dxfId="140"/>
    <cfRule type="duplicateValues" priority="17" aboveAverage="0" equalAverage="0" bottom="0" percent="0" rank="0" text="" dxfId="141"/>
    <cfRule type="duplicateValues" priority="18" aboveAverage="0" equalAverage="0" bottom="0" percent="0" rank="0" text="" dxfId="142"/>
  </conditionalFormatting>
  <conditionalFormatting sqref="I19">
    <cfRule type="duplicateValues" priority="19" aboveAverage="0" equalAverage="0" bottom="0" percent="0" rank="0" text="" dxfId="143"/>
  </conditionalFormatting>
  <conditionalFormatting sqref="I16:I19">
    <cfRule type="duplicateValues" priority="20" aboveAverage="0" equalAverage="0" bottom="0" percent="0" rank="0" text="" dxfId="144"/>
  </conditionalFormatting>
  <conditionalFormatting sqref="I5:I12">
    <cfRule type="duplicateValues" priority="21" aboveAverage="0" equalAverage="0" bottom="0" percent="0" rank="0" text="" dxfId="145"/>
  </conditionalFormatting>
  <conditionalFormatting sqref="I5:I19">
    <cfRule type="duplicateValues" priority="22" aboveAverage="0" equalAverage="0" bottom="0" percent="0" rank="0" text="" dxfId="146"/>
    <cfRule type="duplicateValues" priority="23" aboveAverage="0" equalAverage="0" bottom="0" percent="0" rank="0" text="" dxfId="147"/>
  </conditionalFormatting>
  <conditionalFormatting sqref="I16:I19 I5:I12">
    <cfRule type="duplicateValues" priority="24" aboveAverage="0" equalAverage="0" bottom="0" percent="0" rank="0" text="" dxfId="148"/>
    <cfRule type="duplicateValues" priority="25" aboveAverage="0" equalAverage="0" bottom="0" percent="0" rank="0" text="" dxfId="149"/>
  </conditionalFormatting>
  <conditionalFormatting sqref="H19">
    <cfRule type="duplicateValues" priority="26" aboveAverage="0" equalAverage="0" bottom="0" percent="0" rank="0" text="" dxfId="150"/>
  </conditionalFormatting>
  <conditionalFormatting sqref="H16:H19">
    <cfRule type="duplicateValues" priority="27" aboveAverage="0" equalAverage="0" bottom="0" percent="0" rank="0" text="" dxfId="151"/>
  </conditionalFormatting>
  <conditionalFormatting sqref="H5:H12">
    <cfRule type="duplicateValues" priority="28" aboveAverage="0" equalAverage="0" bottom="0" percent="0" rank="0" text="" dxfId="152"/>
  </conditionalFormatting>
  <conditionalFormatting sqref="H5:H19">
    <cfRule type="duplicateValues" priority="29" aboveAverage="0" equalAverage="0" bottom="0" percent="0" rank="0" text="" dxfId="153"/>
    <cfRule type="duplicateValues" priority="30" aboveAverage="0" equalAverage="0" bottom="0" percent="0" rank="0" text="" dxfId="154"/>
  </conditionalFormatting>
  <conditionalFormatting sqref="H16:H19 H5:H12">
    <cfRule type="duplicateValues" priority="31" aboveAverage="0" equalAverage="0" bottom="0" percent="0" rank="0" text="" dxfId="155"/>
    <cfRule type="duplicateValues" priority="32" aboveAverage="0" equalAverage="0" bottom="0" percent="0" rank="0" text="" dxfId="156"/>
  </conditionalFormatting>
  <conditionalFormatting sqref="G8">
    <cfRule type="duplicateValues" priority="33" aboveAverage="0" equalAverage="0" bottom="0" percent="0" rank="0" text="" dxfId="157"/>
    <cfRule type="duplicateValues" priority="34" aboveAverage="0" equalAverage="0" bottom="0" percent="0" rank="0" text="" dxfId="158"/>
    <cfRule type="duplicateValues" priority="35" aboveAverage="0" equalAverage="0" bottom="0" percent="0" rank="0" text="" dxfId="159"/>
    <cfRule type="duplicateValues" priority="36" aboveAverage="0" equalAverage="0" bottom="0" percent="0" rank="0" text="" dxfId="160"/>
    <cfRule type="duplicateValues" priority="37" aboveAverage="0" equalAverage="0" bottom="0" percent="0" rank="0" text="" dxfId="161"/>
  </conditionalFormatting>
  <conditionalFormatting sqref="G5:G7 G9:G15">
    <cfRule type="duplicateValues" priority="38" aboveAverage="0" equalAverage="0" bottom="0" percent="0" rank="0" text="" dxfId="162"/>
    <cfRule type="duplicateValues" priority="39" aboveAverage="0" equalAverage="0" bottom="0" percent="0" rank="0" text="" dxfId="163"/>
    <cfRule type="duplicateValues" priority="40" aboveAverage="0" equalAverage="0" bottom="0" percent="0" rank="0" text="" dxfId="164"/>
  </conditionalFormatting>
  <conditionalFormatting sqref="G5:G7 G9:G15 G17">
    <cfRule type="duplicateValues" priority="41" aboveAverage="0" equalAverage="0" bottom="0" percent="0" rank="0" text="" dxfId="16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65"/>
  <sheetViews>
    <sheetView showFormulas="false" showGridLines="true" showRowColHeaders="true" showZeros="true" rightToLeft="false" tabSelected="false" showOutlineSymbols="true" defaultGridColor="true" view="normal" topLeftCell="I10" colorId="64" zoomScale="100" zoomScaleNormal="100" zoomScalePageLayoutView="100" workbookViewId="0">
      <selection pane="topLeft" activeCell="L20" activeCellId="1" sqref="AC4:AE412 L20"/>
    </sheetView>
  </sheetViews>
  <sheetFormatPr defaultColWidth="8.73046875" defaultRowHeight="12" zeroHeight="false" outlineLevelRow="0" outlineLevelCol="0"/>
  <cols>
    <col collapsed="false" customWidth="false" hidden="false" outlineLevel="0" max="2" min="1" style="178" width="8.73"/>
    <col collapsed="false" customWidth="true" hidden="false" outlineLevel="0" max="3" min="3" style="178" width="33.9"/>
    <col collapsed="false" customWidth="true" hidden="false" outlineLevel="0" max="4" min="4" style="178" width="29"/>
    <col collapsed="false" customWidth="true" hidden="false" outlineLevel="0" max="5" min="5" style="178" width="29.09"/>
    <col collapsed="false" customWidth="true" hidden="false" outlineLevel="0" max="6" min="6" style="178" width="31.18"/>
    <col collapsed="false" customWidth="true" hidden="false" outlineLevel="0" max="7" min="7" style="178" width="19.64"/>
    <col collapsed="false" customWidth="true" hidden="false" outlineLevel="0" max="9" min="8" style="178" width="28.36"/>
    <col collapsed="false" customWidth="true" hidden="false" outlineLevel="0" max="10" min="10" style="178" width="47.73"/>
    <col collapsed="false" customWidth="true" hidden="false" outlineLevel="0" max="11" min="11" style="178" width="37.9"/>
    <col collapsed="false" customWidth="false" hidden="false" outlineLevel="0" max="16384" min="12" style="178" width="8.73"/>
  </cols>
  <sheetData>
    <row r="1" customFormat="false" ht="12.65" hidden="false" customHeight="false" outlineLevel="0" collapsed="false">
      <c r="B1" s="97" t="s">
        <v>0</v>
      </c>
      <c r="C1" s="97"/>
      <c r="D1" s="97"/>
      <c r="E1" s="97"/>
      <c r="F1" s="97"/>
    </row>
    <row r="2" customFormat="false" ht="12.65" hidden="false" customHeight="false" outlineLevel="0" collapsed="false">
      <c r="B2" s="226" t="s">
        <v>1374</v>
      </c>
      <c r="C2" s="226"/>
      <c r="D2" s="226"/>
      <c r="E2" s="226"/>
      <c r="F2" s="226"/>
      <c r="G2" s="226"/>
    </row>
    <row r="3" customFormat="false" ht="12.65" hidden="false" customHeight="false" outlineLevel="0" collapsed="false">
      <c r="G3" s="226"/>
    </row>
    <row r="4" customFormat="false" ht="12.65" hidden="false" customHeight="false" outlineLevel="0" collapsed="false">
      <c r="B4" s="227" t="s">
        <v>1373</v>
      </c>
      <c r="C4" s="228" t="n">
        <v>45658</v>
      </c>
      <c r="D4" s="228" t="n">
        <v>45689</v>
      </c>
      <c r="E4" s="228" t="n">
        <v>45717</v>
      </c>
      <c r="F4" s="228" t="n">
        <v>45748</v>
      </c>
      <c r="G4" s="228" t="n">
        <v>45778</v>
      </c>
      <c r="H4" s="228" t="n">
        <v>45809</v>
      </c>
      <c r="I4" s="228" t="n">
        <v>45839</v>
      </c>
      <c r="J4" s="228" t="n">
        <v>45870</v>
      </c>
      <c r="K4" s="228" t="n">
        <v>45901</v>
      </c>
      <c r="L4" s="228" t="n">
        <v>45931</v>
      </c>
    </row>
    <row r="5" customFormat="false" ht="13.5" hidden="false" customHeight="false" outlineLevel="0" collapsed="false">
      <c r="B5" s="229" t="n">
        <v>1</v>
      </c>
      <c r="C5" s="160" t="s">
        <v>145</v>
      </c>
      <c r="D5" s="160" t="s">
        <v>427</v>
      </c>
      <c r="E5" s="160" t="s">
        <v>466</v>
      </c>
      <c r="F5" s="160" t="s">
        <v>116</v>
      </c>
      <c r="G5" s="161" t="s">
        <v>191</v>
      </c>
      <c r="H5" s="160" t="s">
        <v>362</v>
      </c>
      <c r="I5" s="160" t="s">
        <v>354</v>
      </c>
      <c r="J5" s="160" t="s">
        <v>761</v>
      </c>
      <c r="K5" s="128" t="s">
        <v>573</v>
      </c>
      <c r="L5" s="201" t="s">
        <v>230</v>
      </c>
    </row>
    <row r="6" customFormat="false" ht="13.5" hidden="false" customHeight="false" outlineLevel="0" collapsed="false">
      <c r="B6" s="229" t="n">
        <f aca="false">B5+1</f>
        <v>2</v>
      </c>
      <c r="C6" s="160" t="s">
        <v>460</v>
      </c>
      <c r="D6" s="160" t="s">
        <v>236</v>
      </c>
      <c r="E6" s="160" t="s">
        <v>396</v>
      </c>
      <c r="F6" s="160" t="s">
        <v>120</v>
      </c>
      <c r="G6" s="161" t="s">
        <v>271</v>
      </c>
      <c r="H6" s="160" t="s">
        <v>368</v>
      </c>
      <c r="I6" s="160" t="s">
        <v>573</v>
      </c>
      <c r="J6" s="160" t="s">
        <v>768</v>
      </c>
      <c r="K6" s="128" t="s">
        <v>782</v>
      </c>
      <c r="L6" s="201" t="s">
        <v>396</v>
      </c>
    </row>
    <row r="7" customFormat="false" ht="13.5" hidden="false" customHeight="false" outlineLevel="0" collapsed="false">
      <c r="B7" s="229" t="n">
        <f aca="false">B6+1</f>
        <v>3</v>
      </c>
      <c r="C7" s="160" t="s">
        <v>429</v>
      </c>
      <c r="D7" s="160" t="s">
        <v>318</v>
      </c>
      <c r="E7" s="160" t="s">
        <v>393</v>
      </c>
      <c r="F7" s="160" t="s">
        <v>122</v>
      </c>
      <c r="G7" s="161" t="s">
        <v>275</v>
      </c>
      <c r="H7" s="160" t="s">
        <v>375</v>
      </c>
      <c r="I7" s="160" t="s">
        <v>581</v>
      </c>
      <c r="J7" s="160" t="s">
        <v>236</v>
      </c>
      <c r="K7" s="128" t="s">
        <v>788</v>
      </c>
      <c r="L7" s="201" t="s">
        <v>587</v>
      </c>
    </row>
    <row r="8" customFormat="false" ht="13.5" hidden="false" customHeight="false" outlineLevel="0" collapsed="false">
      <c r="B8" s="229" t="n">
        <f aca="false">B7+1</f>
        <v>4</v>
      </c>
      <c r="C8" s="160" t="s">
        <v>473</v>
      </c>
      <c r="D8" s="160" t="s">
        <v>189</v>
      </c>
      <c r="E8" s="160" t="s">
        <v>418</v>
      </c>
      <c r="F8" s="160" t="s">
        <v>125</v>
      </c>
      <c r="G8" s="161" t="s">
        <v>286</v>
      </c>
      <c r="H8" s="160" t="s">
        <v>381</v>
      </c>
      <c r="I8" s="160" t="s">
        <v>412</v>
      </c>
      <c r="J8" s="160" t="s">
        <v>755</v>
      </c>
      <c r="K8" s="128" t="s">
        <v>301</v>
      </c>
      <c r="L8" s="201" t="s">
        <v>855</v>
      </c>
    </row>
    <row r="9" customFormat="false" ht="13.5" hidden="false" customHeight="false" outlineLevel="0" collapsed="false">
      <c r="B9" s="229" t="n">
        <f aca="false">B8+1</f>
        <v>5</v>
      </c>
      <c r="C9" s="160" t="s">
        <v>383</v>
      </c>
      <c r="D9" s="160" t="s">
        <v>162</v>
      </c>
      <c r="E9" s="160" t="s">
        <v>401</v>
      </c>
      <c r="F9" s="160" t="s">
        <v>127</v>
      </c>
      <c r="G9" s="161" t="s">
        <v>288</v>
      </c>
      <c r="H9" s="160" t="s">
        <v>509</v>
      </c>
      <c r="I9" s="160" t="s">
        <v>591</v>
      </c>
      <c r="J9" s="160" t="s">
        <v>713</v>
      </c>
      <c r="K9" s="128" t="s">
        <v>793</v>
      </c>
      <c r="L9" s="201" t="s">
        <v>865</v>
      </c>
    </row>
    <row r="10" customFormat="false" ht="13.5" hidden="false" customHeight="false" outlineLevel="0" collapsed="false">
      <c r="B10" s="229" t="n">
        <f aca="false">B9+1</f>
        <v>6</v>
      </c>
      <c r="C10" s="160" t="s">
        <v>431</v>
      </c>
      <c r="D10" s="160" t="s">
        <v>403</v>
      </c>
      <c r="E10" s="160" t="s">
        <v>243</v>
      </c>
      <c r="F10" s="160" t="s">
        <v>133</v>
      </c>
      <c r="G10" s="161" t="s">
        <v>291</v>
      </c>
      <c r="H10" s="160" t="s">
        <v>511</v>
      </c>
      <c r="I10" s="160" t="s">
        <v>593</v>
      </c>
      <c r="J10" s="160" t="s">
        <v>721</v>
      </c>
      <c r="K10" s="128" t="s">
        <v>797</v>
      </c>
      <c r="L10" s="201" t="s">
        <v>884</v>
      </c>
    </row>
    <row r="11" customFormat="false" ht="13.5" hidden="false" customHeight="false" outlineLevel="0" collapsed="false">
      <c r="B11" s="229" t="n">
        <f aca="false">B10+1</f>
        <v>7</v>
      </c>
      <c r="C11" s="160" t="s">
        <v>434</v>
      </c>
      <c r="D11" s="160" t="s">
        <v>483</v>
      </c>
      <c r="E11" s="160" t="s">
        <v>397</v>
      </c>
      <c r="F11" s="160" t="s">
        <v>136</v>
      </c>
      <c r="G11" s="160" t="s">
        <v>293</v>
      </c>
      <c r="H11" s="160" t="s">
        <v>514</v>
      </c>
      <c r="I11" s="160" t="s">
        <v>168</v>
      </c>
      <c r="J11" s="160" t="s">
        <v>705</v>
      </c>
      <c r="K11" s="128" t="s">
        <v>799</v>
      </c>
      <c r="L11" s="201" t="s">
        <v>887</v>
      </c>
    </row>
    <row r="12" customFormat="false" ht="13.5" hidden="false" customHeight="false" outlineLevel="0" collapsed="false">
      <c r="B12" s="229" t="n">
        <f aca="false">B11+1</f>
        <v>8</v>
      </c>
      <c r="C12" s="160" t="s">
        <v>370</v>
      </c>
      <c r="D12" s="160" t="s">
        <v>455</v>
      </c>
      <c r="E12" s="160" t="s">
        <v>423</v>
      </c>
      <c r="F12" s="160" t="s">
        <v>138</v>
      </c>
      <c r="G12" s="160" t="s">
        <v>296</v>
      </c>
      <c r="H12" s="160" t="s">
        <v>516</v>
      </c>
      <c r="I12" s="160" t="s">
        <v>596</v>
      </c>
      <c r="J12" s="160" t="s">
        <v>725</v>
      </c>
      <c r="K12" s="128" t="s">
        <v>187</v>
      </c>
      <c r="L12" s="201" t="s">
        <v>1233</v>
      </c>
    </row>
    <row r="13" customFormat="false" ht="13.5" hidden="false" customHeight="false" outlineLevel="0" collapsed="false">
      <c r="B13" s="229" t="n">
        <f aca="false">B12+1</f>
        <v>9</v>
      </c>
      <c r="C13" s="160" t="s">
        <v>470</v>
      </c>
      <c r="D13" s="160" t="s">
        <v>414</v>
      </c>
      <c r="E13" s="160" t="s">
        <v>468</v>
      </c>
      <c r="F13" s="160" t="s">
        <v>140</v>
      </c>
      <c r="G13" s="160" t="s">
        <v>299</v>
      </c>
      <c r="H13" s="160" t="s">
        <v>518</v>
      </c>
      <c r="I13" s="160" t="s">
        <v>598</v>
      </c>
      <c r="J13" s="160" t="s">
        <v>693</v>
      </c>
      <c r="K13" s="128" t="s">
        <v>804</v>
      </c>
      <c r="L13" s="201" t="s">
        <v>1236</v>
      </c>
    </row>
    <row r="14" customFormat="false" ht="13.5" hidden="false" customHeight="false" outlineLevel="0" collapsed="false">
      <c r="B14" s="229" t="n">
        <f aca="false">B13+1</f>
        <v>10</v>
      </c>
      <c r="C14" s="160" t="s">
        <v>241</v>
      </c>
      <c r="D14" s="160" t="s">
        <v>341</v>
      </c>
      <c r="E14" s="160" t="s">
        <v>152</v>
      </c>
      <c r="F14" s="160" t="s">
        <v>142</v>
      </c>
      <c r="G14" s="160" t="s">
        <v>301</v>
      </c>
      <c r="H14" s="160" t="s">
        <v>520</v>
      </c>
      <c r="I14" s="160" t="s">
        <v>600</v>
      </c>
      <c r="J14" s="160" t="s">
        <v>744</v>
      </c>
      <c r="K14" s="128" t="s">
        <v>806</v>
      </c>
      <c r="L14" s="201" t="s">
        <v>273</v>
      </c>
    </row>
    <row r="15" customFormat="false" ht="13.5" hidden="false" customHeight="false" outlineLevel="0" collapsed="false">
      <c r="B15" s="229" t="n">
        <f aca="false">B14+1</f>
        <v>11</v>
      </c>
      <c r="C15" s="160" t="s">
        <v>458</v>
      </c>
      <c r="D15" s="160" t="s">
        <v>386</v>
      </c>
      <c r="E15" s="160" t="s">
        <v>408</v>
      </c>
      <c r="F15" s="160" t="s">
        <v>147</v>
      </c>
      <c r="G15" s="160" t="s">
        <v>303</v>
      </c>
      <c r="H15" s="160" t="s">
        <v>522</v>
      </c>
      <c r="I15" s="160" t="s">
        <v>605</v>
      </c>
      <c r="J15" s="160" t="s">
        <v>763</v>
      </c>
      <c r="K15" s="128" t="s">
        <v>808</v>
      </c>
      <c r="L15" s="201" t="s">
        <v>1239</v>
      </c>
    </row>
    <row r="16" customFormat="false" ht="13.5" hidden="false" customHeight="false" outlineLevel="0" collapsed="false">
      <c r="B16" s="229" t="n">
        <f aca="false">B15+1</f>
        <v>12</v>
      </c>
      <c r="C16" s="160" t="s">
        <v>436</v>
      </c>
      <c r="D16" s="160" t="s">
        <v>425</v>
      </c>
      <c r="E16" s="160" t="s">
        <v>388</v>
      </c>
      <c r="F16" s="160" t="s">
        <v>154</v>
      </c>
      <c r="G16" s="161" t="s">
        <v>305</v>
      </c>
      <c r="H16" s="160" t="s">
        <v>524</v>
      </c>
      <c r="I16" s="160" t="s">
        <v>608</v>
      </c>
      <c r="J16" s="160" t="s">
        <v>729</v>
      </c>
      <c r="K16" s="128" t="s">
        <v>811</v>
      </c>
      <c r="L16" s="201" t="s">
        <v>1244</v>
      </c>
    </row>
    <row r="17" customFormat="false" ht="13.5" hidden="false" customHeight="false" outlineLevel="0" collapsed="false">
      <c r="B17" s="229" t="n">
        <f aca="false">B16+1</f>
        <v>13</v>
      </c>
      <c r="C17" s="160" t="s">
        <v>478</v>
      </c>
      <c r="D17" s="160" t="s">
        <v>331</v>
      </c>
      <c r="E17" s="160" t="s">
        <v>207</v>
      </c>
      <c r="F17" s="160" t="s">
        <v>157</v>
      </c>
      <c r="G17" s="145" t="s">
        <v>307</v>
      </c>
      <c r="H17" s="160" t="s">
        <v>526</v>
      </c>
      <c r="I17" s="160" t="s">
        <v>610</v>
      </c>
      <c r="J17" s="160" t="s">
        <v>771</v>
      </c>
      <c r="K17" s="128" t="s">
        <v>813</v>
      </c>
      <c r="L17" s="201" t="s">
        <v>1246</v>
      </c>
    </row>
    <row r="18" customFormat="false" ht="13.5" hidden="false" customHeight="false" outlineLevel="0" collapsed="false">
      <c r="B18" s="229" t="n">
        <f aca="false">B17+1</f>
        <v>14</v>
      </c>
      <c r="C18" s="160" t="s">
        <v>149</v>
      </c>
      <c r="D18" s="160"/>
      <c r="E18" s="160" t="s">
        <v>451</v>
      </c>
      <c r="F18" s="160" t="s">
        <v>159</v>
      </c>
      <c r="G18" s="160" t="s">
        <v>311</v>
      </c>
      <c r="H18" s="160" t="s">
        <v>528</v>
      </c>
      <c r="I18" s="160" t="s">
        <v>612</v>
      </c>
      <c r="J18" s="160" t="s">
        <v>751</v>
      </c>
      <c r="K18" s="128" t="s">
        <v>199</v>
      </c>
      <c r="L18" s="201" t="s">
        <v>1250</v>
      </c>
    </row>
    <row r="19" customFormat="false" ht="13.5" hidden="false" customHeight="false" outlineLevel="0" collapsed="false">
      <c r="B19" s="229" t="n">
        <f aca="false">B18+1</f>
        <v>15</v>
      </c>
      <c r="C19" s="160" t="s">
        <v>506</v>
      </c>
      <c r="D19" s="160"/>
      <c r="E19" s="160" t="s">
        <v>488</v>
      </c>
      <c r="F19" s="160" t="s">
        <v>164</v>
      </c>
      <c r="G19" s="160" t="s">
        <v>313</v>
      </c>
      <c r="H19" s="160" t="s">
        <v>530</v>
      </c>
      <c r="I19" s="160" t="s">
        <v>616</v>
      </c>
      <c r="J19" s="160" t="s">
        <v>784</v>
      </c>
      <c r="K19" s="128" t="s">
        <v>817</v>
      </c>
      <c r="L19" s="201" t="s">
        <v>1252</v>
      </c>
    </row>
    <row r="20" customFormat="false" ht="13.5" hidden="false" customHeight="false" outlineLevel="0" collapsed="false">
      <c r="B20" s="229" t="n">
        <f aca="false">B19+1</f>
        <v>16</v>
      </c>
      <c r="C20" s="160"/>
      <c r="D20" s="160"/>
      <c r="E20" s="160" t="s">
        <v>492</v>
      </c>
      <c r="F20" s="160" t="s">
        <v>166</v>
      </c>
      <c r="G20" s="160" t="s">
        <v>316</v>
      </c>
      <c r="H20" s="160" t="s">
        <v>532</v>
      </c>
      <c r="I20" s="160" t="s">
        <v>468</v>
      </c>
      <c r="J20" s="160" t="s">
        <v>759</v>
      </c>
      <c r="K20" s="128" t="s">
        <v>820</v>
      </c>
      <c r="L20" s="201" t="s">
        <v>1255</v>
      </c>
    </row>
    <row r="21" customFormat="false" ht="13.5" hidden="false" customHeight="false" outlineLevel="0" collapsed="false">
      <c r="B21" s="229" t="n">
        <f aca="false">B20+1</f>
        <v>17</v>
      </c>
      <c r="C21" s="160"/>
      <c r="D21" s="160"/>
      <c r="E21" s="160" t="s">
        <v>405</v>
      </c>
      <c r="F21" s="160" t="s">
        <v>168</v>
      </c>
      <c r="G21" s="160" t="s">
        <v>320</v>
      </c>
      <c r="H21" s="160" t="s">
        <v>534</v>
      </c>
      <c r="I21" s="160" t="s">
        <v>620</v>
      </c>
      <c r="J21" s="160" t="s">
        <v>742</v>
      </c>
      <c r="K21" s="128" t="s">
        <v>824</v>
      </c>
      <c r="L21" s="201" t="s">
        <v>622</v>
      </c>
    </row>
    <row r="22" customFormat="false" ht="13.5" hidden="false" customHeight="false" outlineLevel="0" collapsed="false">
      <c r="B22" s="229" t="n">
        <f aca="false">B21+1</f>
        <v>18</v>
      </c>
      <c r="C22" s="160"/>
      <c r="D22" s="160"/>
      <c r="E22" s="160" t="s">
        <v>470</v>
      </c>
      <c r="F22" s="160" t="s">
        <v>170</v>
      </c>
      <c r="G22" s="160" t="s">
        <v>322</v>
      </c>
      <c r="H22" s="160" t="s">
        <v>536</v>
      </c>
      <c r="I22" s="160" t="s">
        <v>622</v>
      </c>
      <c r="J22" s="160" t="s">
        <v>727</v>
      </c>
      <c r="K22" s="128" t="s">
        <v>826</v>
      </c>
      <c r="L22" s="201" t="s">
        <v>1267</v>
      </c>
    </row>
    <row r="23" customFormat="false" ht="13.5" hidden="false" customHeight="false" outlineLevel="0" collapsed="false">
      <c r="B23" s="229" t="n">
        <f aca="false">B22+1</f>
        <v>19</v>
      </c>
      <c r="C23" s="160"/>
      <c r="D23" s="160"/>
      <c r="E23" s="160" t="s">
        <v>486</v>
      </c>
      <c r="F23" s="160" t="s">
        <v>172</v>
      </c>
      <c r="G23" s="160" t="s">
        <v>324</v>
      </c>
      <c r="H23" s="160" t="s">
        <v>540</v>
      </c>
      <c r="I23" s="160" t="s">
        <v>624</v>
      </c>
      <c r="J23" s="160" t="s">
        <v>780</v>
      </c>
      <c r="K23" s="128" t="s">
        <v>830</v>
      </c>
      <c r="L23" s="201" t="s">
        <v>1269</v>
      </c>
    </row>
    <row r="24" customFormat="false" ht="13.5" hidden="false" customHeight="false" outlineLevel="0" collapsed="false">
      <c r="B24" s="229" t="n">
        <f aca="false">B23+1</f>
        <v>20</v>
      </c>
      <c r="C24" s="160"/>
      <c r="D24" s="160"/>
      <c r="E24" s="160" t="s">
        <v>490</v>
      </c>
      <c r="F24" s="160" t="s">
        <v>174</v>
      </c>
      <c r="G24" s="160" t="s">
        <v>326</v>
      </c>
      <c r="H24" s="160" t="s">
        <v>542</v>
      </c>
      <c r="I24" s="160" t="s">
        <v>628</v>
      </c>
      <c r="J24" s="160" t="s">
        <v>746</v>
      </c>
      <c r="K24" s="128" t="s">
        <v>834</v>
      </c>
      <c r="L24" s="201" t="s">
        <v>1271</v>
      </c>
    </row>
    <row r="25" customFormat="false" ht="13.5" hidden="false" customHeight="false" outlineLevel="0" collapsed="false">
      <c r="B25" s="229" t="n">
        <f aca="false">B24+1</f>
        <v>21</v>
      </c>
      <c r="C25" s="160"/>
      <c r="D25" s="160"/>
      <c r="E25" s="160" t="s">
        <v>245</v>
      </c>
      <c r="F25" s="160" t="s">
        <v>177</v>
      </c>
      <c r="G25" s="160" t="s">
        <v>328</v>
      </c>
      <c r="H25" s="160" t="s">
        <v>546</v>
      </c>
      <c r="I25" s="160" t="s">
        <v>630</v>
      </c>
      <c r="J25" s="160" t="s">
        <v>732</v>
      </c>
      <c r="K25" s="128" t="s">
        <v>836</v>
      </c>
      <c r="L25" s="201" t="s">
        <v>1273</v>
      </c>
    </row>
    <row r="26" customFormat="false" ht="13.5" hidden="false" customHeight="false" outlineLevel="0" collapsed="false">
      <c r="B26" s="229" t="n">
        <f aca="false">B25+1</f>
        <v>22</v>
      </c>
      <c r="C26" s="160"/>
      <c r="D26" s="160"/>
      <c r="E26" s="160" t="s">
        <v>412</v>
      </c>
      <c r="F26" s="160" t="s">
        <v>179</v>
      </c>
      <c r="G26" s="160" t="s">
        <v>333</v>
      </c>
      <c r="H26" s="160" t="s">
        <v>549</v>
      </c>
      <c r="I26" s="160" t="s">
        <v>632</v>
      </c>
      <c r="J26" s="160" t="s">
        <v>710</v>
      </c>
      <c r="K26" s="128" t="s">
        <v>839</v>
      </c>
      <c r="L26" s="201" t="s">
        <v>1275</v>
      </c>
    </row>
    <row r="27" customFormat="false" ht="13.5" hidden="false" customHeight="false" outlineLevel="0" collapsed="false">
      <c r="B27" s="229" t="n">
        <f aca="false">B26+1</f>
        <v>23</v>
      </c>
      <c r="C27" s="160"/>
      <c r="D27" s="160"/>
      <c r="E27" s="160" t="s">
        <v>399</v>
      </c>
      <c r="F27" s="160" t="s">
        <v>181</v>
      </c>
      <c r="G27" s="160" t="s">
        <v>335</v>
      </c>
      <c r="H27" s="160" t="s">
        <v>551</v>
      </c>
      <c r="I27" s="160" t="s">
        <v>636</v>
      </c>
      <c r="J27" s="160" t="s">
        <v>736</v>
      </c>
      <c r="K27" s="128" t="s">
        <v>841</v>
      </c>
      <c r="L27" s="201" t="s">
        <v>1277</v>
      </c>
    </row>
    <row r="28" customFormat="false" ht="13.5" hidden="false" customHeight="false" outlineLevel="0" collapsed="false">
      <c r="B28" s="229" t="n">
        <f aca="false">B27+1</f>
        <v>24</v>
      </c>
      <c r="C28" s="160"/>
      <c r="D28" s="160"/>
      <c r="E28" s="160" t="s">
        <v>187</v>
      </c>
      <c r="F28" s="160" t="s">
        <v>184</v>
      </c>
      <c r="G28" s="160" t="s">
        <v>337</v>
      </c>
      <c r="H28" s="160" t="s">
        <v>554</v>
      </c>
      <c r="I28" s="160" t="s">
        <v>638</v>
      </c>
      <c r="J28" s="160" t="s">
        <v>716</v>
      </c>
      <c r="K28" s="128" t="s">
        <v>843</v>
      </c>
      <c r="L28" s="201" t="s">
        <v>1279</v>
      </c>
    </row>
    <row r="29" customFormat="false" ht="13.5" hidden="false" customHeight="false" outlineLevel="0" collapsed="false">
      <c r="B29" s="229" t="n">
        <f aca="false">B28+1</f>
        <v>25</v>
      </c>
      <c r="C29" s="160"/>
      <c r="D29" s="160"/>
      <c r="E29" s="160"/>
      <c r="F29" s="160" t="s">
        <v>189</v>
      </c>
      <c r="G29" s="160" t="s">
        <v>339</v>
      </c>
      <c r="H29" s="160" t="s">
        <v>556</v>
      </c>
      <c r="I29" s="160" t="s">
        <v>640</v>
      </c>
      <c r="J29" s="160" t="s">
        <v>766</v>
      </c>
      <c r="K29" s="128" t="s">
        <v>846</v>
      </c>
      <c r="L29" s="201" t="s">
        <v>1281</v>
      </c>
    </row>
    <row r="30" customFormat="false" ht="13.5" hidden="false" customHeight="false" outlineLevel="0" collapsed="false">
      <c r="B30" s="229" t="n">
        <f aca="false">B29+1</f>
        <v>26</v>
      </c>
      <c r="C30" s="160"/>
      <c r="D30" s="160"/>
      <c r="E30" s="160"/>
      <c r="F30" s="160" t="s">
        <v>193</v>
      </c>
      <c r="G30" s="160" t="s">
        <v>344</v>
      </c>
      <c r="H30" s="160" t="s">
        <v>563</v>
      </c>
      <c r="I30" s="160" t="s">
        <v>643</v>
      </c>
      <c r="J30" s="160" t="s">
        <v>749</v>
      </c>
      <c r="K30" s="128" t="s">
        <v>849</v>
      </c>
      <c r="L30" s="201" t="s">
        <v>1283</v>
      </c>
    </row>
    <row r="31" customFormat="false" ht="13.5" hidden="false" customHeight="false" outlineLevel="0" collapsed="false">
      <c r="B31" s="229" t="n">
        <f aca="false">B30+1</f>
        <v>27</v>
      </c>
      <c r="C31" s="160"/>
      <c r="D31" s="160"/>
      <c r="E31" s="160"/>
      <c r="F31" s="160" t="s">
        <v>195</v>
      </c>
      <c r="G31" s="160" t="s">
        <v>346</v>
      </c>
      <c r="H31" s="160" t="s">
        <v>566</v>
      </c>
      <c r="I31" s="160" t="s">
        <v>483</v>
      </c>
      <c r="J31" s="160" t="s">
        <v>271</v>
      </c>
      <c r="K31" s="128" t="s">
        <v>851</v>
      </c>
      <c r="L31" s="201" t="s">
        <v>1287</v>
      </c>
    </row>
    <row r="32" customFormat="false" ht="13.5" hidden="false" customHeight="false" outlineLevel="0" collapsed="false">
      <c r="B32" s="229" t="n">
        <f aca="false">B31+1</f>
        <v>28</v>
      </c>
      <c r="C32" s="160"/>
      <c r="D32" s="160"/>
      <c r="E32" s="160"/>
      <c r="F32" s="160" t="s">
        <v>197</v>
      </c>
      <c r="G32" s="160" t="s">
        <v>350</v>
      </c>
      <c r="H32" s="160" t="s">
        <v>569</v>
      </c>
      <c r="I32" s="160" t="s">
        <v>648</v>
      </c>
      <c r="J32" s="160" t="s">
        <v>775</v>
      </c>
      <c r="K32" s="128" t="s">
        <v>853</v>
      </c>
      <c r="L32" s="201" t="s">
        <v>1289</v>
      </c>
    </row>
    <row r="33" customFormat="false" ht="13.5" hidden="false" customHeight="false" outlineLevel="0" collapsed="false">
      <c r="B33" s="229" t="n">
        <f aca="false">B32+1</f>
        <v>29</v>
      </c>
      <c r="C33" s="160"/>
      <c r="D33" s="160"/>
      <c r="E33" s="160"/>
      <c r="F33" s="160" t="s">
        <v>199</v>
      </c>
      <c r="G33" s="160" t="s">
        <v>352</v>
      </c>
      <c r="H33" s="160" t="s">
        <v>571</v>
      </c>
      <c r="I33" s="160" t="s">
        <v>652</v>
      </c>
      <c r="J33" s="160" t="s">
        <v>360</v>
      </c>
      <c r="K33" s="128" t="s">
        <v>857</v>
      </c>
      <c r="L33" s="201" t="s">
        <v>1292</v>
      </c>
    </row>
    <row r="34" customFormat="false" ht="13.5" hidden="false" customHeight="false" outlineLevel="0" collapsed="false">
      <c r="B34" s="229" t="n">
        <f aca="false">B33+1</f>
        <v>30</v>
      </c>
      <c r="C34" s="160"/>
      <c r="D34" s="160"/>
      <c r="E34" s="160"/>
      <c r="F34" s="160" t="s">
        <v>201</v>
      </c>
      <c r="G34" s="160" t="s">
        <v>356</v>
      </c>
      <c r="H34" s="160" t="s">
        <v>575</v>
      </c>
      <c r="I34" s="160" t="s">
        <v>654</v>
      </c>
      <c r="J34" s="160" t="s">
        <v>498</v>
      </c>
      <c r="K34" s="128" t="s">
        <v>859</v>
      </c>
      <c r="L34" s="201" t="s">
        <v>1294</v>
      </c>
    </row>
    <row r="35" customFormat="false" ht="13.5" hidden="false" customHeight="false" outlineLevel="0" collapsed="false">
      <c r="B35" s="229" t="n">
        <f aca="false">B34+1</f>
        <v>31</v>
      </c>
      <c r="C35" s="160"/>
      <c r="D35" s="160"/>
      <c r="E35" s="160"/>
      <c r="F35" s="160" t="s">
        <v>203</v>
      </c>
      <c r="G35" s="160" t="s">
        <v>358</v>
      </c>
      <c r="H35" s="160" t="s">
        <v>579</v>
      </c>
      <c r="I35" s="160" t="s">
        <v>656</v>
      </c>
      <c r="J35" s="160" t="s">
        <v>116</v>
      </c>
      <c r="K35" s="128" t="s">
        <v>862</v>
      </c>
      <c r="L35" s="201" t="s">
        <v>1296</v>
      </c>
    </row>
    <row r="36" customFormat="false" ht="13.5" hidden="false" customHeight="false" outlineLevel="0" collapsed="false">
      <c r="B36" s="229" t="n">
        <f aca="false">B35+1</f>
        <v>32</v>
      </c>
      <c r="C36" s="160"/>
      <c r="D36" s="160"/>
      <c r="E36" s="160"/>
      <c r="F36" s="160" t="s">
        <v>205</v>
      </c>
      <c r="G36" s="160" t="s">
        <v>360</v>
      </c>
      <c r="H36" s="160" t="s">
        <v>583</v>
      </c>
      <c r="I36" s="160" t="s">
        <v>659</v>
      </c>
      <c r="J36" s="160" t="s">
        <v>708</v>
      </c>
      <c r="K36" s="128" t="s">
        <v>867</v>
      </c>
      <c r="L36" s="201" t="s">
        <v>1298</v>
      </c>
    </row>
    <row r="37" customFormat="false" ht="23.85" hidden="false" customHeight="false" outlineLevel="0" collapsed="false">
      <c r="B37" s="229" t="n">
        <f aca="false">B36+1</f>
        <v>33</v>
      </c>
      <c r="C37" s="160"/>
      <c r="D37" s="160"/>
      <c r="E37" s="160"/>
      <c r="F37" s="230" t="s">
        <v>209</v>
      </c>
      <c r="G37" s="160" t="s">
        <v>364</v>
      </c>
      <c r="H37" s="160"/>
      <c r="I37" s="160" t="s">
        <v>661</v>
      </c>
      <c r="J37" s="160" t="s">
        <v>718</v>
      </c>
      <c r="K37" s="128" t="s">
        <v>869</v>
      </c>
      <c r="L37" s="201" t="s">
        <v>1301</v>
      </c>
    </row>
    <row r="38" customFormat="false" ht="13.5" hidden="false" customHeight="false" outlineLevel="0" collapsed="false">
      <c r="B38" s="229" t="n">
        <f aca="false">B37+1</f>
        <v>34</v>
      </c>
      <c r="C38" s="160"/>
      <c r="D38" s="160"/>
      <c r="E38" s="160"/>
      <c r="F38" s="160" t="s">
        <v>211</v>
      </c>
      <c r="G38" s="160" t="s">
        <v>366</v>
      </c>
      <c r="H38" s="160"/>
      <c r="I38" s="160" t="s">
        <v>664</v>
      </c>
      <c r="J38" s="160" t="s">
        <v>757</v>
      </c>
      <c r="K38" s="128" t="s">
        <v>871</v>
      </c>
      <c r="L38" s="201" t="s">
        <v>1305</v>
      </c>
    </row>
    <row r="39" customFormat="false" ht="13.5" hidden="false" customHeight="false" outlineLevel="0" collapsed="false">
      <c r="B39" s="229" t="n">
        <f aca="false">B38+1</f>
        <v>35</v>
      </c>
      <c r="C39" s="160"/>
      <c r="D39" s="160"/>
      <c r="E39" s="160"/>
      <c r="F39" s="160" t="s">
        <v>213</v>
      </c>
      <c r="G39" s="160" t="s">
        <v>370</v>
      </c>
      <c r="H39" s="160"/>
      <c r="I39" s="160" t="s">
        <v>666</v>
      </c>
      <c r="J39" s="160" t="s">
        <v>738</v>
      </c>
      <c r="K39" s="128" t="s">
        <v>873</v>
      </c>
      <c r="L39" s="201" t="s">
        <v>1310</v>
      </c>
    </row>
    <row r="40" customFormat="false" ht="13.5" hidden="false" customHeight="false" outlineLevel="0" collapsed="false">
      <c r="B40" s="229" t="n">
        <f aca="false">B39+1</f>
        <v>36</v>
      </c>
      <c r="C40" s="160"/>
      <c r="D40" s="160"/>
      <c r="E40" s="160"/>
      <c r="F40" s="160" t="s">
        <v>215</v>
      </c>
      <c r="G40" s="160" t="s">
        <v>372</v>
      </c>
      <c r="H40" s="160"/>
      <c r="I40" s="160" t="s">
        <v>669</v>
      </c>
      <c r="J40" s="160" t="s">
        <v>626</v>
      </c>
      <c r="K40" s="128" t="s">
        <v>875</v>
      </c>
      <c r="L40" s="201" t="s">
        <v>1315</v>
      </c>
    </row>
    <row r="41" customFormat="false" ht="13.5" hidden="false" customHeight="false" outlineLevel="0" collapsed="false">
      <c r="B41" s="229" t="n">
        <f aca="false">B40+1</f>
        <v>37</v>
      </c>
      <c r="C41" s="160"/>
      <c r="D41" s="160"/>
      <c r="E41" s="160"/>
      <c r="F41" s="160" t="s">
        <v>217</v>
      </c>
      <c r="G41" s="160" t="s">
        <v>587</v>
      </c>
      <c r="H41" s="160"/>
      <c r="I41" s="160" t="s">
        <v>671</v>
      </c>
      <c r="J41" s="160" t="s">
        <v>723</v>
      </c>
      <c r="K41" s="128" t="s">
        <v>877</v>
      </c>
      <c r="L41" s="201" t="s">
        <v>1323</v>
      </c>
    </row>
    <row r="42" customFormat="false" ht="23.85" hidden="false" customHeight="false" outlineLevel="0" collapsed="false">
      <c r="B42" s="229" t="n">
        <f aca="false">B41+1</f>
        <v>38</v>
      </c>
      <c r="C42" s="160"/>
      <c r="D42" s="160"/>
      <c r="E42" s="160"/>
      <c r="F42" s="160" t="s">
        <v>219</v>
      </c>
      <c r="G42" s="160"/>
      <c r="H42" s="160"/>
      <c r="I42" s="160" t="s">
        <v>677</v>
      </c>
      <c r="J42" s="160" t="s">
        <v>740</v>
      </c>
      <c r="K42" s="159" t="s">
        <v>879</v>
      </c>
      <c r="L42" s="201" t="s">
        <v>1325</v>
      </c>
    </row>
    <row r="43" customFormat="false" ht="13.5" hidden="false" customHeight="false" outlineLevel="0" collapsed="false">
      <c r="B43" s="229" t="n">
        <f aca="false">B42+1</f>
        <v>39</v>
      </c>
      <c r="C43" s="160"/>
      <c r="D43" s="160"/>
      <c r="E43" s="160"/>
      <c r="F43" s="160" t="s">
        <v>221</v>
      </c>
      <c r="G43" s="160"/>
      <c r="H43" s="160"/>
      <c r="I43" s="160" t="s">
        <v>679</v>
      </c>
      <c r="J43" s="160"/>
      <c r="K43" s="128" t="s">
        <v>882</v>
      </c>
      <c r="L43" s="201" t="s">
        <v>1329</v>
      </c>
    </row>
    <row r="44" customFormat="false" ht="13.5" hidden="false" customHeight="false" outlineLevel="0" collapsed="false">
      <c r="B44" s="229" t="n">
        <f aca="false">B43+1</f>
        <v>40</v>
      </c>
      <c r="C44" s="160"/>
      <c r="D44" s="160"/>
      <c r="E44" s="160"/>
      <c r="F44" s="160" t="s">
        <v>223</v>
      </c>
      <c r="G44" s="160"/>
      <c r="H44" s="160"/>
      <c r="I44" s="160" t="s">
        <v>681</v>
      </c>
      <c r="J44" s="160"/>
      <c r="K44" s="160"/>
      <c r="L44" s="201" t="s">
        <v>1333</v>
      </c>
    </row>
    <row r="45" customFormat="false" ht="13.5" hidden="false" customHeight="false" outlineLevel="0" collapsed="false">
      <c r="B45" s="229" t="n">
        <f aca="false">B44+1</f>
        <v>41</v>
      </c>
      <c r="C45" s="160"/>
      <c r="D45" s="160"/>
      <c r="E45" s="160"/>
      <c r="F45" s="160" t="s">
        <v>225</v>
      </c>
      <c r="G45" s="160"/>
      <c r="H45" s="160"/>
      <c r="I45" s="160" t="s">
        <v>683</v>
      </c>
      <c r="J45" s="160"/>
      <c r="K45" s="160"/>
      <c r="L45" s="201" t="s">
        <v>1337</v>
      </c>
    </row>
    <row r="46" customFormat="false" ht="13.5" hidden="false" customHeight="false" outlineLevel="0" collapsed="false">
      <c r="B46" s="229" t="n">
        <f aca="false">B45+1</f>
        <v>42</v>
      </c>
      <c r="C46" s="160"/>
      <c r="D46" s="160"/>
      <c r="E46" s="160"/>
      <c r="F46" s="160" t="s">
        <v>227</v>
      </c>
      <c r="G46" s="160"/>
      <c r="H46" s="160"/>
      <c r="I46" s="160" t="s">
        <v>687</v>
      </c>
      <c r="J46" s="160"/>
      <c r="K46" s="160"/>
      <c r="L46" s="201" t="s">
        <v>1339</v>
      </c>
    </row>
    <row r="47" customFormat="false" ht="13.5" hidden="false" customHeight="false" outlineLevel="0" collapsed="false">
      <c r="B47" s="229" t="n">
        <f aca="false">B46+1</f>
        <v>43</v>
      </c>
      <c r="C47" s="160"/>
      <c r="D47" s="160"/>
      <c r="E47" s="160"/>
      <c r="F47" s="160" t="s">
        <v>230</v>
      </c>
      <c r="G47" s="160"/>
      <c r="H47" s="160"/>
      <c r="I47" s="160" t="s">
        <v>689</v>
      </c>
      <c r="J47" s="160"/>
      <c r="K47" s="160"/>
      <c r="L47" s="201" t="s">
        <v>1345</v>
      </c>
    </row>
    <row r="48" customFormat="false" ht="13.5" hidden="false" customHeight="false" outlineLevel="0" collapsed="false">
      <c r="B48" s="229" t="n">
        <f aca="false">B47+1</f>
        <v>44</v>
      </c>
      <c r="C48" s="160"/>
      <c r="D48" s="160"/>
      <c r="E48" s="160"/>
      <c r="F48" s="160" t="s">
        <v>232</v>
      </c>
      <c r="G48" s="160"/>
      <c r="H48" s="160"/>
      <c r="I48" s="160" t="s">
        <v>691</v>
      </c>
      <c r="J48" s="160"/>
      <c r="K48" s="160"/>
      <c r="L48" s="201" t="s">
        <v>1351</v>
      </c>
    </row>
    <row r="49" customFormat="false" ht="13.5" hidden="false" customHeight="false" outlineLevel="0" collapsed="false">
      <c r="B49" s="229" t="n">
        <f aca="false">B48+1</f>
        <v>45</v>
      </c>
      <c r="C49" s="160"/>
      <c r="D49" s="160"/>
      <c r="E49" s="160"/>
      <c r="F49" s="160" t="s">
        <v>234</v>
      </c>
      <c r="G49" s="160"/>
      <c r="H49" s="160"/>
      <c r="I49" s="160" t="s">
        <v>695</v>
      </c>
      <c r="J49" s="160"/>
      <c r="K49" s="160"/>
      <c r="L49" s="201" t="s">
        <v>1353</v>
      </c>
    </row>
    <row r="50" customFormat="false" ht="13.5" hidden="false" customHeight="false" outlineLevel="0" collapsed="false">
      <c r="B50" s="229" t="n">
        <f aca="false">B49+1</f>
        <v>46</v>
      </c>
      <c r="C50" s="160"/>
      <c r="D50" s="160"/>
      <c r="E50" s="160"/>
      <c r="F50" s="160" t="s">
        <v>238</v>
      </c>
      <c r="G50" s="160"/>
      <c r="H50" s="160"/>
      <c r="I50" s="160" t="s">
        <v>698</v>
      </c>
      <c r="J50" s="160"/>
      <c r="K50" s="160"/>
      <c r="L50" s="201" t="s">
        <v>1355</v>
      </c>
    </row>
    <row r="51" customFormat="false" ht="13.5" hidden="false" customHeight="false" outlineLevel="0" collapsed="false">
      <c r="B51" s="229" t="n">
        <f aca="false">B50+1</f>
        <v>47</v>
      </c>
      <c r="C51" s="160"/>
      <c r="D51" s="160"/>
      <c r="E51" s="160"/>
      <c r="F51" s="160" t="s">
        <v>247</v>
      </c>
      <c r="G51" s="160"/>
      <c r="H51" s="160"/>
      <c r="I51" s="160" t="s">
        <v>700</v>
      </c>
      <c r="J51" s="160"/>
      <c r="K51" s="160"/>
      <c r="L51" s="201" t="s">
        <v>1357</v>
      </c>
    </row>
    <row r="52" customFormat="false" ht="13.5" hidden="false" customHeight="false" outlineLevel="0" collapsed="false">
      <c r="B52" s="229" t="n">
        <f aca="false">B51+1</f>
        <v>48</v>
      </c>
      <c r="C52" s="160"/>
      <c r="D52" s="160"/>
      <c r="E52" s="160"/>
      <c r="F52" s="160" t="s">
        <v>249</v>
      </c>
      <c r="G52" s="160"/>
      <c r="H52" s="160"/>
      <c r="I52" s="160" t="s">
        <v>703</v>
      </c>
      <c r="J52" s="160"/>
      <c r="K52" s="160"/>
      <c r="L52" s="201" t="s">
        <v>1359</v>
      </c>
    </row>
    <row r="53" customFormat="false" ht="13.5" hidden="false" customHeight="false" outlineLevel="0" collapsed="false">
      <c r="B53" s="229" t="n">
        <f aca="false">B52+1</f>
        <v>49</v>
      </c>
      <c r="C53" s="160"/>
      <c r="D53" s="160"/>
      <c r="E53" s="160"/>
      <c r="F53" s="160" t="s">
        <v>252</v>
      </c>
      <c r="G53" s="160"/>
      <c r="H53" s="160"/>
      <c r="I53" s="160"/>
      <c r="J53" s="160"/>
      <c r="K53" s="160"/>
      <c r="L53" s="201" t="s">
        <v>1361</v>
      </c>
    </row>
    <row r="54" customFormat="false" ht="12" hidden="false" customHeight="false" outlineLevel="0" collapsed="false">
      <c r="B54" s="229" t="n">
        <f aca="false">B53+1</f>
        <v>50</v>
      </c>
      <c r="C54" s="160"/>
      <c r="D54" s="160"/>
      <c r="E54" s="160"/>
      <c r="F54" s="160" t="s">
        <v>254</v>
      </c>
      <c r="G54" s="160"/>
      <c r="H54" s="160"/>
      <c r="I54" s="160"/>
      <c r="J54" s="160"/>
      <c r="K54" s="160"/>
    </row>
    <row r="55" customFormat="false" ht="12" hidden="false" customHeight="false" outlineLevel="0" collapsed="false">
      <c r="B55" s="229" t="n">
        <f aca="false">B54+1</f>
        <v>51</v>
      </c>
      <c r="C55" s="160"/>
      <c r="D55" s="160"/>
      <c r="E55" s="160"/>
      <c r="F55" s="160" t="s">
        <v>256</v>
      </c>
      <c r="G55" s="160"/>
      <c r="H55" s="160"/>
      <c r="I55" s="160"/>
      <c r="J55" s="160"/>
      <c r="K55" s="160"/>
    </row>
    <row r="56" customFormat="false" ht="12" hidden="false" customHeight="false" outlineLevel="0" collapsed="false">
      <c r="B56" s="229" t="n">
        <f aca="false">B55+1</f>
        <v>52</v>
      </c>
      <c r="C56" s="160"/>
      <c r="D56" s="160"/>
      <c r="E56" s="160"/>
      <c r="F56" s="160" t="s">
        <v>258</v>
      </c>
      <c r="G56" s="160"/>
      <c r="H56" s="160"/>
      <c r="I56" s="160"/>
      <c r="J56" s="160"/>
      <c r="K56" s="160"/>
    </row>
    <row r="57" customFormat="false" ht="12" hidden="false" customHeight="false" outlineLevel="0" collapsed="false">
      <c r="B57" s="229" t="n">
        <f aca="false">B56+1</f>
        <v>53</v>
      </c>
      <c r="C57" s="160"/>
      <c r="D57" s="160"/>
      <c r="E57" s="160"/>
      <c r="F57" s="160" t="s">
        <v>260</v>
      </c>
      <c r="G57" s="160"/>
      <c r="H57" s="160"/>
      <c r="I57" s="160"/>
      <c r="J57" s="160"/>
      <c r="K57" s="160"/>
    </row>
    <row r="58" customFormat="false" ht="12" hidden="false" customHeight="false" outlineLevel="0" collapsed="false">
      <c r="B58" s="229" t="n">
        <f aca="false">B57+1</f>
        <v>54</v>
      </c>
      <c r="C58" s="160"/>
      <c r="D58" s="160"/>
      <c r="E58" s="160"/>
      <c r="F58" s="160" t="s">
        <v>262</v>
      </c>
      <c r="G58" s="160"/>
      <c r="H58" s="160"/>
      <c r="I58" s="160"/>
      <c r="J58" s="160"/>
      <c r="K58" s="160"/>
    </row>
    <row r="59" customFormat="false" ht="12" hidden="false" customHeight="false" outlineLevel="0" collapsed="false">
      <c r="B59" s="229" t="n">
        <f aca="false">B58+1</f>
        <v>55</v>
      </c>
      <c r="C59" s="160"/>
      <c r="D59" s="160"/>
      <c r="E59" s="160"/>
      <c r="F59" s="160" t="s">
        <v>264</v>
      </c>
      <c r="G59" s="160"/>
      <c r="H59" s="160"/>
      <c r="I59" s="160"/>
      <c r="J59" s="160"/>
      <c r="K59" s="160"/>
    </row>
    <row r="60" customFormat="false" ht="12" hidden="false" customHeight="false" outlineLevel="0" collapsed="false">
      <c r="B60" s="229" t="n">
        <f aca="false">B59+1</f>
        <v>56</v>
      </c>
      <c r="C60" s="160"/>
      <c r="D60" s="160"/>
      <c r="E60" s="160"/>
      <c r="F60" s="160" t="s">
        <v>267</v>
      </c>
      <c r="G60" s="160"/>
      <c r="H60" s="160"/>
      <c r="I60" s="160"/>
      <c r="J60" s="160"/>
      <c r="K60" s="160"/>
    </row>
    <row r="61" customFormat="false" ht="12" hidden="false" customHeight="false" outlineLevel="0" collapsed="false">
      <c r="B61" s="229" t="n">
        <f aca="false">B60+1</f>
        <v>57</v>
      </c>
      <c r="C61" s="160"/>
      <c r="D61" s="160"/>
      <c r="E61" s="160"/>
      <c r="F61" s="160" t="s">
        <v>269</v>
      </c>
      <c r="G61" s="160"/>
      <c r="H61" s="160"/>
      <c r="I61" s="160"/>
      <c r="J61" s="160"/>
      <c r="K61" s="160"/>
    </row>
    <row r="62" customFormat="false" ht="12" hidden="false" customHeight="false" outlineLevel="0" collapsed="false">
      <c r="B62" s="229" t="n">
        <f aca="false">B61+1</f>
        <v>58</v>
      </c>
      <c r="C62" s="160"/>
      <c r="D62" s="160"/>
      <c r="E62" s="160"/>
      <c r="F62" s="160" t="s">
        <v>273</v>
      </c>
      <c r="G62" s="160"/>
      <c r="H62" s="160"/>
      <c r="I62" s="160"/>
      <c r="J62" s="160"/>
      <c r="K62" s="160"/>
    </row>
    <row r="63" customFormat="false" ht="12" hidden="false" customHeight="false" outlineLevel="0" collapsed="false">
      <c r="B63" s="229" t="n">
        <f aca="false">B62+1</f>
        <v>59</v>
      </c>
      <c r="C63" s="160"/>
      <c r="D63" s="160"/>
      <c r="E63" s="160"/>
      <c r="F63" s="160" t="s">
        <v>309</v>
      </c>
      <c r="G63" s="160"/>
      <c r="H63" s="160"/>
      <c r="I63" s="160"/>
      <c r="J63" s="160"/>
      <c r="K63" s="160"/>
    </row>
    <row r="64" customFormat="false" ht="12" hidden="false" customHeight="false" outlineLevel="0" collapsed="false">
      <c r="B64" s="229" t="n">
        <f aca="false">B63+1</f>
        <v>60</v>
      </c>
      <c r="C64" s="160"/>
      <c r="D64" s="160"/>
      <c r="E64" s="160"/>
      <c r="F64" s="160" t="s">
        <v>420</v>
      </c>
      <c r="G64" s="160"/>
      <c r="H64" s="160"/>
      <c r="I64" s="160"/>
      <c r="J64" s="160"/>
      <c r="K64" s="160"/>
    </row>
    <row r="65" customFormat="false" ht="12" hidden="false" customHeight="false" outlineLevel="0" collapsed="false">
      <c r="B65" s="229" t="n">
        <f aca="false">B64+1</f>
        <v>61</v>
      </c>
      <c r="C65" s="160"/>
      <c r="D65" s="160"/>
      <c r="E65" s="160"/>
      <c r="F65" s="160" t="s">
        <v>503</v>
      </c>
      <c r="G65" s="160"/>
      <c r="H65" s="160"/>
      <c r="I65" s="160"/>
      <c r="J65" s="160"/>
      <c r="K65" s="160"/>
    </row>
  </sheetData>
  <conditionalFormatting sqref="K5:K43">
    <cfRule type="duplicateValues" priority="2" aboveAverage="0" equalAverage="0" bottom="0" percent="0" rank="0" text="" dxfId="166"/>
    <cfRule type="duplicateValues" priority="3" aboveAverage="0" equalAverage="0" bottom="0" percent="0" rank="0" text="" dxfId="167"/>
    <cfRule type="duplicateValues" priority="4" aboveAverage="0" equalAverage="0" bottom="0" percent="0" rank="0" text="" dxfId="168"/>
    <cfRule type="duplicateValues" priority="5" aboveAverage="0" equalAverage="0" bottom="0" percent="0" rank="0" text="" dxfId="169"/>
  </conditionalFormatting>
  <conditionalFormatting sqref="G5:G15">
    <cfRule type="duplicateValues" priority="6" aboveAverage="0" equalAverage="0" bottom="0" percent="0" rank="0" text="" dxfId="170"/>
  </conditionalFormatting>
  <conditionalFormatting sqref="G5:G17">
    <cfRule type="duplicateValues" priority="7" aboveAverage="0" equalAverage="0" bottom="0" percent="0" rank="0" text="" dxfId="171"/>
  </conditionalFormatting>
  <conditionalFormatting sqref="G17 G5:G15">
    <cfRule type="duplicateValues" priority="8" aboveAverage="0" equalAverage="0" bottom="0" percent="0" rank="0" text="" dxfId="172"/>
    <cfRule type="duplicateValues" priority="9" aboveAverage="0" equalAverage="0" bottom="0" percent="0" rank="0" text="" dxfId="173"/>
  </conditionalFormatting>
  <conditionalFormatting sqref="G17">
    <cfRule type="duplicateValues" priority="10" aboveAverage="0" equalAverage="0" bottom="0" percent="0" rank="0" text="" dxfId="17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T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C4:AE412 A1"/>
    </sheetView>
  </sheetViews>
  <sheetFormatPr defaultColWidth="9.00390625" defaultRowHeight="13.5" zeroHeight="false" outlineLevelRow="0" outlineLevelCol="0"/>
  <cols>
    <col collapsed="false" customWidth="true" hidden="false" outlineLevel="0" max="1" min="1" style="231" width="28.54"/>
    <col collapsed="false" customWidth="true" hidden="false" outlineLevel="0" max="2" min="2" style="231" width="31.09"/>
    <col collapsed="false" customWidth="true" hidden="false" outlineLevel="0" max="3" min="3" style="231" width="19.54"/>
    <col collapsed="false" customWidth="true" hidden="true" outlineLevel="0" max="26" min="4" style="231" width="19.54"/>
    <col collapsed="false" customWidth="true" hidden="false" outlineLevel="0" max="37" min="27" style="231" width="19.54"/>
    <col collapsed="false" customWidth="true" hidden="true" outlineLevel="0" max="55" min="38" style="231" width="19.54"/>
    <col collapsed="false" customWidth="true" hidden="false" outlineLevel="0" max="56" min="56" style="231" width="19.54"/>
    <col collapsed="false" customWidth="true" hidden="false" outlineLevel="0" max="57" min="57" style="231" width="52.09"/>
    <col collapsed="false" customWidth="true" hidden="false" outlineLevel="0" max="456" min="58" style="231" width="19.54"/>
    <col collapsed="false" customWidth="false" hidden="false" outlineLevel="0" max="16384" min="457" style="231" width="9"/>
  </cols>
  <sheetData>
    <row r="1" customFormat="false" ht="13.5" hidden="false" customHeight="false" outlineLevel="0" collapsed="false">
      <c r="A1" s="232" t="s">
        <v>890</v>
      </c>
      <c r="B1" s="232" t="s">
        <v>1375</v>
      </c>
      <c r="C1" s="232" t="s">
        <v>891</v>
      </c>
      <c r="D1" s="232" t="s">
        <v>892</v>
      </c>
      <c r="E1" s="232" t="s">
        <v>1376</v>
      </c>
      <c r="F1" s="232" t="s">
        <v>88</v>
      </c>
      <c r="G1" s="232" t="s">
        <v>1377</v>
      </c>
      <c r="H1" s="232" t="s">
        <v>1378</v>
      </c>
      <c r="I1" s="232" t="s">
        <v>1379</v>
      </c>
      <c r="J1" s="232" t="s">
        <v>1380</v>
      </c>
      <c r="K1" s="232" t="s">
        <v>1381</v>
      </c>
      <c r="L1" s="232" t="s">
        <v>1382</v>
      </c>
      <c r="M1" s="232" t="s">
        <v>1383</v>
      </c>
      <c r="N1" s="232" t="s">
        <v>1384</v>
      </c>
      <c r="O1" s="232" t="s">
        <v>1385</v>
      </c>
      <c r="P1" s="232" t="s">
        <v>1386</v>
      </c>
      <c r="Q1" s="232" t="s">
        <v>1387</v>
      </c>
      <c r="R1" s="232" t="s">
        <v>1388</v>
      </c>
      <c r="S1" s="232" t="s">
        <v>1389</v>
      </c>
      <c r="T1" s="232" t="s">
        <v>1390</v>
      </c>
      <c r="U1" s="232" t="s">
        <v>1391</v>
      </c>
      <c r="V1" s="232" t="s">
        <v>1392</v>
      </c>
      <c r="W1" s="232" t="s">
        <v>1393</v>
      </c>
      <c r="X1" s="232" t="s">
        <v>1394</v>
      </c>
      <c r="Y1" s="232" t="s">
        <v>1395</v>
      </c>
      <c r="Z1" s="232" t="s">
        <v>1396</v>
      </c>
      <c r="AA1" s="232" t="s">
        <v>1397</v>
      </c>
      <c r="AB1" s="232" t="s">
        <v>51</v>
      </c>
      <c r="AC1" s="232" t="s">
        <v>1398</v>
      </c>
      <c r="AD1" s="232" t="s">
        <v>1399</v>
      </c>
      <c r="AE1" s="232" t="s">
        <v>1400</v>
      </c>
      <c r="AF1" s="232" t="s">
        <v>1401</v>
      </c>
      <c r="AG1" s="232" t="s">
        <v>1402</v>
      </c>
      <c r="AH1" s="232" t="s">
        <v>1403</v>
      </c>
      <c r="AI1" s="232" t="s">
        <v>1404</v>
      </c>
      <c r="AJ1" s="232" t="s">
        <v>1405</v>
      </c>
      <c r="AK1" s="232" t="s">
        <v>1406</v>
      </c>
      <c r="AL1" s="232" t="s">
        <v>1407</v>
      </c>
      <c r="AM1" s="232" t="s">
        <v>1408</v>
      </c>
      <c r="AN1" s="232" t="s">
        <v>1409</v>
      </c>
      <c r="AO1" s="232" t="s">
        <v>1410</v>
      </c>
      <c r="AP1" s="232" t="s">
        <v>1411</v>
      </c>
      <c r="AQ1" s="232" t="s">
        <v>1412</v>
      </c>
      <c r="AR1" s="232" t="s">
        <v>1413</v>
      </c>
      <c r="AS1" s="232" t="s">
        <v>1414</v>
      </c>
      <c r="AT1" s="232" t="s">
        <v>1415</v>
      </c>
      <c r="AU1" s="232" t="s">
        <v>1416</v>
      </c>
      <c r="AV1" s="232" t="s">
        <v>1417</v>
      </c>
      <c r="AW1" s="232" t="s">
        <v>1418</v>
      </c>
      <c r="AX1" s="232" t="s">
        <v>1419</v>
      </c>
      <c r="AY1" s="232" t="s">
        <v>1420</v>
      </c>
      <c r="AZ1" s="232" t="s">
        <v>1421</v>
      </c>
      <c r="BA1" s="232" t="s">
        <v>1422</v>
      </c>
      <c r="BB1" s="232" t="s">
        <v>1423</v>
      </c>
      <c r="BC1" s="232" t="s">
        <v>1424</v>
      </c>
      <c r="BD1" s="232" t="s">
        <v>1425</v>
      </c>
      <c r="BE1" s="232" t="s">
        <v>1426</v>
      </c>
      <c r="BF1" s="232" t="s">
        <v>1427</v>
      </c>
      <c r="BG1" s="232" t="s">
        <v>1428</v>
      </c>
      <c r="BH1" s="232" t="s">
        <v>1429</v>
      </c>
      <c r="BI1" s="232" t="s">
        <v>1430</v>
      </c>
      <c r="BJ1" s="232" t="s">
        <v>1431</v>
      </c>
      <c r="BK1" s="232" t="s">
        <v>1432</v>
      </c>
      <c r="BL1" s="232" t="s">
        <v>1433</v>
      </c>
      <c r="BM1" s="232" t="s">
        <v>1434</v>
      </c>
      <c r="BN1" s="232" t="s">
        <v>1435</v>
      </c>
      <c r="BO1" s="232" t="s">
        <v>1436</v>
      </c>
      <c r="BP1" s="232" t="s">
        <v>1437</v>
      </c>
      <c r="BQ1" s="232" t="s">
        <v>1438</v>
      </c>
      <c r="BR1" s="232" t="s">
        <v>1439</v>
      </c>
      <c r="BS1" s="232" t="s">
        <v>1440</v>
      </c>
      <c r="BT1" s="232" t="s">
        <v>1441</v>
      </c>
      <c r="BU1" s="232" t="s">
        <v>1442</v>
      </c>
      <c r="BV1" s="232" t="s">
        <v>1443</v>
      </c>
      <c r="BW1" s="232" t="s">
        <v>1444</v>
      </c>
      <c r="BX1" s="232" t="s">
        <v>1445</v>
      </c>
      <c r="BY1" s="232" t="s">
        <v>1446</v>
      </c>
      <c r="BZ1" s="232" t="s">
        <v>1447</v>
      </c>
      <c r="CA1" s="232" t="s">
        <v>1448</v>
      </c>
      <c r="CB1" s="232" t="s">
        <v>1449</v>
      </c>
      <c r="CC1" s="232" t="s">
        <v>1450</v>
      </c>
      <c r="CD1" s="232" t="s">
        <v>1451</v>
      </c>
      <c r="CE1" s="232" t="s">
        <v>1452</v>
      </c>
      <c r="CF1" s="232" t="s">
        <v>1453</v>
      </c>
      <c r="CG1" s="232" t="s">
        <v>1454</v>
      </c>
      <c r="CH1" s="232" t="s">
        <v>1455</v>
      </c>
      <c r="CI1" s="232" t="s">
        <v>1456</v>
      </c>
      <c r="CJ1" s="232" t="s">
        <v>1457</v>
      </c>
      <c r="CK1" s="232" t="s">
        <v>1458</v>
      </c>
      <c r="CL1" s="232" t="s">
        <v>1459</v>
      </c>
      <c r="CM1" s="232" t="s">
        <v>1460</v>
      </c>
      <c r="CN1" s="232" t="s">
        <v>1461</v>
      </c>
      <c r="CO1" s="232" t="s">
        <v>1462</v>
      </c>
      <c r="CP1" s="232" t="s">
        <v>1463</v>
      </c>
      <c r="CQ1" s="232" t="s">
        <v>1464</v>
      </c>
      <c r="CR1" s="232" t="s">
        <v>1465</v>
      </c>
      <c r="CS1" s="232" t="s">
        <v>1466</v>
      </c>
      <c r="CT1" s="232" t="s">
        <v>1467</v>
      </c>
      <c r="CU1" s="232" t="s">
        <v>1468</v>
      </c>
      <c r="CV1" s="232" t="s">
        <v>1469</v>
      </c>
      <c r="CW1" s="232" t="s">
        <v>1470</v>
      </c>
      <c r="CX1" s="232" t="s">
        <v>1471</v>
      </c>
      <c r="CY1" s="232" t="s">
        <v>1472</v>
      </c>
      <c r="CZ1" s="232" t="s">
        <v>1473</v>
      </c>
      <c r="DA1" s="232" t="s">
        <v>1474</v>
      </c>
      <c r="DB1" s="232" t="s">
        <v>1475</v>
      </c>
      <c r="DC1" s="232" t="s">
        <v>1476</v>
      </c>
      <c r="DD1" s="232" t="s">
        <v>1477</v>
      </c>
      <c r="DE1" s="232" t="s">
        <v>1478</v>
      </c>
      <c r="DF1" s="232" t="s">
        <v>1479</v>
      </c>
      <c r="DG1" s="232" t="s">
        <v>1480</v>
      </c>
      <c r="DH1" s="232" t="s">
        <v>1481</v>
      </c>
      <c r="DI1" s="232" t="s">
        <v>1482</v>
      </c>
      <c r="DJ1" s="232" t="s">
        <v>1483</v>
      </c>
      <c r="DK1" s="232" t="s">
        <v>1484</v>
      </c>
      <c r="DL1" s="232" t="s">
        <v>1485</v>
      </c>
      <c r="DM1" s="232" t="s">
        <v>1486</v>
      </c>
      <c r="DN1" s="232" t="s">
        <v>1487</v>
      </c>
      <c r="DO1" s="232" t="s">
        <v>1488</v>
      </c>
      <c r="DP1" s="232" t="s">
        <v>1489</v>
      </c>
      <c r="DQ1" s="232" t="s">
        <v>1490</v>
      </c>
      <c r="DR1" s="232" t="s">
        <v>1491</v>
      </c>
      <c r="DS1" s="232" t="s">
        <v>1492</v>
      </c>
      <c r="DT1" s="232" t="s">
        <v>1493</v>
      </c>
      <c r="DU1" s="232" t="s">
        <v>1494</v>
      </c>
      <c r="DV1" s="232" t="s">
        <v>1495</v>
      </c>
      <c r="DW1" s="232" t="s">
        <v>1496</v>
      </c>
      <c r="DX1" s="232" t="s">
        <v>1497</v>
      </c>
      <c r="DY1" s="232" t="s">
        <v>1498</v>
      </c>
      <c r="DZ1" s="232" t="s">
        <v>1499</v>
      </c>
      <c r="EA1" s="232" t="s">
        <v>1500</v>
      </c>
      <c r="EB1" s="232" t="s">
        <v>1501</v>
      </c>
      <c r="EC1" s="232" t="s">
        <v>1502</v>
      </c>
      <c r="ED1" s="232" t="s">
        <v>1503</v>
      </c>
      <c r="EE1" s="232" t="s">
        <v>1504</v>
      </c>
      <c r="EF1" s="232" t="s">
        <v>1505</v>
      </c>
      <c r="EG1" s="232" t="s">
        <v>1506</v>
      </c>
      <c r="EH1" s="232" t="s">
        <v>1507</v>
      </c>
      <c r="EI1" s="232" t="s">
        <v>1508</v>
      </c>
      <c r="EJ1" s="232" t="s">
        <v>1509</v>
      </c>
      <c r="EK1" s="232" t="s">
        <v>1510</v>
      </c>
      <c r="EL1" s="232" t="s">
        <v>1511</v>
      </c>
      <c r="EM1" s="232" t="s">
        <v>1512</v>
      </c>
      <c r="EN1" s="232" t="s">
        <v>1513</v>
      </c>
      <c r="EO1" s="232" t="s">
        <v>1514</v>
      </c>
      <c r="EP1" s="232" t="s">
        <v>1515</v>
      </c>
      <c r="EQ1" s="232" t="s">
        <v>1516</v>
      </c>
      <c r="ER1" s="232" t="s">
        <v>1517</v>
      </c>
      <c r="ES1" s="232" t="s">
        <v>1518</v>
      </c>
      <c r="ET1" s="232" t="s">
        <v>1519</v>
      </c>
    </row>
    <row r="2" customFormat="false" ht="13.5" hidden="false" customHeight="false" outlineLevel="0" collapsed="false">
      <c r="A2" s="233" t="n">
        <v>45748</v>
      </c>
      <c r="B2" s="234" t="s">
        <v>1520</v>
      </c>
      <c r="C2" s="234" t="s">
        <v>117</v>
      </c>
      <c r="D2" s="234" t="s">
        <v>897</v>
      </c>
      <c r="E2" s="234" t="s">
        <v>1521</v>
      </c>
      <c r="F2" s="234" t="s">
        <v>116</v>
      </c>
      <c r="G2" s="234" t="s">
        <v>1522</v>
      </c>
      <c r="H2" s="234" t="s">
        <v>1523</v>
      </c>
      <c r="I2" s="234" t="s">
        <v>1524</v>
      </c>
      <c r="J2" s="234" t="s">
        <v>1525</v>
      </c>
      <c r="K2" s="233" t="n">
        <v>45748</v>
      </c>
      <c r="L2" s="234"/>
      <c r="M2" s="234" t="s">
        <v>1526</v>
      </c>
      <c r="N2" s="234" t="n">
        <v>1</v>
      </c>
      <c r="O2" s="234" t="s">
        <v>1527</v>
      </c>
      <c r="P2" s="234" t="s">
        <v>1528</v>
      </c>
      <c r="Q2" s="234" t="s">
        <v>1529</v>
      </c>
      <c r="R2" s="234" t="s">
        <v>1530</v>
      </c>
      <c r="S2" s="234"/>
      <c r="T2" s="234"/>
      <c r="U2" s="234" t="s">
        <v>1531</v>
      </c>
      <c r="V2" s="234" t="s">
        <v>1532</v>
      </c>
      <c r="W2" s="234" t="s">
        <v>1533</v>
      </c>
      <c r="X2" s="234" t="s">
        <v>1534</v>
      </c>
      <c r="Y2" s="234" t="s">
        <v>1535</v>
      </c>
      <c r="Z2" s="234" t="s">
        <v>1536</v>
      </c>
      <c r="AA2" s="234" t="n">
        <v>60000</v>
      </c>
      <c r="AB2" s="234" t="n">
        <f aca="false">69600</f>
        <v>69600</v>
      </c>
      <c r="AC2" s="234" t="n">
        <v>0</v>
      </c>
      <c r="AD2" s="234" t="n">
        <v>0</v>
      </c>
      <c r="AE2" s="234" t="s">
        <v>1399</v>
      </c>
      <c r="AF2" s="234"/>
      <c r="AG2" s="233" t="n">
        <v>45749</v>
      </c>
      <c r="AH2" s="234" t="s">
        <v>1537</v>
      </c>
      <c r="AI2" s="234" t="s">
        <v>1538</v>
      </c>
      <c r="AJ2" s="234" t="s">
        <v>1539</v>
      </c>
      <c r="AK2" s="234"/>
      <c r="AL2" s="234"/>
      <c r="AM2" s="234"/>
      <c r="AN2" s="234"/>
      <c r="AO2" s="234"/>
      <c r="AP2" s="234"/>
      <c r="AQ2" s="234"/>
      <c r="AR2" s="234"/>
      <c r="AS2" s="234"/>
      <c r="AT2" s="234" t="s">
        <v>89</v>
      </c>
      <c r="AU2" s="234" t="s">
        <v>1540</v>
      </c>
      <c r="AV2" s="234" t="n">
        <v>0</v>
      </c>
      <c r="AW2" s="234"/>
      <c r="AX2" s="234"/>
      <c r="AY2" s="234"/>
      <c r="AZ2" s="234"/>
      <c r="BA2" s="234"/>
      <c r="BB2" s="234"/>
      <c r="BC2" s="234"/>
      <c r="BD2" s="234" t="s">
        <v>1541</v>
      </c>
      <c r="BE2" s="235" t="s">
        <v>1542</v>
      </c>
      <c r="BF2" s="234" t="n">
        <v>3</v>
      </c>
      <c r="BG2" s="234" t="s">
        <v>1530</v>
      </c>
      <c r="BH2" s="234" t="s">
        <v>1530</v>
      </c>
      <c r="BI2" s="234" t="n">
        <v>60000</v>
      </c>
      <c r="BJ2" s="234" t="s">
        <v>1543</v>
      </c>
      <c r="BK2" s="234" t="n">
        <v>20000</v>
      </c>
      <c r="BL2" s="234" t="s">
        <v>1544</v>
      </c>
      <c r="BM2" s="234"/>
      <c r="BN2" s="234"/>
      <c r="BO2" s="234"/>
      <c r="BP2" s="234"/>
      <c r="BQ2" s="234"/>
      <c r="BR2" s="234" t="s">
        <v>1545</v>
      </c>
      <c r="BS2" s="234" t="s">
        <v>1546</v>
      </c>
      <c r="BT2" s="234" t="s">
        <v>1547</v>
      </c>
      <c r="BU2" s="234" t="s">
        <v>1548</v>
      </c>
      <c r="BV2" s="234" t="s">
        <v>1549</v>
      </c>
      <c r="BW2" s="234" t="s">
        <v>1550</v>
      </c>
      <c r="BX2" s="234"/>
      <c r="BY2" s="234"/>
      <c r="BZ2" s="234"/>
      <c r="CA2" s="234" t="s">
        <v>1545</v>
      </c>
      <c r="CB2" s="234" t="s">
        <v>1546</v>
      </c>
      <c r="CC2" s="234" t="s">
        <v>1547</v>
      </c>
      <c r="CD2" s="234" t="s">
        <v>1548</v>
      </c>
      <c r="CE2" s="234" t="s">
        <v>1549</v>
      </c>
      <c r="CF2" s="234" t="s">
        <v>1550</v>
      </c>
      <c r="CG2" s="234"/>
      <c r="CH2" s="234"/>
      <c r="CI2" s="234" t="s">
        <v>0</v>
      </c>
      <c r="CJ2" s="234" t="s">
        <v>1551</v>
      </c>
      <c r="CK2" s="234" t="s">
        <v>1552</v>
      </c>
      <c r="CL2" s="234" t="s">
        <v>1553</v>
      </c>
      <c r="CM2" s="234" t="s">
        <v>1554</v>
      </c>
      <c r="CN2" s="234" t="s">
        <v>1549</v>
      </c>
      <c r="CO2" s="234" t="s">
        <v>1555</v>
      </c>
      <c r="CP2" s="234" t="s">
        <v>1556</v>
      </c>
      <c r="CQ2" s="234" t="s">
        <v>1557</v>
      </c>
      <c r="CR2" s="234" t="s">
        <v>1530</v>
      </c>
      <c r="CS2" s="234" t="s">
        <v>1530</v>
      </c>
      <c r="CT2" s="234" t="s">
        <v>1558</v>
      </c>
      <c r="CU2" s="234" t="s">
        <v>1530</v>
      </c>
      <c r="CV2" s="234" t="s">
        <v>1530</v>
      </c>
      <c r="CW2" s="234" t="s">
        <v>1530</v>
      </c>
      <c r="CX2" s="234" t="s">
        <v>1559</v>
      </c>
      <c r="CY2" s="234" t="s">
        <v>1530</v>
      </c>
      <c r="CZ2" s="234" t="s">
        <v>1530</v>
      </c>
      <c r="DA2" s="234" t="s">
        <v>1530</v>
      </c>
      <c r="DB2" s="234" t="s">
        <v>1559</v>
      </c>
      <c r="DC2" s="234" t="s">
        <v>1530</v>
      </c>
      <c r="DD2" s="234"/>
      <c r="DE2" s="234"/>
      <c r="DF2" s="234"/>
      <c r="DG2" s="234"/>
      <c r="DH2" s="234"/>
      <c r="DI2" s="234"/>
      <c r="DJ2" s="234"/>
      <c r="DK2" s="234"/>
      <c r="DL2" s="234"/>
      <c r="DM2" s="234"/>
      <c r="DN2" s="234"/>
      <c r="DO2" s="234"/>
      <c r="DP2" s="234" t="s">
        <v>1560</v>
      </c>
      <c r="DQ2" s="234" t="n">
        <v>0</v>
      </c>
      <c r="DR2" s="234"/>
      <c r="DS2" s="234"/>
      <c r="DT2" s="234"/>
      <c r="DU2" s="234"/>
      <c r="DV2" s="234"/>
      <c r="DW2" s="234"/>
      <c r="DX2" s="234" t="s">
        <v>1561</v>
      </c>
      <c r="DY2" s="234"/>
      <c r="DZ2" s="234"/>
      <c r="EA2" s="234"/>
      <c r="EB2" s="234"/>
      <c r="EC2" s="234"/>
      <c r="ED2" s="234"/>
      <c r="EE2" s="234"/>
      <c r="EF2" s="234"/>
      <c r="EG2" s="234"/>
      <c r="EH2" s="234" t="s">
        <v>1562</v>
      </c>
      <c r="EI2" s="234"/>
      <c r="EJ2" s="234"/>
      <c r="EK2" s="234" t="s">
        <v>1563</v>
      </c>
      <c r="EL2" s="234"/>
      <c r="EM2" s="234" t="s">
        <v>1564</v>
      </c>
      <c r="EN2" s="234" t="s">
        <v>1565</v>
      </c>
      <c r="EO2" s="234" t="s">
        <v>1566</v>
      </c>
      <c r="EP2" s="234" t="s">
        <v>1558</v>
      </c>
      <c r="EQ2" s="234" t="n">
        <v>10800</v>
      </c>
      <c r="ER2" s="234" t="s">
        <v>1567</v>
      </c>
      <c r="ES2" s="234"/>
      <c r="ET2" s="234"/>
    </row>
    <row r="3" customFormat="false" ht="13.5" hidden="false" customHeight="false" outlineLevel="0" collapsed="false">
      <c r="A3" s="233" t="n">
        <v>45748</v>
      </c>
      <c r="B3" s="234" t="s">
        <v>1568</v>
      </c>
      <c r="C3" s="234" t="s">
        <v>121</v>
      </c>
      <c r="D3" s="234" t="s">
        <v>897</v>
      </c>
      <c r="E3" s="234" t="s">
        <v>1569</v>
      </c>
      <c r="F3" s="234" t="s">
        <v>120</v>
      </c>
      <c r="G3" s="234" t="s">
        <v>1570</v>
      </c>
      <c r="H3" s="234" t="s">
        <v>1571</v>
      </c>
      <c r="I3" s="234" t="s">
        <v>1524</v>
      </c>
      <c r="J3" s="234" t="s">
        <v>1525</v>
      </c>
      <c r="K3" s="233" t="n">
        <v>45748</v>
      </c>
      <c r="L3" s="234"/>
      <c r="M3" s="234" t="s">
        <v>1526</v>
      </c>
      <c r="N3" s="234" t="n">
        <v>1</v>
      </c>
      <c r="O3" s="234" t="s">
        <v>1527</v>
      </c>
      <c r="P3" s="234" t="s">
        <v>1528</v>
      </c>
      <c r="Q3" s="234" t="s">
        <v>1529</v>
      </c>
      <c r="R3" s="234" t="s">
        <v>1530</v>
      </c>
      <c r="S3" s="234"/>
      <c r="T3" s="234"/>
      <c r="U3" s="234" t="s">
        <v>1527</v>
      </c>
      <c r="V3" s="234"/>
      <c r="W3" s="234" t="s">
        <v>1530</v>
      </c>
      <c r="X3" s="234"/>
      <c r="Y3" s="234"/>
      <c r="Z3" s="234" t="s">
        <v>1572</v>
      </c>
      <c r="AA3" s="234" t="n">
        <v>30000</v>
      </c>
      <c r="AB3" s="234" t="n">
        <v>35400</v>
      </c>
      <c r="AC3" s="234" t="n">
        <v>0</v>
      </c>
      <c r="AD3" s="234" t="n">
        <v>0</v>
      </c>
      <c r="AE3" s="234" t="s">
        <v>1399</v>
      </c>
      <c r="AF3" s="234"/>
      <c r="AG3" s="233" t="n">
        <v>45749</v>
      </c>
      <c r="AH3" s="234" t="s">
        <v>1537</v>
      </c>
      <c r="AI3" s="234" t="s">
        <v>1538</v>
      </c>
      <c r="AJ3" s="234" t="s">
        <v>1539</v>
      </c>
      <c r="AK3" s="235" t="s">
        <v>1573</v>
      </c>
      <c r="AL3" s="234"/>
      <c r="AM3" s="234"/>
      <c r="AN3" s="234"/>
      <c r="AO3" s="234"/>
      <c r="AP3" s="234"/>
      <c r="AQ3" s="234"/>
      <c r="AR3" s="234"/>
      <c r="AS3" s="234"/>
      <c r="AT3" s="234" t="s">
        <v>89</v>
      </c>
      <c r="AU3" s="234" t="s">
        <v>1540</v>
      </c>
      <c r="AV3" s="234" t="n">
        <v>0</v>
      </c>
      <c r="AW3" s="234"/>
      <c r="AX3" s="234"/>
      <c r="AY3" s="234"/>
      <c r="AZ3" s="234"/>
      <c r="BA3" s="234"/>
      <c r="BB3" s="234"/>
      <c r="BC3" s="234"/>
      <c r="BD3" s="234" t="s">
        <v>1541</v>
      </c>
      <c r="BE3" s="235" t="s">
        <v>1574</v>
      </c>
      <c r="BF3" s="234" t="n">
        <v>2</v>
      </c>
      <c r="BG3" s="234" t="s">
        <v>1530</v>
      </c>
      <c r="BH3" s="234" t="s">
        <v>1530</v>
      </c>
      <c r="BI3" s="234" t="n">
        <v>30000</v>
      </c>
      <c r="BJ3" s="234" t="s">
        <v>1543</v>
      </c>
      <c r="BK3" s="234" t="n">
        <v>15000</v>
      </c>
      <c r="BL3" s="234" t="s">
        <v>1544</v>
      </c>
      <c r="BM3" s="234"/>
      <c r="BN3" s="234"/>
      <c r="BO3" s="234"/>
      <c r="BP3" s="234"/>
      <c r="BQ3" s="234"/>
      <c r="BR3" s="234"/>
      <c r="BS3" s="234"/>
      <c r="BT3" s="234"/>
      <c r="BU3" s="234"/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 t="s">
        <v>0</v>
      </c>
      <c r="CJ3" s="234" t="s">
        <v>1551</v>
      </c>
      <c r="CK3" s="234" t="s">
        <v>1552</v>
      </c>
      <c r="CL3" s="234" t="s">
        <v>1553</v>
      </c>
      <c r="CM3" s="234" t="s">
        <v>1554</v>
      </c>
      <c r="CN3" s="234" t="s">
        <v>1549</v>
      </c>
      <c r="CO3" s="234" t="s">
        <v>1555</v>
      </c>
      <c r="CP3" s="234" t="s">
        <v>1556</v>
      </c>
      <c r="CQ3" s="234" t="s">
        <v>1557</v>
      </c>
      <c r="CR3" s="234" t="s">
        <v>1530</v>
      </c>
      <c r="CS3" s="234" t="s">
        <v>1530</v>
      </c>
      <c r="CT3" s="234" t="s">
        <v>1558</v>
      </c>
      <c r="CU3" s="234" t="s">
        <v>1530</v>
      </c>
      <c r="CV3" s="234" t="s">
        <v>1530</v>
      </c>
      <c r="CW3" s="234" t="s">
        <v>1530</v>
      </c>
      <c r="CX3" s="234" t="s">
        <v>1575</v>
      </c>
      <c r="CY3" s="234" t="s">
        <v>1530</v>
      </c>
      <c r="CZ3" s="234" t="s">
        <v>1530</v>
      </c>
      <c r="DA3" s="234" t="s">
        <v>1530</v>
      </c>
      <c r="DB3" s="234" t="s">
        <v>1575</v>
      </c>
      <c r="DC3" s="234" t="s">
        <v>1530</v>
      </c>
      <c r="DD3" s="234"/>
      <c r="DE3" s="234"/>
      <c r="DF3" s="234"/>
      <c r="DG3" s="234"/>
      <c r="DH3" s="234"/>
      <c r="DI3" s="234" t="s">
        <v>1572</v>
      </c>
      <c r="DJ3" s="234"/>
      <c r="DK3" s="234"/>
      <c r="DL3" s="234"/>
      <c r="DM3" s="234"/>
      <c r="DN3" s="234"/>
      <c r="DO3" s="234"/>
      <c r="DP3" s="234" t="s">
        <v>1560</v>
      </c>
      <c r="DQ3" s="234" t="n">
        <v>0</v>
      </c>
      <c r="DR3" s="234"/>
      <c r="DS3" s="234"/>
      <c r="DT3" s="234"/>
      <c r="DU3" s="234"/>
      <c r="DV3" s="234"/>
      <c r="DW3" s="234"/>
      <c r="DX3" s="234" t="s">
        <v>1561</v>
      </c>
      <c r="DY3" s="234"/>
      <c r="DZ3" s="234"/>
      <c r="EA3" s="234"/>
      <c r="EB3" s="234"/>
      <c r="EC3" s="234"/>
      <c r="ED3" s="234"/>
      <c r="EE3" s="234"/>
      <c r="EF3" s="234"/>
      <c r="EG3" s="234"/>
      <c r="EH3" s="234" t="s">
        <v>1562</v>
      </c>
      <c r="EI3" s="234"/>
      <c r="EJ3" s="234"/>
      <c r="EK3" s="234" t="s">
        <v>1563</v>
      </c>
      <c r="EL3" s="234"/>
      <c r="EM3" s="234" t="s">
        <v>1564</v>
      </c>
      <c r="EN3" s="234" t="s">
        <v>1565</v>
      </c>
      <c r="EO3" s="234" t="s">
        <v>1566</v>
      </c>
      <c r="EP3" s="234" t="s">
        <v>1558</v>
      </c>
      <c r="EQ3" s="234" t="n">
        <v>5400</v>
      </c>
      <c r="ER3" s="234" t="s">
        <v>1567</v>
      </c>
      <c r="ES3" s="234"/>
      <c r="ET3" s="234"/>
    </row>
    <row r="4" customFormat="false" ht="13.5" hidden="false" customHeight="false" outlineLevel="0" collapsed="false">
      <c r="A4" s="233" t="n">
        <v>45749</v>
      </c>
      <c r="B4" s="234" t="s">
        <v>1576</v>
      </c>
      <c r="C4" s="234" t="s">
        <v>123</v>
      </c>
      <c r="D4" s="234" t="s">
        <v>897</v>
      </c>
      <c r="E4" s="234" t="s">
        <v>1577</v>
      </c>
      <c r="F4" s="234" t="s">
        <v>122</v>
      </c>
      <c r="G4" s="234" t="s">
        <v>1570</v>
      </c>
      <c r="H4" s="234" t="s">
        <v>1571</v>
      </c>
      <c r="I4" s="234" t="s">
        <v>1578</v>
      </c>
      <c r="J4" s="234" t="s">
        <v>1525</v>
      </c>
      <c r="K4" s="233" t="n">
        <v>45749</v>
      </c>
      <c r="L4" s="234"/>
      <c r="M4" s="234" t="s">
        <v>1526</v>
      </c>
      <c r="N4" s="234" t="n">
        <v>1</v>
      </c>
      <c r="O4" s="234" t="s">
        <v>1527</v>
      </c>
      <c r="P4" s="234" t="s">
        <v>1528</v>
      </c>
      <c r="Q4" s="234" t="s">
        <v>1529</v>
      </c>
      <c r="R4" s="234" t="s">
        <v>1530</v>
      </c>
      <c r="S4" s="234"/>
      <c r="T4" s="234"/>
      <c r="U4" s="234" t="s">
        <v>1531</v>
      </c>
      <c r="V4" s="234" t="s">
        <v>1532</v>
      </c>
      <c r="W4" s="234" t="s">
        <v>1533</v>
      </c>
      <c r="X4" s="234" t="s">
        <v>1534</v>
      </c>
      <c r="Y4" s="234" t="s">
        <v>1535</v>
      </c>
      <c r="Z4" s="234" t="s">
        <v>1579</v>
      </c>
      <c r="AA4" s="234" t="n">
        <v>993600</v>
      </c>
      <c r="AB4" s="234" t="n">
        <v>1152576</v>
      </c>
      <c r="AC4" s="234" t="n">
        <v>0</v>
      </c>
      <c r="AD4" s="234" t="n">
        <v>0</v>
      </c>
      <c r="AE4" s="234" t="s">
        <v>1399</v>
      </c>
      <c r="AF4" s="234"/>
      <c r="AG4" s="233" t="n">
        <v>45762</v>
      </c>
      <c r="AH4" s="234" t="s">
        <v>1537</v>
      </c>
      <c r="AI4" s="234" t="s">
        <v>1538</v>
      </c>
      <c r="AJ4" s="234" t="s">
        <v>1539</v>
      </c>
      <c r="AK4" s="234"/>
      <c r="AL4" s="234"/>
      <c r="AM4" s="234"/>
      <c r="AN4" s="234"/>
      <c r="AO4" s="234"/>
      <c r="AP4" s="234"/>
      <c r="AQ4" s="234"/>
      <c r="AR4" s="234"/>
      <c r="AS4" s="234"/>
      <c r="AT4" s="234" t="s">
        <v>89</v>
      </c>
      <c r="AU4" s="234" t="s">
        <v>1540</v>
      </c>
      <c r="AV4" s="234" t="n">
        <v>0</v>
      </c>
      <c r="AW4" s="234"/>
      <c r="AX4" s="234"/>
      <c r="AY4" s="234"/>
      <c r="AZ4" s="234"/>
      <c r="BA4" s="234"/>
      <c r="BB4" s="234"/>
      <c r="BC4" s="234"/>
      <c r="BD4" s="234" t="s">
        <v>1541</v>
      </c>
      <c r="BE4" s="235" t="s">
        <v>1580</v>
      </c>
      <c r="BF4" s="234" t="n">
        <v>46</v>
      </c>
      <c r="BG4" s="234" t="s">
        <v>1581</v>
      </c>
      <c r="BH4" s="234" t="s">
        <v>1582</v>
      </c>
      <c r="BI4" s="234" t="n">
        <v>993600</v>
      </c>
      <c r="BJ4" s="234" t="s">
        <v>1543</v>
      </c>
      <c r="BK4" s="234" t="n">
        <v>24000</v>
      </c>
      <c r="BL4" s="234" t="s">
        <v>1544</v>
      </c>
      <c r="BM4" s="234"/>
      <c r="BN4" s="234"/>
      <c r="BO4" s="234"/>
      <c r="BP4" s="234"/>
      <c r="BQ4" s="234" t="s">
        <v>1583</v>
      </c>
      <c r="BR4" s="234" t="s">
        <v>1584</v>
      </c>
      <c r="BS4" s="234" t="s">
        <v>1585</v>
      </c>
      <c r="BT4" s="234" t="s">
        <v>1586</v>
      </c>
      <c r="BU4" s="234" t="s">
        <v>1587</v>
      </c>
      <c r="BV4" s="234" t="s">
        <v>1549</v>
      </c>
      <c r="BW4" s="234" t="s">
        <v>1588</v>
      </c>
      <c r="BX4" s="234" t="s">
        <v>1589</v>
      </c>
      <c r="BY4" s="234"/>
      <c r="BZ4" s="234" t="s">
        <v>1583</v>
      </c>
      <c r="CA4" s="234" t="s">
        <v>1584</v>
      </c>
      <c r="CB4" s="234" t="s">
        <v>1585</v>
      </c>
      <c r="CC4" s="234" t="s">
        <v>1586</v>
      </c>
      <c r="CD4" s="234" t="s">
        <v>1587</v>
      </c>
      <c r="CE4" s="234" t="s">
        <v>1549</v>
      </c>
      <c r="CF4" s="234" t="s">
        <v>1588</v>
      </c>
      <c r="CG4" s="234"/>
      <c r="CH4" s="234" t="s">
        <v>1589</v>
      </c>
      <c r="CI4" s="234" t="s">
        <v>0</v>
      </c>
      <c r="CJ4" s="234" t="s">
        <v>1551</v>
      </c>
      <c r="CK4" s="234" t="s">
        <v>1552</v>
      </c>
      <c r="CL4" s="234" t="s">
        <v>1553</v>
      </c>
      <c r="CM4" s="234" t="s">
        <v>1554</v>
      </c>
      <c r="CN4" s="234" t="s">
        <v>1549</v>
      </c>
      <c r="CO4" s="234" t="s">
        <v>1555</v>
      </c>
      <c r="CP4" s="234" t="s">
        <v>1556</v>
      </c>
      <c r="CQ4" s="234" t="s">
        <v>1557</v>
      </c>
      <c r="CR4" s="234" t="s">
        <v>1530</v>
      </c>
      <c r="CS4" s="234" t="s">
        <v>1530</v>
      </c>
      <c r="CT4" s="234" t="s">
        <v>1558</v>
      </c>
      <c r="CU4" s="234" t="s">
        <v>1530</v>
      </c>
      <c r="CV4" s="234" t="s">
        <v>1530</v>
      </c>
      <c r="CW4" s="234" t="s">
        <v>1530</v>
      </c>
      <c r="CX4" s="234" t="s">
        <v>1590</v>
      </c>
      <c r="CY4" s="234" t="s">
        <v>1530</v>
      </c>
      <c r="CZ4" s="234" t="s">
        <v>1530</v>
      </c>
      <c r="DA4" s="234" t="s">
        <v>1530</v>
      </c>
      <c r="DB4" s="234" t="s">
        <v>1590</v>
      </c>
      <c r="DC4" s="234" t="s">
        <v>1530</v>
      </c>
      <c r="DD4" s="234"/>
      <c r="DE4" s="234"/>
      <c r="DF4" s="234"/>
      <c r="DG4" s="234"/>
      <c r="DH4" s="234"/>
      <c r="DI4" s="234"/>
      <c r="DJ4" s="234"/>
      <c r="DK4" s="234"/>
      <c r="DL4" s="234" t="s">
        <v>1591</v>
      </c>
      <c r="DM4" s="234"/>
      <c r="DN4" s="234"/>
      <c r="DO4" s="234"/>
      <c r="DP4" s="234" t="s">
        <v>1560</v>
      </c>
      <c r="DQ4" s="234" t="n">
        <v>0</v>
      </c>
      <c r="DR4" s="234"/>
      <c r="DS4" s="234"/>
      <c r="DT4" s="234" t="s">
        <v>1592</v>
      </c>
      <c r="DU4" s="234"/>
      <c r="DV4" s="234" t="s">
        <v>1589</v>
      </c>
      <c r="DW4" s="234"/>
      <c r="DX4" s="234" t="s">
        <v>1561</v>
      </c>
      <c r="DY4" s="234"/>
      <c r="DZ4" s="234"/>
      <c r="EA4" s="234"/>
      <c r="EB4" s="234"/>
      <c r="EC4" s="234"/>
      <c r="ED4" s="234"/>
      <c r="EE4" s="234"/>
      <c r="EF4" s="234"/>
      <c r="EG4" s="234"/>
      <c r="EH4" s="234" t="s">
        <v>1562</v>
      </c>
      <c r="EI4" s="234"/>
      <c r="EJ4" s="234"/>
      <c r="EK4" s="234" t="s">
        <v>1563</v>
      </c>
      <c r="EL4" s="234"/>
      <c r="EM4" s="234" t="s">
        <v>1564</v>
      </c>
      <c r="EN4" s="234" t="s">
        <v>1565</v>
      </c>
      <c r="EO4" s="234" t="s">
        <v>1566</v>
      </c>
      <c r="EP4" s="234" t="s">
        <v>1558</v>
      </c>
      <c r="EQ4" s="234" t="n">
        <v>178848</v>
      </c>
      <c r="ER4" s="234" t="s">
        <v>1567</v>
      </c>
      <c r="ES4" s="234"/>
      <c r="ET4" s="234"/>
    </row>
    <row r="5" customFormat="false" ht="13.5" hidden="false" customHeight="false" outlineLevel="0" collapsed="false">
      <c r="A5" s="233" t="n">
        <v>45749</v>
      </c>
      <c r="B5" s="234" t="s">
        <v>1593</v>
      </c>
      <c r="C5" s="234" t="s">
        <v>989</v>
      </c>
      <c r="D5" s="234" t="s">
        <v>897</v>
      </c>
      <c r="E5" s="234" t="s">
        <v>1594</v>
      </c>
      <c r="F5" s="234" t="s">
        <v>125</v>
      </c>
      <c r="G5" s="234" t="s">
        <v>1570</v>
      </c>
      <c r="H5" s="234" t="s">
        <v>1571</v>
      </c>
      <c r="I5" s="234" t="s">
        <v>1595</v>
      </c>
      <c r="J5" s="234" t="s">
        <v>1525</v>
      </c>
      <c r="K5" s="233" t="n">
        <v>45749</v>
      </c>
      <c r="L5" s="234"/>
      <c r="M5" s="234" t="s">
        <v>1526</v>
      </c>
      <c r="N5" s="234" t="n">
        <v>1</v>
      </c>
      <c r="O5" s="234" t="s">
        <v>1527</v>
      </c>
      <c r="P5" s="234" t="s">
        <v>1528</v>
      </c>
      <c r="Q5" s="234" t="s">
        <v>1529</v>
      </c>
      <c r="R5" s="234" t="s">
        <v>1530</v>
      </c>
      <c r="S5" s="234"/>
      <c r="T5" s="234"/>
      <c r="U5" s="234" t="s">
        <v>1531</v>
      </c>
      <c r="V5" s="234" t="s">
        <v>1596</v>
      </c>
      <c r="W5" s="234" t="s">
        <v>1581</v>
      </c>
      <c r="X5" s="234" t="s">
        <v>1534</v>
      </c>
      <c r="Y5" s="234" t="s">
        <v>1535</v>
      </c>
      <c r="Z5" s="234" t="s">
        <v>1597</v>
      </c>
      <c r="AA5" s="234" t="n">
        <v>30000</v>
      </c>
      <c r="AB5" s="234" t="n">
        <v>32400</v>
      </c>
      <c r="AC5" s="234" t="n">
        <v>0</v>
      </c>
      <c r="AD5" s="234" t="n">
        <v>0</v>
      </c>
      <c r="AE5" s="234" t="s">
        <v>1399</v>
      </c>
      <c r="AF5" s="234"/>
      <c r="AG5" s="233" t="n">
        <v>45752</v>
      </c>
      <c r="AH5" s="234" t="s">
        <v>1537</v>
      </c>
      <c r="AI5" s="234" t="s">
        <v>1538</v>
      </c>
      <c r="AJ5" s="234" t="s">
        <v>1539</v>
      </c>
      <c r="AK5" s="234"/>
      <c r="AL5" s="234"/>
      <c r="AM5" s="234"/>
      <c r="AN5" s="234"/>
      <c r="AO5" s="234"/>
      <c r="AP5" s="234"/>
      <c r="AQ5" s="234"/>
      <c r="AR5" s="234"/>
      <c r="AS5" s="234"/>
      <c r="AT5" s="234" t="s">
        <v>89</v>
      </c>
      <c r="AU5" s="234" t="s">
        <v>1540</v>
      </c>
      <c r="AV5" s="234" t="n">
        <v>0</v>
      </c>
      <c r="AW5" s="234"/>
      <c r="AX5" s="234"/>
      <c r="AY5" s="234"/>
      <c r="AZ5" s="234"/>
      <c r="BA5" s="234"/>
      <c r="BB5" s="234"/>
      <c r="BC5" s="234"/>
      <c r="BD5" s="234" t="s">
        <v>1541</v>
      </c>
      <c r="BE5" s="235" t="s">
        <v>1598</v>
      </c>
      <c r="BF5" s="234" t="n">
        <v>1</v>
      </c>
      <c r="BG5" s="234" t="s">
        <v>1530</v>
      </c>
      <c r="BH5" s="234" t="s">
        <v>1530</v>
      </c>
      <c r="BI5" s="234" t="n">
        <v>30000</v>
      </c>
      <c r="BJ5" s="234" t="s">
        <v>1543</v>
      </c>
      <c r="BK5" s="234" t="n">
        <v>30000</v>
      </c>
      <c r="BL5" s="234" t="s">
        <v>1544</v>
      </c>
      <c r="BM5" s="234"/>
      <c r="BN5" s="234"/>
      <c r="BO5" s="234"/>
      <c r="BP5" s="234"/>
      <c r="BQ5" s="234"/>
      <c r="BR5" s="234" t="s">
        <v>1599</v>
      </c>
      <c r="BS5" s="234" t="s">
        <v>1600</v>
      </c>
      <c r="BT5" s="234" t="s">
        <v>1601</v>
      </c>
      <c r="BU5" s="234" t="s">
        <v>1587</v>
      </c>
      <c r="BV5" s="234" t="s">
        <v>1549</v>
      </c>
      <c r="BW5" s="234" t="s">
        <v>1602</v>
      </c>
      <c r="BX5" s="234"/>
      <c r="BY5" s="234"/>
      <c r="BZ5" s="234"/>
      <c r="CA5" s="234" t="s">
        <v>1599</v>
      </c>
      <c r="CB5" s="234" t="s">
        <v>1600</v>
      </c>
      <c r="CC5" s="234" t="s">
        <v>1601</v>
      </c>
      <c r="CD5" s="234" t="s">
        <v>1587</v>
      </c>
      <c r="CE5" s="234" t="s">
        <v>1549</v>
      </c>
      <c r="CF5" s="234" t="s">
        <v>1602</v>
      </c>
      <c r="CG5" s="234"/>
      <c r="CH5" s="234"/>
      <c r="CI5" s="234" t="s">
        <v>0</v>
      </c>
      <c r="CJ5" s="234" t="s">
        <v>1551</v>
      </c>
      <c r="CK5" s="234" t="s">
        <v>1552</v>
      </c>
      <c r="CL5" s="234" t="s">
        <v>1553</v>
      </c>
      <c r="CM5" s="234" t="s">
        <v>1554</v>
      </c>
      <c r="CN5" s="234" t="s">
        <v>1549</v>
      </c>
      <c r="CO5" s="234" t="s">
        <v>1555</v>
      </c>
      <c r="CP5" s="234" t="s">
        <v>1556</v>
      </c>
      <c r="CQ5" s="234" t="s">
        <v>1557</v>
      </c>
      <c r="CR5" s="234" t="s">
        <v>1530</v>
      </c>
      <c r="CS5" s="234" t="s">
        <v>1530</v>
      </c>
      <c r="CT5" s="234" t="s">
        <v>1558</v>
      </c>
      <c r="CU5" s="234" t="s">
        <v>1530</v>
      </c>
      <c r="CV5" s="234" t="s">
        <v>1530</v>
      </c>
      <c r="CW5" s="234" t="s">
        <v>1530</v>
      </c>
      <c r="CX5" s="234" t="s">
        <v>1575</v>
      </c>
      <c r="CY5" s="234" t="s">
        <v>1530</v>
      </c>
      <c r="CZ5" s="234" t="s">
        <v>1530</v>
      </c>
      <c r="DA5" s="234" t="s">
        <v>1530</v>
      </c>
      <c r="DB5" s="234" t="s">
        <v>1575</v>
      </c>
      <c r="DC5" s="234" t="s">
        <v>1530</v>
      </c>
      <c r="DD5" s="234"/>
      <c r="DE5" s="234"/>
      <c r="DF5" s="234"/>
      <c r="DG5" s="234"/>
      <c r="DH5" s="234"/>
      <c r="DI5" s="234"/>
      <c r="DJ5" s="234"/>
      <c r="DK5" s="234"/>
      <c r="DL5" s="234" t="s">
        <v>1603</v>
      </c>
      <c r="DM5" s="234"/>
      <c r="DN5" s="234"/>
      <c r="DO5" s="234"/>
      <c r="DP5" s="234" t="s">
        <v>1560</v>
      </c>
      <c r="DQ5" s="234" t="n">
        <v>0</v>
      </c>
      <c r="DR5" s="234"/>
      <c r="DS5" s="234"/>
      <c r="DT5" s="234"/>
      <c r="DU5" s="234"/>
      <c r="DV5" s="234"/>
      <c r="DW5" s="234"/>
      <c r="DX5" s="234" t="s">
        <v>1561</v>
      </c>
      <c r="DY5" s="234"/>
      <c r="DZ5" s="234"/>
      <c r="EA5" s="234"/>
      <c r="EB5" s="234"/>
      <c r="EC5" s="234"/>
      <c r="ED5" s="234"/>
      <c r="EE5" s="234"/>
      <c r="EF5" s="234"/>
      <c r="EG5" s="234"/>
      <c r="EH5" s="234" t="s">
        <v>1562</v>
      </c>
      <c r="EI5" s="234"/>
      <c r="EJ5" s="234"/>
      <c r="EK5" s="234" t="s">
        <v>1563</v>
      </c>
      <c r="EL5" s="234"/>
      <c r="EM5" s="234" t="s">
        <v>1564</v>
      </c>
      <c r="EN5" s="234" t="s">
        <v>1565</v>
      </c>
      <c r="EO5" s="234" t="s">
        <v>1566</v>
      </c>
      <c r="EP5" s="234" t="s">
        <v>1558</v>
      </c>
      <c r="EQ5" s="234" t="n">
        <v>5400</v>
      </c>
      <c r="ER5" s="234" t="s">
        <v>1567</v>
      </c>
      <c r="ES5" s="234"/>
      <c r="ET5" s="234"/>
    </row>
    <row r="6" customFormat="false" ht="13.5" hidden="false" customHeight="false" outlineLevel="0" collapsed="false">
      <c r="A6" s="233" t="n">
        <v>45750</v>
      </c>
      <c r="B6" s="234" t="s">
        <v>1604</v>
      </c>
      <c r="C6" s="234" t="s">
        <v>128</v>
      </c>
      <c r="D6" s="234" t="s">
        <v>947</v>
      </c>
      <c r="E6" s="234" t="s">
        <v>1605</v>
      </c>
      <c r="F6" s="234" t="s">
        <v>127</v>
      </c>
      <c r="G6" s="234" t="s">
        <v>1606</v>
      </c>
      <c r="H6" s="234" t="s">
        <v>1607</v>
      </c>
      <c r="I6" s="234" t="s">
        <v>1595</v>
      </c>
      <c r="J6" s="234" t="s">
        <v>1525</v>
      </c>
      <c r="K6" s="233" t="n">
        <v>45750</v>
      </c>
      <c r="L6" s="234"/>
      <c r="M6" s="234" t="s">
        <v>1526</v>
      </c>
      <c r="N6" s="234" t="n">
        <v>1</v>
      </c>
      <c r="O6" s="234" t="s">
        <v>1527</v>
      </c>
      <c r="P6" s="234" t="s">
        <v>1528</v>
      </c>
      <c r="Q6" s="234" t="s">
        <v>1529</v>
      </c>
      <c r="R6" s="234" t="s">
        <v>1530</v>
      </c>
      <c r="S6" s="234"/>
      <c r="T6" s="234"/>
      <c r="U6" s="234" t="s">
        <v>1527</v>
      </c>
      <c r="V6" s="234"/>
      <c r="W6" s="234" t="s">
        <v>1530</v>
      </c>
      <c r="X6" s="234"/>
      <c r="Y6" s="234"/>
      <c r="Z6" s="234" t="s">
        <v>1572</v>
      </c>
      <c r="AA6" s="234" t="n">
        <v>99000</v>
      </c>
      <c r="AB6" s="234" t="n">
        <v>116820</v>
      </c>
      <c r="AC6" s="234" t="n">
        <v>116820</v>
      </c>
      <c r="AD6" s="234" t="n">
        <v>0</v>
      </c>
      <c r="AE6" s="234" t="s">
        <v>1399</v>
      </c>
      <c r="AF6" s="234"/>
      <c r="AG6" s="234"/>
      <c r="AH6" s="234" t="s">
        <v>1537</v>
      </c>
      <c r="AI6" s="234" t="s">
        <v>1538</v>
      </c>
      <c r="AJ6" s="234" t="s">
        <v>1539</v>
      </c>
      <c r="AK6" s="234"/>
      <c r="AL6" s="234"/>
      <c r="AM6" s="234"/>
      <c r="AN6" s="234"/>
      <c r="AO6" s="234"/>
      <c r="AP6" s="234"/>
      <c r="AQ6" s="234"/>
      <c r="AR6" s="234"/>
      <c r="AS6" s="234"/>
      <c r="AT6" s="234" t="s">
        <v>89</v>
      </c>
      <c r="AU6" s="234" t="s">
        <v>1540</v>
      </c>
      <c r="AV6" s="234" t="n">
        <v>0</v>
      </c>
      <c r="AW6" s="234"/>
      <c r="AX6" s="234"/>
      <c r="AY6" s="234"/>
      <c r="AZ6" s="234"/>
      <c r="BA6" s="234"/>
      <c r="BB6" s="234"/>
      <c r="BC6" s="234"/>
      <c r="BD6" s="234" t="s">
        <v>1541</v>
      </c>
      <c r="BE6" s="235" t="s">
        <v>1608</v>
      </c>
      <c r="BF6" s="234" t="n">
        <v>2</v>
      </c>
      <c r="BG6" s="234" t="s">
        <v>1530</v>
      </c>
      <c r="BH6" s="234" t="s">
        <v>1530</v>
      </c>
      <c r="BI6" s="234" t="n">
        <v>99000</v>
      </c>
      <c r="BJ6" s="234" t="s">
        <v>1543</v>
      </c>
      <c r="BK6" s="234" t="n">
        <v>49500</v>
      </c>
      <c r="BL6" s="234" t="s">
        <v>1544</v>
      </c>
      <c r="BM6" s="234"/>
      <c r="BN6" s="234"/>
      <c r="BO6" s="234"/>
      <c r="BP6" s="234"/>
      <c r="BQ6" s="234"/>
      <c r="BR6" s="234" t="s">
        <v>1609</v>
      </c>
      <c r="BS6" s="234"/>
      <c r="BT6" s="234" t="s">
        <v>1610</v>
      </c>
      <c r="BU6" s="234" t="s">
        <v>1611</v>
      </c>
      <c r="BV6" s="234" t="s">
        <v>1549</v>
      </c>
      <c r="BW6" s="234" t="s">
        <v>1612</v>
      </c>
      <c r="BX6" s="234"/>
      <c r="BY6" s="234"/>
      <c r="BZ6" s="234"/>
      <c r="CA6" s="234" t="s">
        <v>1609</v>
      </c>
      <c r="CB6" s="234"/>
      <c r="CC6" s="234" t="s">
        <v>1610</v>
      </c>
      <c r="CD6" s="234" t="s">
        <v>1611</v>
      </c>
      <c r="CE6" s="234" t="s">
        <v>1549</v>
      </c>
      <c r="CF6" s="234" t="s">
        <v>1612</v>
      </c>
      <c r="CG6" s="234"/>
      <c r="CH6" s="234"/>
      <c r="CI6" s="234" t="s">
        <v>0</v>
      </c>
      <c r="CJ6" s="234" t="s">
        <v>1551</v>
      </c>
      <c r="CK6" s="234" t="s">
        <v>1552</v>
      </c>
      <c r="CL6" s="234" t="s">
        <v>1553</v>
      </c>
      <c r="CM6" s="234" t="s">
        <v>1554</v>
      </c>
      <c r="CN6" s="234" t="s">
        <v>1549</v>
      </c>
      <c r="CO6" s="234" t="s">
        <v>1555</v>
      </c>
      <c r="CP6" s="234" t="s">
        <v>1556</v>
      </c>
      <c r="CQ6" s="234" t="s">
        <v>1557</v>
      </c>
      <c r="CR6" s="234" t="s">
        <v>1530</v>
      </c>
      <c r="CS6" s="234" t="s">
        <v>1530</v>
      </c>
      <c r="CT6" s="234" t="s">
        <v>1558</v>
      </c>
      <c r="CU6" s="234" t="s">
        <v>1530</v>
      </c>
      <c r="CV6" s="234" t="s">
        <v>1530</v>
      </c>
      <c r="CW6" s="234" t="s">
        <v>1530</v>
      </c>
      <c r="CX6" s="234" t="s">
        <v>1613</v>
      </c>
      <c r="CY6" s="234" t="s">
        <v>1530</v>
      </c>
      <c r="CZ6" s="234" t="s">
        <v>1530</v>
      </c>
      <c r="DA6" s="234" t="s">
        <v>1530</v>
      </c>
      <c r="DB6" s="234" t="s">
        <v>1613</v>
      </c>
      <c r="DC6" s="234" t="s">
        <v>1530</v>
      </c>
      <c r="DD6" s="234"/>
      <c r="DE6" s="234"/>
      <c r="DF6" s="234"/>
      <c r="DG6" s="234"/>
      <c r="DH6" s="234"/>
      <c r="DI6" s="234" t="s">
        <v>1572</v>
      </c>
      <c r="DJ6" s="234"/>
      <c r="DK6" s="234"/>
      <c r="DL6" s="234" t="s">
        <v>1614</v>
      </c>
      <c r="DM6" s="234"/>
      <c r="DN6" s="234"/>
      <c r="DO6" s="234"/>
      <c r="DP6" s="234" t="s">
        <v>1560</v>
      </c>
      <c r="DQ6" s="234" t="n">
        <v>0</v>
      </c>
      <c r="DR6" s="234"/>
      <c r="DS6" s="234"/>
      <c r="DT6" s="234"/>
      <c r="DU6" s="234"/>
      <c r="DV6" s="234"/>
      <c r="DW6" s="234"/>
      <c r="DX6" s="234" t="s">
        <v>1561</v>
      </c>
      <c r="DY6" s="234"/>
      <c r="DZ6" s="234"/>
      <c r="EA6" s="234"/>
      <c r="EB6" s="234"/>
      <c r="EC6" s="234"/>
      <c r="ED6" s="234"/>
      <c r="EE6" s="234"/>
      <c r="EF6" s="234"/>
      <c r="EG6" s="234"/>
      <c r="EH6" s="234" t="s">
        <v>1562</v>
      </c>
      <c r="EI6" s="234"/>
      <c r="EJ6" s="234"/>
      <c r="EK6" s="234" t="s">
        <v>1563</v>
      </c>
      <c r="EL6" s="234"/>
      <c r="EM6" s="234" t="s">
        <v>1564</v>
      </c>
      <c r="EN6" s="234" t="s">
        <v>1565</v>
      </c>
      <c r="EO6" s="234" t="s">
        <v>1566</v>
      </c>
      <c r="EP6" s="234" t="s">
        <v>1558</v>
      </c>
      <c r="EQ6" s="234" t="n">
        <v>17820</v>
      </c>
      <c r="ER6" s="234" t="s">
        <v>1567</v>
      </c>
      <c r="ES6" s="234"/>
      <c r="ET6" s="234"/>
    </row>
    <row r="7" customFormat="false" ht="13.5" hidden="false" customHeight="false" outlineLevel="0" collapsed="false">
      <c r="A7" s="233" t="n">
        <v>45752</v>
      </c>
      <c r="B7" s="234" t="s">
        <v>1615</v>
      </c>
      <c r="C7" s="234" t="s">
        <v>131</v>
      </c>
      <c r="D7" s="234" t="s">
        <v>897</v>
      </c>
      <c r="E7" s="234" t="s">
        <v>1616</v>
      </c>
      <c r="F7" s="234" t="s">
        <v>130</v>
      </c>
      <c r="G7" s="234" t="s">
        <v>1522</v>
      </c>
      <c r="H7" s="234" t="s">
        <v>1523</v>
      </c>
      <c r="I7" s="234" t="s">
        <v>1524</v>
      </c>
      <c r="J7" s="234" t="s">
        <v>1525</v>
      </c>
      <c r="K7" s="233" t="n">
        <v>45752</v>
      </c>
      <c r="L7" s="234"/>
      <c r="M7" s="234" t="s">
        <v>1526</v>
      </c>
      <c r="N7" s="234" t="n">
        <v>1</v>
      </c>
      <c r="O7" s="234" t="s">
        <v>1527</v>
      </c>
      <c r="P7" s="234" t="s">
        <v>1528</v>
      </c>
      <c r="Q7" s="234" t="s">
        <v>1529</v>
      </c>
      <c r="R7" s="234" t="s">
        <v>1530</v>
      </c>
      <c r="S7" s="234"/>
      <c r="T7" s="234"/>
      <c r="U7" s="234" t="s">
        <v>1527</v>
      </c>
      <c r="V7" s="234"/>
      <c r="W7" s="234" t="s">
        <v>1530</v>
      </c>
      <c r="X7" s="234"/>
      <c r="Y7" s="234"/>
      <c r="Z7" s="234" t="s">
        <v>1572</v>
      </c>
      <c r="AA7" s="234" t="n">
        <v>2000</v>
      </c>
      <c r="AB7" s="234" t="n">
        <v>2360</v>
      </c>
      <c r="AC7" s="234" t="n">
        <v>0</v>
      </c>
      <c r="AD7" s="234" t="n">
        <v>0</v>
      </c>
      <c r="AE7" s="234" t="s">
        <v>1399</v>
      </c>
      <c r="AF7" s="234"/>
      <c r="AG7" s="233" t="n">
        <v>45752</v>
      </c>
      <c r="AH7" s="234" t="s">
        <v>1537</v>
      </c>
      <c r="AI7" s="234" t="s">
        <v>1538</v>
      </c>
      <c r="AJ7" s="234" t="s">
        <v>1539</v>
      </c>
      <c r="AK7" s="234"/>
      <c r="AL7" s="234"/>
      <c r="AM7" s="234"/>
      <c r="AN7" s="234"/>
      <c r="AO7" s="234"/>
      <c r="AP7" s="234"/>
      <c r="AQ7" s="234"/>
      <c r="AR7" s="234"/>
      <c r="AS7" s="234"/>
      <c r="AT7" s="234" t="s">
        <v>89</v>
      </c>
      <c r="AU7" s="234" t="s">
        <v>1540</v>
      </c>
      <c r="AV7" s="234" t="n">
        <v>0</v>
      </c>
      <c r="AW7" s="234"/>
      <c r="AX7" s="234"/>
      <c r="AY7" s="234"/>
      <c r="AZ7" s="234"/>
      <c r="BA7" s="234"/>
      <c r="BB7" s="234"/>
      <c r="BC7" s="234"/>
      <c r="BD7" s="234" t="s">
        <v>1541</v>
      </c>
      <c r="BE7" s="234" t="s">
        <v>1617</v>
      </c>
      <c r="BF7" s="234" t="n">
        <v>10</v>
      </c>
      <c r="BG7" s="234" t="s">
        <v>1530</v>
      </c>
      <c r="BH7" s="234" t="s">
        <v>1530</v>
      </c>
      <c r="BI7" s="234" t="n">
        <v>2000</v>
      </c>
      <c r="BJ7" s="234" t="s">
        <v>1543</v>
      </c>
      <c r="BK7" s="234" t="n">
        <v>200</v>
      </c>
      <c r="BL7" s="234" t="s">
        <v>1544</v>
      </c>
      <c r="BM7" s="234"/>
      <c r="BN7" s="234"/>
      <c r="BO7" s="234"/>
      <c r="BP7" s="234"/>
      <c r="BQ7" s="234"/>
      <c r="BR7" s="234" t="s">
        <v>1618</v>
      </c>
      <c r="BS7" s="234" t="s">
        <v>1619</v>
      </c>
      <c r="BT7" s="234" t="s">
        <v>1547</v>
      </c>
      <c r="BU7" s="234" t="s">
        <v>1548</v>
      </c>
      <c r="BV7" s="234" t="s">
        <v>1549</v>
      </c>
      <c r="BW7" s="234" t="s">
        <v>1620</v>
      </c>
      <c r="BX7" s="234"/>
      <c r="BY7" s="234"/>
      <c r="BZ7" s="234"/>
      <c r="CA7" s="234" t="s">
        <v>1618</v>
      </c>
      <c r="CB7" s="234" t="s">
        <v>1619</v>
      </c>
      <c r="CC7" s="234" t="s">
        <v>1547</v>
      </c>
      <c r="CD7" s="234" t="s">
        <v>1548</v>
      </c>
      <c r="CE7" s="234" t="s">
        <v>1549</v>
      </c>
      <c r="CF7" s="234" t="s">
        <v>1620</v>
      </c>
      <c r="CG7" s="234"/>
      <c r="CH7" s="234"/>
      <c r="CI7" s="234" t="s">
        <v>0</v>
      </c>
      <c r="CJ7" s="234" t="s">
        <v>1551</v>
      </c>
      <c r="CK7" s="234" t="s">
        <v>1552</v>
      </c>
      <c r="CL7" s="234" t="s">
        <v>1553</v>
      </c>
      <c r="CM7" s="234" t="s">
        <v>1554</v>
      </c>
      <c r="CN7" s="234" t="s">
        <v>1549</v>
      </c>
      <c r="CO7" s="234" t="s">
        <v>1555</v>
      </c>
      <c r="CP7" s="234" t="s">
        <v>1556</v>
      </c>
      <c r="CQ7" s="234" t="s">
        <v>1557</v>
      </c>
      <c r="CR7" s="234" t="s">
        <v>1530</v>
      </c>
      <c r="CS7" s="234" t="s">
        <v>1530</v>
      </c>
      <c r="CT7" s="234" t="s">
        <v>1558</v>
      </c>
      <c r="CU7" s="234" t="s">
        <v>1530</v>
      </c>
      <c r="CV7" s="234" t="s">
        <v>1530</v>
      </c>
      <c r="CW7" s="234" t="s">
        <v>1530</v>
      </c>
      <c r="CX7" s="234" t="s">
        <v>1621</v>
      </c>
      <c r="CY7" s="234" t="s">
        <v>1530</v>
      </c>
      <c r="CZ7" s="234" t="s">
        <v>1530</v>
      </c>
      <c r="DA7" s="234" t="s">
        <v>1530</v>
      </c>
      <c r="DB7" s="234" t="s">
        <v>1621</v>
      </c>
      <c r="DC7" s="234" t="s">
        <v>1530</v>
      </c>
      <c r="DD7" s="234"/>
      <c r="DE7" s="234"/>
      <c r="DF7" s="234"/>
      <c r="DG7" s="234"/>
      <c r="DH7" s="234"/>
      <c r="DI7" s="234" t="s">
        <v>1572</v>
      </c>
      <c r="DJ7" s="234"/>
      <c r="DK7" s="234"/>
      <c r="DL7" s="234"/>
      <c r="DM7" s="234"/>
      <c r="DN7" s="234"/>
      <c r="DO7" s="234"/>
      <c r="DP7" s="234" t="s">
        <v>1560</v>
      </c>
      <c r="DQ7" s="234" t="n">
        <v>0</v>
      </c>
      <c r="DR7" s="234"/>
      <c r="DS7" s="234"/>
      <c r="DT7" s="234"/>
      <c r="DU7" s="234"/>
      <c r="DV7" s="234"/>
      <c r="DW7" s="234"/>
      <c r="DX7" s="234" t="s">
        <v>1561</v>
      </c>
      <c r="DY7" s="234"/>
      <c r="DZ7" s="234"/>
      <c r="EA7" s="234"/>
      <c r="EB7" s="234"/>
      <c r="EC7" s="234"/>
      <c r="ED7" s="234"/>
      <c r="EE7" s="234"/>
      <c r="EF7" s="234"/>
      <c r="EG7" s="234"/>
      <c r="EH7" s="234" t="s">
        <v>1562</v>
      </c>
      <c r="EI7" s="234"/>
      <c r="EJ7" s="234"/>
      <c r="EK7" s="234" t="s">
        <v>1563</v>
      </c>
      <c r="EL7" s="234"/>
      <c r="EM7" s="234" t="s">
        <v>1564</v>
      </c>
      <c r="EN7" s="234" t="s">
        <v>1565</v>
      </c>
      <c r="EO7" s="234" t="s">
        <v>1566</v>
      </c>
      <c r="EP7" s="234" t="s">
        <v>1558</v>
      </c>
      <c r="EQ7" s="234" t="n">
        <v>360</v>
      </c>
      <c r="ER7" s="234" t="s">
        <v>1567</v>
      </c>
      <c r="ES7" s="234"/>
      <c r="ET7" s="234"/>
    </row>
    <row r="8" customFormat="false" ht="13.5" hidden="false" customHeight="false" outlineLevel="0" collapsed="false">
      <c r="A8" s="233" t="n">
        <v>45754</v>
      </c>
      <c r="B8" s="234" t="s">
        <v>1622</v>
      </c>
      <c r="C8" s="234" t="s">
        <v>134</v>
      </c>
      <c r="D8" s="234" t="s">
        <v>897</v>
      </c>
      <c r="E8" s="234" t="s">
        <v>1623</v>
      </c>
      <c r="F8" s="234" t="s">
        <v>133</v>
      </c>
      <c r="G8" s="234" t="s">
        <v>1570</v>
      </c>
      <c r="H8" s="234" t="s">
        <v>1571</v>
      </c>
      <c r="I8" s="234" t="s">
        <v>1595</v>
      </c>
      <c r="J8" s="234" t="s">
        <v>1525</v>
      </c>
      <c r="K8" s="233" t="n">
        <v>45754</v>
      </c>
      <c r="L8" s="234"/>
      <c r="M8" s="234" t="s">
        <v>1526</v>
      </c>
      <c r="N8" s="234" t="n">
        <v>1</v>
      </c>
      <c r="O8" s="234" t="s">
        <v>1527</v>
      </c>
      <c r="P8" s="234" t="s">
        <v>1528</v>
      </c>
      <c r="Q8" s="234" t="s">
        <v>1529</v>
      </c>
      <c r="R8" s="234" t="s">
        <v>1530</v>
      </c>
      <c r="S8" s="234"/>
      <c r="T8" s="234"/>
      <c r="U8" s="234" t="s">
        <v>1527</v>
      </c>
      <c r="V8" s="234"/>
      <c r="W8" s="234" t="s">
        <v>1530</v>
      </c>
      <c r="X8" s="234"/>
      <c r="Y8" s="234"/>
      <c r="Z8" s="234" t="s">
        <v>1572</v>
      </c>
      <c r="AA8" s="234" t="n">
        <v>8000</v>
      </c>
      <c r="AB8" s="234" t="n">
        <v>9440</v>
      </c>
      <c r="AC8" s="234" t="n">
        <v>0</v>
      </c>
      <c r="AD8" s="234" t="n">
        <v>0</v>
      </c>
      <c r="AE8" s="234" t="s">
        <v>1399</v>
      </c>
      <c r="AF8" s="234"/>
      <c r="AG8" s="233" t="n">
        <v>45754</v>
      </c>
      <c r="AH8" s="234" t="s">
        <v>1537</v>
      </c>
      <c r="AI8" s="234" t="s">
        <v>1538</v>
      </c>
      <c r="AJ8" s="234" t="s">
        <v>1539</v>
      </c>
      <c r="AK8" s="234"/>
      <c r="AL8" s="234"/>
      <c r="AM8" s="234"/>
      <c r="AN8" s="234"/>
      <c r="AO8" s="234"/>
      <c r="AP8" s="234"/>
      <c r="AQ8" s="234"/>
      <c r="AR8" s="234"/>
      <c r="AS8" s="234"/>
      <c r="AT8" s="234" t="s">
        <v>89</v>
      </c>
      <c r="AU8" s="234" t="s">
        <v>1540</v>
      </c>
      <c r="AV8" s="234" t="n">
        <v>0</v>
      </c>
      <c r="AW8" s="234"/>
      <c r="AX8" s="234"/>
      <c r="AY8" s="234"/>
      <c r="AZ8" s="234"/>
      <c r="BA8" s="234"/>
      <c r="BB8" s="234"/>
      <c r="BC8" s="234"/>
      <c r="BD8" s="234" t="s">
        <v>1541</v>
      </c>
      <c r="BE8" s="235" t="s">
        <v>1624</v>
      </c>
      <c r="BF8" s="234" t="n">
        <v>1</v>
      </c>
      <c r="BG8" s="234" t="s">
        <v>1530</v>
      </c>
      <c r="BH8" s="234" t="s">
        <v>1530</v>
      </c>
      <c r="BI8" s="234" t="n">
        <v>8000</v>
      </c>
      <c r="BJ8" s="234" t="s">
        <v>1543</v>
      </c>
      <c r="BK8" s="234" t="n">
        <v>8000</v>
      </c>
      <c r="BL8" s="234" t="s">
        <v>1544</v>
      </c>
      <c r="BM8" s="234"/>
      <c r="BN8" s="234"/>
      <c r="BO8" s="234"/>
      <c r="BP8" s="234"/>
      <c r="BQ8" s="234"/>
      <c r="BR8" s="234" t="s">
        <v>1625</v>
      </c>
      <c r="BS8" s="234" t="s">
        <v>1626</v>
      </c>
      <c r="BT8" s="234" t="s">
        <v>1586</v>
      </c>
      <c r="BU8" s="234" t="s">
        <v>1587</v>
      </c>
      <c r="BV8" s="234" t="s">
        <v>1549</v>
      </c>
      <c r="BW8" s="234" t="s">
        <v>1627</v>
      </c>
      <c r="BX8" s="234"/>
      <c r="BY8" s="234"/>
      <c r="BZ8" s="234"/>
      <c r="CA8" s="234" t="s">
        <v>1625</v>
      </c>
      <c r="CB8" s="234" t="s">
        <v>1626</v>
      </c>
      <c r="CC8" s="234" t="s">
        <v>1586</v>
      </c>
      <c r="CD8" s="234" t="s">
        <v>1587</v>
      </c>
      <c r="CE8" s="234" t="s">
        <v>1549</v>
      </c>
      <c r="CF8" s="234" t="s">
        <v>1627</v>
      </c>
      <c r="CG8" s="234"/>
      <c r="CH8" s="234"/>
      <c r="CI8" s="234" t="s">
        <v>0</v>
      </c>
      <c r="CJ8" s="234" t="s">
        <v>1551</v>
      </c>
      <c r="CK8" s="234" t="s">
        <v>1552</v>
      </c>
      <c r="CL8" s="234" t="s">
        <v>1553</v>
      </c>
      <c r="CM8" s="234" t="s">
        <v>1554</v>
      </c>
      <c r="CN8" s="234" t="s">
        <v>1549</v>
      </c>
      <c r="CO8" s="234" t="s">
        <v>1555</v>
      </c>
      <c r="CP8" s="234" t="s">
        <v>1556</v>
      </c>
      <c r="CQ8" s="234" t="s">
        <v>1557</v>
      </c>
      <c r="CR8" s="234" t="s">
        <v>1530</v>
      </c>
      <c r="CS8" s="234" t="s">
        <v>1530</v>
      </c>
      <c r="CT8" s="234" t="s">
        <v>1558</v>
      </c>
      <c r="CU8" s="234" t="s">
        <v>1530</v>
      </c>
      <c r="CV8" s="234" t="s">
        <v>1530</v>
      </c>
      <c r="CW8" s="234" t="s">
        <v>1530</v>
      </c>
      <c r="CX8" s="234" t="s">
        <v>1628</v>
      </c>
      <c r="CY8" s="234" t="s">
        <v>1530</v>
      </c>
      <c r="CZ8" s="234" t="s">
        <v>1530</v>
      </c>
      <c r="DA8" s="234" t="s">
        <v>1530</v>
      </c>
      <c r="DB8" s="234" t="s">
        <v>1628</v>
      </c>
      <c r="DC8" s="234" t="s">
        <v>1530</v>
      </c>
      <c r="DD8" s="234"/>
      <c r="DE8" s="234"/>
      <c r="DF8" s="234"/>
      <c r="DG8" s="234"/>
      <c r="DH8" s="234"/>
      <c r="DI8" s="234" t="s">
        <v>1572</v>
      </c>
      <c r="DJ8" s="234"/>
      <c r="DK8" s="234"/>
      <c r="DL8" s="234" t="s">
        <v>1629</v>
      </c>
      <c r="DM8" s="234"/>
      <c r="DN8" s="234"/>
      <c r="DO8" s="234"/>
      <c r="DP8" s="234" t="s">
        <v>1560</v>
      </c>
      <c r="DQ8" s="234" t="n">
        <v>0</v>
      </c>
      <c r="DR8" s="234"/>
      <c r="DS8" s="234"/>
      <c r="DT8" s="234"/>
      <c r="DU8" s="234"/>
      <c r="DV8" s="234"/>
      <c r="DW8" s="234"/>
      <c r="DX8" s="234" t="s">
        <v>1561</v>
      </c>
      <c r="DY8" s="234"/>
      <c r="DZ8" s="234"/>
      <c r="EA8" s="234"/>
      <c r="EB8" s="234"/>
      <c r="EC8" s="234"/>
      <c r="ED8" s="234"/>
      <c r="EE8" s="234"/>
      <c r="EF8" s="234"/>
      <c r="EG8" s="234"/>
      <c r="EH8" s="234" t="s">
        <v>1562</v>
      </c>
      <c r="EI8" s="234"/>
      <c r="EJ8" s="234"/>
      <c r="EK8" s="234" t="s">
        <v>1563</v>
      </c>
      <c r="EL8" s="234"/>
      <c r="EM8" s="234" t="s">
        <v>1564</v>
      </c>
      <c r="EN8" s="234" t="s">
        <v>1565</v>
      </c>
      <c r="EO8" s="234" t="s">
        <v>1566</v>
      </c>
      <c r="EP8" s="234" t="s">
        <v>1558</v>
      </c>
      <c r="EQ8" s="234" t="n">
        <v>1440</v>
      </c>
      <c r="ER8" s="234" t="s">
        <v>1567</v>
      </c>
      <c r="ES8" s="234"/>
      <c r="ET8" s="234"/>
    </row>
    <row r="9" customFormat="false" ht="13.5" hidden="false" customHeight="false" outlineLevel="0" collapsed="false">
      <c r="A9" s="233" t="n">
        <v>45754</v>
      </c>
      <c r="B9" s="234" t="s">
        <v>1630</v>
      </c>
      <c r="C9" s="234" t="s">
        <v>990</v>
      </c>
      <c r="D9" s="234" t="s">
        <v>897</v>
      </c>
      <c r="E9" s="234" t="s">
        <v>1631</v>
      </c>
      <c r="F9" s="234" t="s">
        <v>898</v>
      </c>
      <c r="G9" s="234" t="s">
        <v>1632</v>
      </c>
      <c r="H9" s="234" t="s">
        <v>1633</v>
      </c>
      <c r="I9" s="234" t="s">
        <v>1524</v>
      </c>
      <c r="J9" s="234" t="s">
        <v>1525</v>
      </c>
      <c r="K9" s="233" t="n">
        <v>45754</v>
      </c>
      <c r="L9" s="234"/>
      <c r="M9" s="234" t="s">
        <v>1526</v>
      </c>
      <c r="N9" s="234" t="n">
        <v>1</v>
      </c>
      <c r="O9" s="234" t="s">
        <v>1527</v>
      </c>
      <c r="P9" s="234" t="s">
        <v>1528</v>
      </c>
      <c r="Q9" s="234" t="s">
        <v>1529</v>
      </c>
      <c r="R9" s="234" t="s">
        <v>1530</v>
      </c>
      <c r="S9" s="234"/>
      <c r="T9" s="234"/>
      <c r="U9" s="234" t="s">
        <v>1527</v>
      </c>
      <c r="V9" s="234"/>
      <c r="W9" s="234" t="s">
        <v>1530</v>
      </c>
      <c r="X9" s="234"/>
      <c r="Y9" s="234"/>
      <c r="Z9" s="234" t="s">
        <v>1572</v>
      </c>
      <c r="AA9" s="234" t="n">
        <v>12277.12</v>
      </c>
      <c r="AB9" s="236" t="n">
        <v>14487</v>
      </c>
      <c r="AC9" s="234" t="n">
        <v>0</v>
      </c>
      <c r="AD9" s="234" t="n">
        <v>0</v>
      </c>
      <c r="AE9" s="234" t="s">
        <v>1399</v>
      </c>
      <c r="AF9" s="234"/>
      <c r="AG9" s="233" t="n">
        <v>45754</v>
      </c>
      <c r="AH9" s="234" t="s">
        <v>1537</v>
      </c>
      <c r="AI9" s="234" t="s">
        <v>1538</v>
      </c>
      <c r="AJ9" s="234" t="s">
        <v>1539</v>
      </c>
      <c r="AK9" s="234"/>
      <c r="AL9" s="234"/>
      <c r="AM9" s="234"/>
      <c r="AN9" s="234"/>
      <c r="AO9" s="234"/>
      <c r="AP9" s="234"/>
      <c r="AQ9" s="234"/>
      <c r="AR9" s="234"/>
      <c r="AS9" s="234"/>
      <c r="AT9" s="234" t="s">
        <v>89</v>
      </c>
      <c r="AU9" s="234" t="s">
        <v>1540</v>
      </c>
      <c r="AV9" s="234" t="n">
        <v>0</v>
      </c>
      <c r="AW9" s="234"/>
      <c r="AX9" s="234"/>
      <c r="AY9" s="234"/>
      <c r="AZ9" s="234"/>
      <c r="BA9" s="234"/>
      <c r="BB9" s="234"/>
      <c r="BC9" s="234"/>
      <c r="BD9" s="234" t="s">
        <v>1541</v>
      </c>
      <c r="BE9" s="234" t="s">
        <v>1634</v>
      </c>
      <c r="BF9" s="234" t="n">
        <v>1</v>
      </c>
      <c r="BG9" s="234" t="s">
        <v>1530</v>
      </c>
      <c r="BH9" s="234" t="s">
        <v>1530</v>
      </c>
      <c r="BI9" s="234" t="n">
        <v>12277.12</v>
      </c>
      <c r="BJ9" s="234" t="s">
        <v>1543</v>
      </c>
      <c r="BK9" s="234" t="n">
        <v>12277.12</v>
      </c>
      <c r="BL9" s="234" t="s">
        <v>1544</v>
      </c>
      <c r="BM9" s="234"/>
      <c r="BN9" s="234"/>
      <c r="BO9" s="234"/>
      <c r="BP9" s="234"/>
      <c r="BQ9" s="234"/>
      <c r="BR9" s="234"/>
      <c r="BS9" s="234"/>
      <c r="BT9" s="234"/>
      <c r="BU9" s="234"/>
      <c r="BV9" s="234"/>
      <c r="BW9" s="234"/>
      <c r="BX9" s="234"/>
      <c r="BY9" s="234"/>
      <c r="BZ9" s="234"/>
      <c r="CA9" s="234"/>
      <c r="CB9" s="234"/>
      <c r="CC9" s="234"/>
      <c r="CD9" s="234"/>
      <c r="CE9" s="234"/>
      <c r="CF9" s="234"/>
      <c r="CG9" s="234"/>
      <c r="CH9" s="234"/>
      <c r="CI9" s="234" t="s">
        <v>0</v>
      </c>
      <c r="CJ9" s="234" t="s">
        <v>1551</v>
      </c>
      <c r="CK9" s="234" t="s">
        <v>1552</v>
      </c>
      <c r="CL9" s="234" t="s">
        <v>1553</v>
      </c>
      <c r="CM9" s="234" t="s">
        <v>1554</v>
      </c>
      <c r="CN9" s="234" t="s">
        <v>1549</v>
      </c>
      <c r="CO9" s="234" t="s">
        <v>1555</v>
      </c>
      <c r="CP9" s="234" t="s">
        <v>1556</v>
      </c>
      <c r="CQ9" s="234" t="s">
        <v>1557</v>
      </c>
      <c r="CR9" s="234" t="s">
        <v>1635</v>
      </c>
      <c r="CS9" s="234" t="s">
        <v>1635</v>
      </c>
      <c r="CT9" s="234" t="s">
        <v>1530</v>
      </c>
      <c r="CU9" s="234" t="s">
        <v>1530</v>
      </c>
      <c r="CV9" s="234" t="s">
        <v>1636</v>
      </c>
      <c r="CW9" s="234" t="s">
        <v>1636</v>
      </c>
      <c r="CX9" s="234" t="s">
        <v>1530</v>
      </c>
      <c r="CY9" s="234" t="s">
        <v>1530</v>
      </c>
      <c r="CZ9" s="234" t="s">
        <v>1636</v>
      </c>
      <c r="DA9" s="234" t="s">
        <v>1636</v>
      </c>
      <c r="DB9" s="234" t="s">
        <v>1530</v>
      </c>
      <c r="DC9" s="234" t="s">
        <v>1530</v>
      </c>
      <c r="DD9" s="234"/>
      <c r="DE9" s="234"/>
      <c r="DF9" s="234"/>
      <c r="DG9" s="234"/>
      <c r="DH9" s="234"/>
      <c r="DI9" s="234" t="s">
        <v>1572</v>
      </c>
      <c r="DJ9" s="234"/>
      <c r="DK9" s="234"/>
      <c r="DL9" s="234"/>
      <c r="DM9" s="234"/>
      <c r="DN9" s="234"/>
      <c r="DO9" s="234"/>
      <c r="DP9" s="234" t="s">
        <v>1560</v>
      </c>
      <c r="DQ9" s="234" t="n">
        <v>0</v>
      </c>
      <c r="DR9" s="234"/>
      <c r="DS9" s="234"/>
      <c r="DT9" s="234"/>
      <c r="DU9" s="234"/>
      <c r="DV9" s="234"/>
      <c r="DW9" s="234"/>
      <c r="DX9" s="234" t="s">
        <v>1561</v>
      </c>
      <c r="DY9" s="234"/>
      <c r="DZ9" s="234"/>
      <c r="EA9" s="234"/>
      <c r="EB9" s="234"/>
      <c r="EC9" s="234"/>
      <c r="ED9" s="234"/>
      <c r="EE9" s="234"/>
      <c r="EF9" s="234"/>
      <c r="EG9" s="234"/>
      <c r="EH9" s="234" t="s">
        <v>1562</v>
      </c>
      <c r="EI9" s="234"/>
      <c r="EJ9" s="234"/>
      <c r="EK9" s="234" t="s">
        <v>1563</v>
      </c>
      <c r="EL9" s="234"/>
      <c r="EM9" s="234" t="s">
        <v>1564</v>
      </c>
      <c r="EN9" s="234" t="s">
        <v>1637</v>
      </c>
      <c r="EO9" s="234" t="s">
        <v>1638</v>
      </c>
      <c r="EP9" s="234" t="s">
        <v>1558</v>
      </c>
      <c r="EQ9" s="234" t="n">
        <v>2209.88</v>
      </c>
      <c r="ER9" s="234" t="s">
        <v>1639</v>
      </c>
      <c r="ES9" s="234"/>
      <c r="ET9" s="234"/>
    </row>
    <row r="10" customFormat="false" ht="13.5" hidden="false" customHeight="false" outlineLevel="0" collapsed="false">
      <c r="A10" s="233" t="n">
        <v>45754</v>
      </c>
      <c r="B10" s="234" t="s">
        <v>1640</v>
      </c>
      <c r="C10" s="234" t="s">
        <v>991</v>
      </c>
      <c r="D10" s="234" t="s">
        <v>897</v>
      </c>
      <c r="E10" s="234" t="s">
        <v>1641</v>
      </c>
      <c r="F10" s="234" t="s">
        <v>136</v>
      </c>
      <c r="G10" s="234" t="s">
        <v>1632</v>
      </c>
      <c r="H10" s="234" t="s">
        <v>1633</v>
      </c>
      <c r="I10" s="234" t="s">
        <v>1524</v>
      </c>
      <c r="J10" s="234" t="s">
        <v>1525</v>
      </c>
      <c r="K10" s="233" t="n">
        <v>45754</v>
      </c>
      <c r="L10" s="234"/>
      <c r="M10" s="234" t="s">
        <v>1526</v>
      </c>
      <c r="N10" s="234" t="n">
        <v>1</v>
      </c>
      <c r="O10" s="234" t="s">
        <v>1527</v>
      </c>
      <c r="P10" s="234" t="s">
        <v>1528</v>
      </c>
      <c r="Q10" s="234" t="s">
        <v>1529</v>
      </c>
      <c r="R10" s="234" t="s">
        <v>1530</v>
      </c>
      <c r="S10" s="234"/>
      <c r="T10" s="234"/>
      <c r="U10" s="234" t="s">
        <v>1527</v>
      </c>
      <c r="V10" s="234"/>
      <c r="W10" s="234" t="s">
        <v>1530</v>
      </c>
      <c r="X10" s="234"/>
      <c r="Y10" s="234"/>
      <c r="Z10" s="234" t="s">
        <v>1572</v>
      </c>
      <c r="AA10" s="234" t="n">
        <v>5000</v>
      </c>
      <c r="AB10" s="234" t="n">
        <v>5900</v>
      </c>
      <c r="AC10" s="234" t="n">
        <v>0</v>
      </c>
      <c r="AD10" s="234" t="n">
        <v>0</v>
      </c>
      <c r="AE10" s="234" t="s">
        <v>1399</v>
      </c>
      <c r="AF10" s="234"/>
      <c r="AG10" s="233" t="n">
        <v>45754</v>
      </c>
      <c r="AH10" s="234" t="s">
        <v>1537</v>
      </c>
      <c r="AI10" s="234" t="s">
        <v>1538</v>
      </c>
      <c r="AJ10" s="234" t="s">
        <v>1539</v>
      </c>
      <c r="AK10" s="234"/>
      <c r="AL10" s="234"/>
      <c r="AM10" s="234"/>
      <c r="AN10" s="234"/>
      <c r="AO10" s="234"/>
      <c r="AP10" s="234"/>
      <c r="AQ10" s="234"/>
      <c r="AR10" s="234"/>
      <c r="AS10" s="234"/>
      <c r="AT10" s="234" t="s">
        <v>89</v>
      </c>
      <c r="AU10" s="234" t="s">
        <v>1540</v>
      </c>
      <c r="AV10" s="234" t="n">
        <v>0</v>
      </c>
      <c r="AW10" s="234"/>
      <c r="AX10" s="234"/>
      <c r="AY10" s="234"/>
      <c r="AZ10" s="234"/>
      <c r="BA10" s="234"/>
      <c r="BB10" s="234"/>
      <c r="BC10" s="234"/>
      <c r="BD10" s="234" t="s">
        <v>1541</v>
      </c>
      <c r="BE10" s="235" t="s">
        <v>1642</v>
      </c>
      <c r="BF10" s="234" t="n">
        <v>1</v>
      </c>
      <c r="BG10" s="234" t="s">
        <v>1530</v>
      </c>
      <c r="BH10" s="234" t="s">
        <v>1572</v>
      </c>
      <c r="BI10" s="234" t="n">
        <v>5000</v>
      </c>
      <c r="BJ10" s="234" t="s">
        <v>1543</v>
      </c>
      <c r="BK10" s="234" t="n">
        <v>5000</v>
      </c>
      <c r="BL10" s="234" t="s">
        <v>1544</v>
      </c>
      <c r="BM10" s="234"/>
      <c r="BN10" s="234"/>
      <c r="BO10" s="234"/>
      <c r="BP10" s="234" t="s">
        <v>136</v>
      </c>
      <c r="BQ10" s="234"/>
      <c r="BR10" s="234"/>
      <c r="BS10" s="234"/>
      <c r="BT10" s="234" t="s">
        <v>1643</v>
      </c>
      <c r="BU10" s="234" t="s">
        <v>1554</v>
      </c>
      <c r="BV10" s="234" t="s">
        <v>1549</v>
      </c>
      <c r="BW10" s="234"/>
      <c r="BX10" s="234"/>
      <c r="BY10" s="234"/>
      <c r="BZ10" s="234"/>
      <c r="CA10" s="234"/>
      <c r="CB10" s="234"/>
      <c r="CC10" s="234" t="s">
        <v>1643</v>
      </c>
      <c r="CD10" s="234" t="s">
        <v>1554</v>
      </c>
      <c r="CE10" s="234" t="s">
        <v>1549</v>
      </c>
      <c r="CF10" s="234"/>
      <c r="CG10" s="234"/>
      <c r="CH10" s="234"/>
      <c r="CI10" s="234" t="s">
        <v>0</v>
      </c>
      <c r="CJ10" s="234" t="s">
        <v>1551</v>
      </c>
      <c r="CK10" s="234" t="s">
        <v>1552</v>
      </c>
      <c r="CL10" s="234" t="s">
        <v>1553</v>
      </c>
      <c r="CM10" s="234" t="s">
        <v>1554</v>
      </c>
      <c r="CN10" s="234" t="s">
        <v>1549</v>
      </c>
      <c r="CO10" s="234" t="s">
        <v>1555</v>
      </c>
      <c r="CP10" s="234" t="s">
        <v>1556</v>
      </c>
      <c r="CQ10" s="234" t="s">
        <v>1557</v>
      </c>
      <c r="CR10" s="234" t="s">
        <v>1635</v>
      </c>
      <c r="CS10" s="234" t="s">
        <v>1635</v>
      </c>
      <c r="CT10" s="234" t="s">
        <v>1530</v>
      </c>
      <c r="CU10" s="234" t="s">
        <v>1530</v>
      </c>
      <c r="CV10" s="234" t="s">
        <v>1644</v>
      </c>
      <c r="CW10" s="234" t="s">
        <v>1644</v>
      </c>
      <c r="CX10" s="234" t="s">
        <v>1530</v>
      </c>
      <c r="CY10" s="234" t="s">
        <v>1530</v>
      </c>
      <c r="CZ10" s="234" t="s">
        <v>1644</v>
      </c>
      <c r="DA10" s="234" t="s">
        <v>1644</v>
      </c>
      <c r="DB10" s="234" t="s">
        <v>1530</v>
      </c>
      <c r="DC10" s="234" t="s">
        <v>1530</v>
      </c>
      <c r="DD10" s="234"/>
      <c r="DE10" s="234"/>
      <c r="DF10" s="234"/>
      <c r="DG10" s="234"/>
      <c r="DH10" s="234"/>
      <c r="DI10" s="234" t="s">
        <v>1572</v>
      </c>
      <c r="DJ10" s="234"/>
      <c r="DK10" s="234"/>
      <c r="DL10" s="234"/>
      <c r="DM10" s="234"/>
      <c r="DN10" s="234"/>
      <c r="DO10" s="234"/>
      <c r="DP10" s="234" t="s">
        <v>1560</v>
      </c>
      <c r="DQ10" s="234" t="n">
        <v>0</v>
      </c>
      <c r="DR10" s="234"/>
      <c r="DS10" s="234"/>
      <c r="DT10" s="234"/>
      <c r="DU10" s="234"/>
      <c r="DV10" s="234"/>
      <c r="DW10" s="234"/>
      <c r="DX10" s="234" t="s">
        <v>1561</v>
      </c>
      <c r="DY10" s="234"/>
      <c r="DZ10" s="234"/>
      <c r="EA10" s="234"/>
      <c r="EB10" s="234"/>
      <c r="EC10" s="234"/>
      <c r="ED10" s="234"/>
      <c r="EE10" s="234"/>
      <c r="EF10" s="234"/>
      <c r="EG10" s="234"/>
      <c r="EH10" s="234" t="s">
        <v>1562</v>
      </c>
      <c r="EI10" s="234"/>
      <c r="EJ10" s="234"/>
      <c r="EK10" s="234" t="s">
        <v>1563</v>
      </c>
      <c r="EL10" s="234"/>
      <c r="EM10" s="234" t="s">
        <v>1564</v>
      </c>
      <c r="EN10" s="234" t="s">
        <v>1637</v>
      </c>
      <c r="EO10" s="234" t="s">
        <v>1638</v>
      </c>
      <c r="EP10" s="234" t="s">
        <v>1558</v>
      </c>
      <c r="EQ10" s="234" t="n">
        <v>900</v>
      </c>
      <c r="ER10" s="234" t="s">
        <v>1639</v>
      </c>
      <c r="ES10" s="234"/>
      <c r="ET10" s="234"/>
    </row>
    <row r="11" customFormat="false" ht="13.5" hidden="false" customHeight="false" outlineLevel="0" collapsed="false">
      <c r="A11" s="233" t="n">
        <v>45755</v>
      </c>
      <c r="B11" s="234" t="s">
        <v>1645</v>
      </c>
      <c r="C11" s="234" t="s">
        <v>139</v>
      </c>
      <c r="D11" s="234" t="s">
        <v>947</v>
      </c>
      <c r="E11" s="234" t="s">
        <v>1646</v>
      </c>
      <c r="F11" s="234" t="s">
        <v>138</v>
      </c>
      <c r="G11" s="234" t="s">
        <v>1522</v>
      </c>
      <c r="H11" s="234" t="s">
        <v>1523</v>
      </c>
      <c r="I11" s="234" t="s">
        <v>1524</v>
      </c>
      <c r="J11" s="234" t="s">
        <v>1525</v>
      </c>
      <c r="K11" s="233" t="n">
        <v>45755</v>
      </c>
      <c r="L11" s="234"/>
      <c r="M11" s="234" t="s">
        <v>1526</v>
      </c>
      <c r="N11" s="234" t="n">
        <v>1</v>
      </c>
      <c r="O11" s="234" t="s">
        <v>1527</v>
      </c>
      <c r="P11" s="234" t="s">
        <v>1528</v>
      </c>
      <c r="Q11" s="234" t="s">
        <v>1529</v>
      </c>
      <c r="R11" s="234" t="s">
        <v>1530</v>
      </c>
      <c r="S11" s="234"/>
      <c r="T11" s="234"/>
      <c r="U11" s="234" t="s">
        <v>1527</v>
      </c>
      <c r="V11" s="234"/>
      <c r="W11" s="234" t="s">
        <v>1530</v>
      </c>
      <c r="X11" s="234"/>
      <c r="Y11" s="234"/>
      <c r="Z11" s="234" t="s">
        <v>1572</v>
      </c>
      <c r="AA11" s="234" t="n">
        <v>60004</v>
      </c>
      <c r="AB11" s="234" t="n">
        <v>70804.72</v>
      </c>
      <c r="AC11" s="234" t="n">
        <v>4.72</v>
      </c>
      <c r="AD11" s="234" t="n">
        <v>0</v>
      </c>
      <c r="AE11" s="234" t="s">
        <v>1399</v>
      </c>
      <c r="AF11" s="234"/>
      <c r="AG11" s="233" t="n">
        <v>45756</v>
      </c>
      <c r="AH11" s="234" t="s">
        <v>1537</v>
      </c>
      <c r="AI11" s="234" t="s">
        <v>1538</v>
      </c>
      <c r="AJ11" s="234" t="s">
        <v>1539</v>
      </c>
      <c r="AK11" s="234"/>
      <c r="AL11" s="234"/>
      <c r="AM11" s="234"/>
      <c r="AN11" s="234"/>
      <c r="AO11" s="234"/>
      <c r="AP11" s="234"/>
      <c r="AQ11" s="234"/>
      <c r="AR11" s="234"/>
      <c r="AS11" s="234"/>
      <c r="AT11" s="234" t="s">
        <v>89</v>
      </c>
      <c r="AU11" s="234" t="s">
        <v>1540</v>
      </c>
      <c r="AV11" s="234" t="n">
        <v>0</v>
      </c>
      <c r="AW11" s="234"/>
      <c r="AX11" s="234"/>
      <c r="AY11" s="234"/>
      <c r="AZ11" s="234"/>
      <c r="BA11" s="234"/>
      <c r="BB11" s="234"/>
      <c r="BC11" s="234"/>
      <c r="BD11" s="234" t="s">
        <v>1541</v>
      </c>
      <c r="BE11" s="235" t="s">
        <v>1647</v>
      </c>
      <c r="BF11" s="234" t="n">
        <v>1</v>
      </c>
      <c r="BG11" s="234" t="s">
        <v>1648</v>
      </c>
      <c r="BH11" s="234" t="s">
        <v>1649</v>
      </c>
      <c r="BI11" s="234" t="n">
        <v>60004</v>
      </c>
      <c r="BJ11" s="234" t="s">
        <v>1543</v>
      </c>
      <c r="BK11" s="234" t="n">
        <v>70000</v>
      </c>
      <c r="BL11" s="234" t="s">
        <v>1544</v>
      </c>
      <c r="BM11" s="234"/>
      <c r="BN11" s="234"/>
      <c r="BO11" s="234"/>
      <c r="BP11" s="234" t="s">
        <v>136</v>
      </c>
      <c r="BQ11" s="234"/>
      <c r="BR11" s="234" t="s">
        <v>1650</v>
      </c>
      <c r="BS11" s="235" t="s">
        <v>1651</v>
      </c>
      <c r="BT11" s="234" t="s">
        <v>1548</v>
      </c>
      <c r="BU11" s="234" t="s">
        <v>1548</v>
      </c>
      <c r="BV11" s="234" t="s">
        <v>1549</v>
      </c>
      <c r="BW11" s="234" t="s">
        <v>1652</v>
      </c>
      <c r="BX11" s="234"/>
      <c r="BY11" s="234"/>
      <c r="BZ11" s="234"/>
      <c r="CA11" s="234" t="s">
        <v>1650</v>
      </c>
      <c r="CB11" s="235" t="s">
        <v>1651</v>
      </c>
      <c r="CC11" s="234" t="s">
        <v>1548</v>
      </c>
      <c r="CD11" s="234" t="s">
        <v>1548</v>
      </c>
      <c r="CE11" s="234" t="s">
        <v>1549</v>
      </c>
      <c r="CF11" s="234" t="s">
        <v>1652</v>
      </c>
      <c r="CG11" s="234"/>
      <c r="CH11" s="234"/>
      <c r="CI11" s="234" t="s">
        <v>0</v>
      </c>
      <c r="CJ11" s="234" t="s">
        <v>1551</v>
      </c>
      <c r="CK11" s="234" t="s">
        <v>1552</v>
      </c>
      <c r="CL11" s="234" t="s">
        <v>1553</v>
      </c>
      <c r="CM11" s="234" t="s">
        <v>1554</v>
      </c>
      <c r="CN11" s="234" t="s">
        <v>1549</v>
      </c>
      <c r="CO11" s="234" t="s">
        <v>1555</v>
      </c>
      <c r="CP11" s="234" t="s">
        <v>1556</v>
      </c>
      <c r="CQ11" s="234" t="s">
        <v>1557</v>
      </c>
      <c r="CR11" s="234" t="s">
        <v>1530</v>
      </c>
      <c r="CS11" s="234" t="s">
        <v>1530</v>
      </c>
      <c r="CT11" s="234" t="s">
        <v>1558</v>
      </c>
      <c r="CU11" s="234" t="s">
        <v>1530</v>
      </c>
      <c r="CV11" s="234" t="s">
        <v>1530</v>
      </c>
      <c r="CW11" s="234" t="s">
        <v>1530</v>
      </c>
      <c r="CX11" s="234" t="s">
        <v>1653</v>
      </c>
      <c r="CY11" s="234" t="s">
        <v>1530</v>
      </c>
      <c r="CZ11" s="234" t="s">
        <v>1530</v>
      </c>
      <c r="DA11" s="234" t="s">
        <v>1530</v>
      </c>
      <c r="DB11" s="234" t="s">
        <v>1653</v>
      </c>
      <c r="DC11" s="234" t="s">
        <v>1530</v>
      </c>
      <c r="DD11" s="234"/>
      <c r="DE11" s="234"/>
      <c r="DF11" s="234"/>
      <c r="DG11" s="234"/>
      <c r="DH11" s="234"/>
      <c r="DI11" s="234" t="s">
        <v>1572</v>
      </c>
      <c r="DJ11" s="234"/>
      <c r="DK11" s="234"/>
      <c r="DL11" s="234"/>
      <c r="DM11" s="234"/>
      <c r="DN11" s="234"/>
      <c r="DO11" s="234"/>
      <c r="DP11" s="234" t="s">
        <v>1560</v>
      </c>
      <c r="DQ11" s="234" t="n">
        <v>0</v>
      </c>
      <c r="DR11" s="234"/>
      <c r="DS11" s="234"/>
      <c r="DT11" s="234"/>
      <c r="DU11" s="234"/>
      <c r="DV11" s="234"/>
      <c r="DW11" s="234"/>
      <c r="DX11" s="234" t="s">
        <v>1561</v>
      </c>
      <c r="DY11" s="234"/>
      <c r="DZ11" s="234"/>
      <c r="EA11" s="234"/>
      <c r="EB11" s="234"/>
      <c r="EC11" s="234"/>
      <c r="ED11" s="234"/>
      <c r="EE11" s="234"/>
      <c r="EF11" s="234"/>
      <c r="EG11" s="234"/>
      <c r="EH11" s="234" t="s">
        <v>1562</v>
      </c>
      <c r="EI11" s="234"/>
      <c r="EJ11" s="234"/>
      <c r="EK11" s="234" t="s">
        <v>1563</v>
      </c>
      <c r="EL11" s="234"/>
      <c r="EM11" s="234" t="s">
        <v>1564</v>
      </c>
      <c r="EN11" s="234" t="s">
        <v>1565</v>
      </c>
      <c r="EO11" s="234" t="s">
        <v>1566</v>
      </c>
      <c r="EP11" s="234" t="s">
        <v>1558</v>
      </c>
      <c r="EQ11" s="234" t="n">
        <v>10800.72</v>
      </c>
      <c r="ER11" s="234" t="s">
        <v>1567</v>
      </c>
      <c r="ES11" s="234"/>
      <c r="ET11" s="234"/>
    </row>
    <row r="12" customFormat="false" ht="13.5" hidden="false" customHeight="false" outlineLevel="0" collapsed="false">
      <c r="A12" s="233" t="n">
        <v>45755</v>
      </c>
      <c r="B12" s="234" t="s">
        <v>1654</v>
      </c>
      <c r="C12" s="234" t="s">
        <v>141</v>
      </c>
      <c r="D12" s="234" t="s">
        <v>897</v>
      </c>
      <c r="E12" s="234" t="s">
        <v>1655</v>
      </c>
      <c r="F12" s="234" t="s">
        <v>140</v>
      </c>
      <c r="G12" s="234" t="s">
        <v>1522</v>
      </c>
      <c r="H12" s="234" t="s">
        <v>1523</v>
      </c>
      <c r="I12" s="234" t="s">
        <v>1524</v>
      </c>
      <c r="J12" s="234" t="s">
        <v>1525</v>
      </c>
      <c r="K12" s="233" t="n">
        <v>45755</v>
      </c>
      <c r="L12" s="234"/>
      <c r="M12" s="234" t="s">
        <v>1526</v>
      </c>
      <c r="N12" s="234" t="n">
        <v>1</v>
      </c>
      <c r="O12" s="234" t="s">
        <v>1527</v>
      </c>
      <c r="P12" s="234" t="s">
        <v>1528</v>
      </c>
      <c r="Q12" s="234" t="s">
        <v>1529</v>
      </c>
      <c r="R12" s="234" t="s">
        <v>1530</v>
      </c>
      <c r="S12" s="234"/>
      <c r="T12" s="234"/>
      <c r="U12" s="234" t="s">
        <v>1527</v>
      </c>
      <c r="V12" s="234"/>
      <c r="W12" s="234" t="s">
        <v>1530</v>
      </c>
      <c r="X12" s="234"/>
      <c r="Y12" s="234"/>
      <c r="Z12" s="234" t="s">
        <v>1572</v>
      </c>
      <c r="AA12" s="234" t="n">
        <v>6000</v>
      </c>
      <c r="AB12" s="234" t="n">
        <v>7080</v>
      </c>
      <c r="AC12" s="234" t="n">
        <v>0</v>
      </c>
      <c r="AD12" s="234" t="n">
        <v>0</v>
      </c>
      <c r="AE12" s="234" t="s">
        <v>1399</v>
      </c>
      <c r="AF12" s="234"/>
      <c r="AG12" s="233" t="n">
        <v>45755</v>
      </c>
      <c r="AH12" s="234" t="s">
        <v>1537</v>
      </c>
      <c r="AI12" s="234" t="s">
        <v>1538</v>
      </c>
      <c r="AJ12" s="234" t="s">
        <v>1539</v>
      </c>
      <c r="AK12" s="234"/>
      <c r="AL12" s="234"/>
      <c r="AM12" s="234"/>
      <c r="AN12" s="234"/>
      <c r="AO12" s="234"/>
      <c r="AP12" s="234"/>
      <c r="AQ12" s="234"/>
      <c r="AR12" s="234"/>
      <c r="AS12" s="234"/>
      <c r="AT12" s="234" t="s">
        <v>89</v>
      </c>
      <c r="AU12" s="234" t="s">
        <v>1540</v>
      </c>
      <c r="AV12" s="234" t="n">
        <v>0</v>
      </c>
      <c r="AW12" s="234"/>
      <c r="AX12" s="234"/>
      <c r="AY12" s="234"/>
      <c r="AZ12" s="234"/>
      <c r="BA12" s="234"/>
      <c r="BB12" s="234"/>
      <c r="BC12" s="234"/>
      <c r="BD12" s="234" t="s">
        <v>1541</v>
      </c>
      <c r="BE12" s="235" t="s">
        <v>1656</v>
      </c>
      <c r="BF12" s="234" t="n">
        <v>1</v>
      </c>
      <c r="BG12" s="234" t="s">
        <v>1530</v>
      </c>
      <c r="BH12" s="234" t="s">
        <v>1530</v>
      </c>
      <c r="BI12" s="234" t="n">
        <v>6000</v>
      </c>
      <c r="BJ12" s="234" t="s">
        <v>1543</v>
      </c>
      <c r="BK12" s="234" t="n">
        <v>6000</v>
      </c>
      <c r="BL12" s="234" t="s">
        <v>1544</v>
      </c>
      <c r="BM12" s="234"/>
      <c r="BN12" s="234"/>
      <c r="BO12" s="234"/>
      <c r="BP12" s="234"/>
      <c r="BQ12" s="234"/>
      <c r="BR12" s="234" t="s">
        <v>1657</v>
      </c>
      <c r="BS12" s="234" t="s">
        <v>1658</v>
      </c>
      <c r="BT12" s="234" t="s">
        <v>1548</v>
      </c>
      <c r="BU12" s="234" t="s">
        <v>1548</v>
      </c>
      <c r="BV12" s="234" t="s">
        <v>1549</v>
      </c>
      <c r="BW12" s="234" t="s">
        <v>1659</v>
      </c>
      <c r="BX12" s="234"/>
      <c r="BY12" s="234"/>
      <c r="BZ12" s="234"/>
      <c r="CA12" s="234" t="s">
        <v>1657</v>
      </c>
      <c r="CB12" s="234" t="s">
        <v>1658</v>
      </c>
      <c r="CC12" s="234" t="s">
        <v>1548</v>
      </c>
      <c r="CD12" s="234" t="s">
        <v>1548</v>
      </c>
      <c r="CE12" s="234" t="s">
        <v>1549</v>
      </c>
      <c r="CF12" s="234" t="s">
        <v>1659</v>
      </c>
      <c r="CG12" s="234"/>
      <c r="CH12" s="234"/>
      <c r="CI12" s="234" t="s">
        <v>0</v>
      </c>
      <c r="CJ12" s="234" t="s">
        <v>1551</v>
      </c>
      <c r="CK12" s="234" t="s">
        <v>1552</v>
      </c>
      <c r="CL12" s="234" t="s">
        <v>1553</v>
      </c>
      <c r="CM12" s="234" t="s">
        <v>1554</v>
      </c>
      <c r="CN12" s="234" t="s">
        <v>1549</v>
      </c>
      <c r="CO12" s="234" t="s">
        <v>1555</v>
      </c>
      <c r="CP12" s="234" t="s">
        <v>1556</v>
      </c>
      <c r="CQ12" s="234" t="s">
        <v>1557</v>
      </c>
      <c r="CR12" s="234" t="s">
        <v>1530</v>
      </c>
      <c r="CS12" s="234" t="s">
        <v>1530</v>
      </c>
      <c r="CT12" s="234" t="s">
        <v>1558</v>
      </c>
      <c r="CU12" s="234" t="s">
        <v>1530</v>
      </c>
      <c r="CV12" s="234" t="s">
        <v>1530</v>
      </c>
      <c r="CW12" s="234" t="s">
        <v>1530</v>
      </c>
      <c r="CX12" s="234" t="s">
        <v>1660</v>
      </c>
      <c r="CY12" s="234" t="s">
        <v>1530</v>
      </c>
      <c r="CZ12" s="234" t="s">
        <v>1530</v>
      </c>
      <c r="DA12" s="234" t="s">
        <v>1530</v>
      </c>
      <c r="DB12" s="234" t="s">
        <v>1660</v>
      </c>
      <c r="DC12" s="234" t="s">
        <v>1530</v>
      </c>
      <c r="DD12" s="234"/>
      <c r="DE12" s="234"/>
      <c r="DF12" s="234"/>
      <c r="DG12" s="234"/>
      <c r="DH12" s="234"/>
      <c r="DI12" s="234" t="s">
        <v>1572</v>
      </c>
      <c r="DJ12" s="234"/>
      <c r="DK12" s="234"/>
      <c r="DL12" s="234"/>
      <c r="DM12" s="234"/>
      <c r="DN12" s="234"/>
      <c r="DO12" s="234"/>
      <c r="DP12" s="234" t="s">
        <v>1560</v>
      </c>
      <c r="DQ12" s="234" t="n">
        <v>0</v>
      </c>
      <c r="DR12" s="234"/>
      <c r="DS12" s="234"/>
      <c r="DT12" s="234"/>
      <c r="DU12" s="234"/>
      <c r="DV12" s="234"/>
      <c r="DW12" s="234"/>
      <c r="DX12" s="234" t="s">
        <v>1561</v>
      </c>
      <c r="DY12" s="234"/>
      <c r="DZ12" s="234"/>
      <c r="EA12" s="234"/>
      <c r="EB12" s="234"/>
      <c r="EC12" s="234"/>
      <c r="ED12" s="234"/>
      <c r="EE12" s="234"/>
      <c r="EF12" s="234"/>
      <c r="EG12" s="234"/>
      <c r="EH12" s="234" t="s">
        <v>1562</v>
      </c>
      <c r="EI12" s="234"/>
      <c r="EJ12" s="234"/>
      <c r="EK12" s="234" t="s">
        <v>1563</v>
      </c>
      <c r="EL12" s="234"/>
      <c r="EM12" s="234" t="s">
        <v>1564</v>
      </c>
      <c r="EN12" s="234" t="s">
        <v>1565</v>
      </c>
      <c r="EO12" s="234" t="s">
        <v>1566</v>
      </c>
      <c r="EP12" s="234" t="s">
        <v>1558</v>
      </c>
      <c r="EQ12" s="234" t="n">
        <v>1080</v>
      </c>
      <c r="ER12" s="234" t="s">
        <v>1567</v>
      </c>
      <c r="ES12" s="234"/>
      <c r="ET12" s="234"/>
    </row>
    <row r="13" customFormat="false" ht="13.5" hidden="false" customHeight="false" outlineLevel="0" collapsed="false">
      <c r="A13" s="233" t="n">
        <v>45755</v>
      </c>
      <c r="B13" s="234" t="s">
        <v>1661</v>
      </c>
      <c r="C13" s="234" t="s">
        <v>143</v>
      </c>
      <c r="D13" s="234" t="s">
        <v>897</v>
      </c>
      <c r="E13" s="234" t="s">
        <v>1662</v>
      </c>
      <c r="F13" s="234" t="s">
        <v>142</v>
      </c>
      <c r="G13" s="234" t="s">
        <v>1522</v>
      </c>
      <c r="H13" s="234" t="s">
        <v>1523</v>
      </c>
      <c r="I13" s="234" t="s">
        <v>1595</v>
      </c>
      <c r="J13" s="234" t="s">
        <v>1525</v>
      </c>
      <c r="K13" s="233" t="n">
        <v>45755</v>
      </c>
      <c r="L13" s="234"/>
      <c r="M13" s="234" t="s">
        <v>1526</v>
      </c>
      <c r="N13" s="234" t="n">
        <v>1</v>
      </c>
      <c r="O13" s="234" t="s">
        <v>1527</v>
      </c>
      <c r="P13" s="234" t="s">
        <v>1528</v>
      </c>
      <c r="Q13" s="234" t="s">
        <v>1529</v>
      </c>
      <c r="R13" s="234" t="s">
        <v>1530</v>
      </c>
      <c r="S13" s="234"/>
      <c r="T13" s="234"/>
      <c r="U13" s="234" t="s">
        <v>1527</v>
      </c>
      <c r="V13" s="234"/>
      <c r="W13" s="234" t="s">
        <v>1530</v>
      </c>
      <c r="X13" s="234"/>
      <c r="Y13" s="234"/>
      <c r="Z13" s="234" t="s">
        <v>1572</v>
      </c>
      <c r="AA13" s="234" t="n">
        <v>4000</v>
      </c>
      <c r="AB13" s="234" t="n">
        <v>4720</v>
      </c>
      <c r="AC13" s="234" t="n">
        <v>0</v>
      </c>
      <c r="AD13" s="234" t="n">
        <v>0</v>
      </c>
      <c r="AE13" s="234" t="s">
        <v>1399</v>
      </c>
      <c r="AF13" s="234"/>
      <c r="AG13" s="233" t="n">
        <v>45755</v>
      </c>
      <c r="AH13" s="234" t="s">
        <v>1537</v>
      </c>
      <c r="AI13" s="234" t="s">
        <v>1538</v>
      </c>
      <c r="AJ13" s="234" t="s">
        <v>1539</v>
      </c>
      <c r="AK13" s="234"/>
      <c r="AL13" s="234"/>
      <c r="AM13" s="234"/>
      <c r="AN13" s="234"/>
      <c r="AO13" s="234"/>
      <c r="AP13" s="234"/>
      <c r="AQ13" s="234"/>
      <c r="AR13" s="234"/>
      <c r="AS13" s="234"/>
      <c r="AT13" s="234" t="s">
        <v>89</v>
      </c>
      <c r="AU13" s="234" t="s">
        <v>1540</v>
      </c>
      <c r="AV13" s="234" t="n">
        <v>0</v>
      </c>
      <c r="AW13" s="234"/>
      <c r="AX13" s="234"/>
      <c r="AY13" s="234"/>
      <c r="AZ13" s="234"/>
      <c r="BA13" s="234"/>
      <c r="BB13" s="234"/>
      <c r="BC13" s="234"/>
      <c r="BD13" s="234" t="s">
        <v>1541</v>
      </c>
      <c r="BE13" s="235" t="s">
        <v>1663</v>
      </c>
      <c r="BF13" s="234" t="n">
        <v>1</v>
      </c>
      <c r="BG13" s="234" t="s">
        <v>1530</v>
      </c>
      <c r="BH13" s="234" t="s">
        <v>1530</v>
      </c>
      <c r="BI13" s="234" t="n">
        <v>4000</v>
      </c>
      <c r="BJ13" s="234" t="s">
        <v>1543</v>
      </c>
      <c r="BK13" s="234" t="n">
        <v>4000</v>
      </c>
      <c r="BL13" s="234" t="s">
        <v>1544</v>
      </c>
      <c r="BM13" s="234"/>
      <c r="BN13" s="234"/>
      <c r="BO13" s="234"/>
      <c r="BP13" s="234"/>
      <c r="BQ13" s="234"/>
      <c r="BR13" s="234" t="s">
        <v>1664</v>
      </c>
      <c r="BS13" s="234" t="s">
        <v>1665</v>
      </c>
      <c r="BT13" s="234" t="s">
        <v>1547</v>
      </c>
      <c r="BU13" s="234" t="s">
        <v>1548</v>
      </c>
      <c r="BV13" s="234" t="s">
        <v>1549</v>
      </c>
      <c r="BW13" s="234" t="s">
        <v>1666</v>
      </c>
      <c r="BX13" s="234"/>
      <c r="BY13" s="234"/>
      <c r="BZ13" s="234"/>
      <c r="CA13" s="234" t="s">
        <v>1664</v>
      </c>
      <c r="CB13" s="234" t="s">
        <v>1665</v>
      </c>
      <c r="CC13" s="234" t="s">
        <v>1547</v>
      </c>
      <c r="CD13" s="234" t="s">
        <v>1548</v>
      </c>
      <c r="CE13" s="234" t="s">
        <v>1549</v>
      </c>
      <c r="CF13" s="234" t="s">
        <v>1666</v>
      </c>
      <c r="CG13" s="234"/>
      <c r="CH13" s="234"/>
      <c r="CI13" s="234" t="s">
        <v>0</v>
      </c>
      <c r="CJ13" s="234" t="s">
        <v>1551</v>
      </c>
      <c r="CK13" s="234" t="s">
        <v>1552</v>
      </c>
      <c r="CL13" s="234" t="s">
        <v>1553</v>
      </c>
      <c r="CM13" s="234" t="s">
        <v>1554</v>
      </c>
      <c r="CN13" s="234" t="s">
        <v>1549</v>
      </c>
      <c r="CO13" s="234" t="s">
        <v>1555</v>
      </c>
      <c r="CP13" s="234" t="s">
        <v>1556</v>
      </c>
      <c r="CQ13" s="234" t="s">
        <v>1557</v>
      </c>
      <c r="CR13" s="234" t="s">
        <v>1530</v>
      </c>
      <c r="CS13" s="234" t="s">
        <v>1530</v>
      </c>
      <c r="CT13" s="234" t="s">
        <v>1558</v>
      </c>
      <c r="CU13" s="234" t="s">
        <v>1530</v>
      </c>
      <c r="CV13" s="234" t="s">
        <v>1530</v>
      </c>
      <c r="CW13" s="234" t="s">
        <v>1530</v>
      </c>
      <c r="CX13" s="234" t="s">
        <v>1667</v>
      </c>
      <c r="CY13" s="234" t="s">
        <v>1530</v>
      </c>
      <c r="CZ13" s="234" t="s">
        <v>1530</v>
      </c>
      <c r="DA13" s="234" t="s">
        <v>1530</v>
      </c>
      <c r="DB13" s="234" t="s">
        <v>1667</v>
      </c>
      <c r="DC13" s="234" t="s">
        <v>1530</v>
      </c>
      <c r="DD13" s="234"/>
      <c r="DE13" s="234"/>
      <c r="DF13" s="234"/>
      <c r="DG13" s="234"/>
      <c r="DH13" s="234"/>
      <c r="DI13" s="234" t="s">
        <v>1572</v>
      </c>
      <c r="DJ13" s="234"/>
      <c r="DK13" s="234"/>
      <c r="DL13" s="234" t="s">
        <v>1668</v>
      </c>
      <c r="DM13" s="234"/>
      <c r="DN13" s="234"/>
      <c r="DO13" s="234"/>
      <c r="DP13" s="234" t="s">
        <v>1560</v>
      </c>
      <c r="DQ13" s="234" t="n">
        <v>0</v>
      </c>
      <c r="DR13" s="234"/>
      <c r="DS13" s="234"/>
      <c r="DT13" s="234"/>
      <c r="DU13" s="234"/>
      <c r="DV13" s="234"/>
      <c r="DW13" s="234"/>
      <c r="DX13" s="234" t="s">
        <v>1561</v>
      </c>
      <c r="DY13" s="234"/>
      <c r="DZ13" s="234"/>
      <c r="EA13" s="234"/>
      <c r="EB13" s="234"/>
      <c r="EC13" s="234"/>
      <c r="ED13" s="234"/>
      <c r="EE13" s="234"/>
      <c r="EF13" s="234"/>
      <c r="EG13" s="234"/>
      <c r="EH13" s="234" t="s">
        <v>1562</v>
      </c>
      <c r="EI13" s="234"/>
      <c r="EJ13" s="234"/>
      <c r="EK13" s="234" t="s">
        <v>1563</v>
      </c>
      <c r="EL13" s="234"/>
      <c r="EM13" s="234" t="s">
        <v>1564</v>
      </c>
      <c r="EN13" s="234" t="s">
        <v>1565</v>
      </c>
      <c r="EO13" s="234" t="s">
        <v>1566</v>
      </c>
      <c r="EP13" s="234" t="s">
        <v>1558</v>
      </c>
      <c r="EQ13" s="234" t="n">
        <v>720</v>
      </c>
      <c r="ER13" s="234" t="s">
        <v>1567</v>
      </c>
      <c r="ES13" s="234"/>
      <c r="ET13" s="234"/>
    </row>
    <row r="14" customFormat="false" ht="13.5" hidden="false" customHeight="false" outlineLevel="0" collapsed="false">
      <c r="A14" s="233" t="n">
        <v>45755</v>
      </c>
      <c r="B14" s="234" t="s">
        <v>1669</v>
      </c>
      <c r="C14" s="234" t="s">
        <v>992</v>
      </c>
      <c r="D14" s="234" t="s">
        <v>947</v>
      </c>
      <c r="E14" s="234" t="s">
        <v>1670</v>
      </c>
      <c r="F14" s="234" t="s">
        <v>145</v>
      </c>
      <c r="G14" s="234" t="s">
        <v>1570</v>
      </c>
      <c r="H14" s="234" t="s">
        <v>1571</v>
      </c>
      <c r="I14" s="234" t="s">
        <v>1524</v>
      </c>
      <c r="J14" s="234" t="s">
        <v>1525</v>
      </c>
      <c r="K14" s="233" t="n">
        <v>45755</v>
      </c>
      <c r="L14" s="234"/>
      <c r="M14" s="234" t="s">
        <v>1526</v>
      </c>
      <c r="N14" s="234" t="n">
        <v>1</v>
      </c>
      <c r="O14" s="234" t="s">
        <v>1527</v>
      </c>
      <c r="P14" s="234" t="s">
        <v>1528</v>
      </c>
      <c r="Q14" s="234" t="s">
        <v>1529</v>
      </c>
      <c r="R14" s="234" t="s">
        <v>1530</v>
      </c>
      <c r="S14" s="234"/>
      <c r="T14" s="234"/>
      <c r="U14" s="234" t="s">
        <v>1531</v>
      </c>
      <c r="V14" s="234" t="s">
        <v>1532</v>
      </c>
      <c r="W14" s="234" t="s">
        <v>1533</v>
      </c>
      <c r="X14" s="234" t="s">
        <v>1534</v>
      </c>
      <c r="Y14" s="234" t="s">
        <v>1535</v>
      </c>
      <c r="Z14" s="234" t="s">
        <v>1671</v>
      </c>
      <c r="AA14" s="234" t="n">
        <v>67797</v>
      </c>
      <c r="AB14" s="234" t="n">
        <v>78644.06</v>
      </c>
      <c r="AC14" s="234" t="n">
        <v>1356.06</v>
      </c>
      <c r="AD14" s="234" t="n">
        <v>-0.46</v>
      </c>
      <c r="AE14" s="234" t="s">
        <v>1399</v>
      </c>
      <c r="AF14" s="234"/>
      <c r="AG14" s="233" t="n">
        <v>45757</v>
      </c>
      <c r="AH14" s="234" t="s">
        <v>1537</v>
      </c>
      <c r="AI14" s="234" t="s">
        <v>1538</v>
      </c>
      <c r="AJ14" s="234" t="s">
        <v>1539</v>
      </c>
      <c r="AK14" s="234"/>
      <c r="AL14" s="234"/>
      <c r="AM14" s="234"/>
      <c r="AN14" s="234"/>
      <c r="AO14" s="234"/>
      <c r="AP14" s="234"/>
      <c r="AQ14" s="234"/>
      <c r="AR14" s="234"/>
      <c r="AS14" s="234"/>
      <c r="AT14" s="234" t="s">
        <v>89</v>
      </c>
      <c r="AU14" s="234" t="s">
        <v>1540</v>
      </c>
      <c r="AV14" s="234" t="n">
        <v>0</v>
      </c>
      <c r="AW14" s="234"/>
      <c r="AX14" s="234"/>
      <c r="AY14" s="234"/>
      <c r="AZ14" s="234"/>
      <c r="BA14" s="234"/>
      <c r="BB14" s="234"/>
      <c r="BC14" s="234"/>
      <c r="BD14" s="234" t="s">
        <v>1541</v>
      </c>
      <c r="BE14" s="234" t="s">
        <v>1672</v>
      </c>
      <c r="BF14" s="234" t="n">
        <v>1</v>
      </c>
      <c r="BG14" s="234" t="s">
        <v>1530</v>
      </c>
      <c r="BH14" s="234" t="s">
        <v>1530</v>
      </c>
      <c r="BI14" s="234" t="n">
        <v>67797</v>
      </c>
      <c r="BJ14" s="234" t="s">
        <v>1543</v>
      </c>
      <c r="BK14" s="234" t="n">
        <v>67797</v>
      </c>
      <c r="BL14" s="234" t="s">
        <v>1544</v>
      </c>
      <c r="BM14" s="234"/>
      <c r="BN14" s="234"/>
      <c r="BO14" s="234"/>
      <c r="BP14" s="234"/>
      <c r="BQ14" s="234" t="s">
        <v>1673</v>
      </c>
      <c r="BR14" s="235" t="s">
        <v>1674</v>
      </c>
      <c r="BS14" s="235" t="s">
        <v>1675</v>
      </c>
      <c r="BT14" s="234" t="s">
        <v>1586</v>
      </c>
      <c r="BU14" s="234" t="s">
        <v>1587</v>
      </c>
      <c r="BV14" s="234" t="s">
        <v>1549</v>
      </c>
      <c r="BW14" s="234" t="s">
        <v>1676</v>
      </c>
      <c r="BX14" s="234"/>
      <c r="BY14" s="234"/>
      <c r="BZ14" s="234" t="s">
        <v>1673</v>
      </c>
      <c r="CA14" s="235" t="s">
        <v>1674</v>
      </c>
      <c r="CB14" s="235" t="s">
        <v>1675</v>
      </c>
      <c r="CC14" s="234" t="s">
        <v>1586</v>
      </c>
      <c r="CD14" s="234" t="s">
        <v>1587</v>
      </c>
      <c r="CE14" s="234" t="s">
        <v>1549</v>
      </c>
      <c r="CF14" s="234" t="s">
        <v>1676</v>
      </c>
      <c r="CG14" s="234"/>
      <c r="CH14" s="234"/>
      <c r="CI14" s="234" t="s">
        <v>0</v>
      </c>
      <c r="CJ14" s="234" t="s">
        <v>1551</v>
      </c>
      <c r="CK14" s="234" t="s">
        <v>1552</v>
      </c>
      <c r="CL14" s="234" t="s">
        <v>1553</v>
      </c>
      <c r="CM14" s="234" t="s">
        <v>1554</v>
      </c>
      <c r="CN14" s="234" t="s">
        <v>1549</v>
      </c>
      <c r="CO14" s="234" t="s">
        <v>1555</v>
      </c>
      <c r="CP14" s="234" t="s">
        <v>1556</v>
      </c>
      <c r="CQ14" s="234" t="s">
        <v>1557</v>
      </c>
      <c r="CR14" s="234" t="s">
        <v>1530</v>
      </c>
      <c r="CS14" s="234" t="s">
        <v>1530</v>
      </c>
      <c r="CT14" s="234" t="s">
        <v>1558</v>
      </c>
      <c r="CU14" s="234" t="s">
        <v>1530</v>
      </c>
      <c r="CV14" s="234" t="s">
        <v>1530</v>
      </c>
      <c r="CW14" s="234" t="s">
        <v>1530</v>
      </c>
      <c r="CX14" s="234" t="s">
        <v>1677</v>
      </c>
      <c r="CY14" s="234" t="s">
        <v>1530</v>
      </c>
      <c r="CZ14" s="234" t="s">
        <v>1530</v>
      </c>
      <c r="DA14" s="234" t="s">
        <v>1530</v>
      </c>
      <c r="DB14" s="234" t="s">
        <v>1677</v>
      </c>
      <c r="DC14" s="234" t="s">
        <v>1530</v>
      </c>
      <c r="DD14" s="234"/>
      <c r="DE14" s="234"/>
      <c r="DF14" s="234"/>
      <c r="DG14" s="234"/>
      <c r="DH14" s="234"/>
      <c r="DI14" s="234"/>
      <c r="DJ14" s="234"/>
      <c r="DK14" s="234"/>
      <c r="DL14" s="234"/>
      <c r="DM14" s="234"/>
      <c r="DN14" s="234"/>
      <c r="DO14" s="234"/>
      <c r="DP14" s="234" t="s">
        <v>1560</v>
      </c>
      <c r="DQ14" s="234" t="n">
        <v>0</v>
      </c>
      <c r="DR14" s="234"/>
      <c r="DS14" s="234"/>
      <c r="DT14" s="234" t="s">
        <v>1678</v>
      </c>
      <c r="DU14" s="234" t="s">
        <v>1679</v>
      </c>
      <c r="DV14" s="234" t="s">
        <v>1680</v>
      </c>
      <c r="DW14" s="234"/>
      <c r="DX14" s="234" t="s">
        <v>1561</v>
      </c>
      <c r="DY14" s="234"/>
      <c r="DZ14" s="234"/>
      <c r="EA14" s="234"/>
      <c r="EB14" s="234"/>
      <c r="EC14" s="234"/>
      <c r="ED14" s="234"/>
      <c r="EE14" s="234"/>
      <c r="EF14" s="234"/>
      <c r="EG14" s="234"/>
      <c r="EH14" s="234" t="s">
        <v>1562</v>
      </c>
      <c r="EI14" s="234"/>
      <c r="EJ14" s="234"/>
      <c r="EK14" s="234" t="s">
        <v>1563</v>
      </c>
      <c r="EL14" s="234"/>
      <c r="EM14" s="234" t="s">
        <v>1564</v>
      </c>
      <c r="EN14" s="234" t="s">
        <v>1565</v>
      </c>
      <c r="EO14" s="234" t="s">
        <v>1566</v>
      </c>
      <c r="EP14" s="234" t="s">
        <v>1558</v>
      </c>
      <c r="EQ14" s="234" t="n">
        <v>12203.46</v>
      </c>
      <c r="ER14" s="234" t="s">
        <v>1567</v>
      </c>
      <c r="ES14" s="234"/>
      <c r="ET14" s="234"/>
    </row>
    <row r="15" customFormat="false" ht="13.5" hidden="false" customHeight="false" outlineLevel="0" collapsed="false">
      <c r="A15" s="233" t="n">
        <v>45755</v>
      </c>
      <c r="B15" s="234" t="s">
        <v>1681</v>
      </c>
      <c r="C15" s="234" t="s">
        <v>148</v>
      </c>
      <c r="D15" s="234" t="s">
        <v>897</v>
      </c>
      <c r="E15" s="234" t="s">
        <v>1682</v>
      </c>
      <c r="F15" s="234" t="s">
        <v>147</v>
      </c>
      <c r="G15" s="234" t="s">
        <v>1570</v>
      </c>
      <c r="H15" s="234" t="s">
        <v>1571</v>
      </c>
      <c r="I15" s="234" t="s">
        <v>1595</v>
      </c>
      <c r="J15" s="234" t="s">
        <v>1525</v>
      </c>
      <c r="K15" s="233" t="n">
        <v>45755</v>
      </c>
      <c r="L15" s="234"/>
      <c r="M15" s="234" t="s">
        <v>1526</v>
      </c>
      <c r="N15" s="234" t="n">
        <v>1</v>
      </c>
      <c r="O15" s="234" t="s">
        <v>1527</v>
      </c>
      <c r="P15" s="234" t="s">
        <v>1528</v>
      </c>
      <c r="Q15" s="234" t="s">
        <v>1529</v>
      </c>
      <c r="R15" s="234" t="s">
        <v>1530</v>
      </c>
      <c r="S15" s="234"/>
      <c r="T15" s="234"/>
      <c r="U15" s="234" t="s">
        <v>1527</v>
      </c>
      <c r="V15" s="234"/>
      <c r="W15" s="234" t="s">
        <v>1530</v>
      </c>
      <c r="X15" s="234"/>
      <c r="Y15" s="234"/>
      <c r="Z15" s="234" t="s">
        <v>1572</v>
      </c>
      <c r="AA15" s="234" t="n">
        <v>21000</v>
      </c>
      <c r="AB15" s="234" t="n">
        <v>24780</v>
      </c>
      <c r="AC15" s="234" t="n">
        <v>0</v>
      </c>
      <c r="AD15" s="234" t="n">
        <v>0</v>
      </c>
      <c r="AE15" s="234" t="s">
        <v>1399</v>
      </c>
      <c r="AF15" s="234"/>
      <c r="AG15" s="233" t="n">
        <v>45757</v>
      </c>
      <c r="AH15" s="234" t="s">
        <v>1537</v>
      </c>
      <c r="AI15" s="234" t="s">
        <v>1538</v>
      </c>
      <c r="AJ15" s="234" t="s">
        <v>1539</v>
      </c>
      <c r="AK15" s="234"/>
      <c r="AL15" s="234"/>
      <c r="AM15" s="234"/>
      <c r="AN15" s="234"/>
      <c r="AO15" s="234"/>
      <c r="AP15" s="234"/>
      <c r="AQ15" s="234"/>
      <c r="AR15" s="234"/>
      <c r="AS15" s="234"/>
      <c r="AT15" s="234" t="s">
        <v>89</v>
      </c>
      <c r="AU15" s="234" t="s">
        <v>1540</v>
      </c>
      <c r="AV15" s="234" t="n">
        <v>0</v>
      </c>
      <c r="AW15" s="234"/>
      <c r="AX15" s="234"/>
      <c r="AY15" s="234"/>
      <c r="AZ15" s="234"/>
      <c r="BA15" s="234"/>
      <c r="BB15" s="234"/>
      <c r="BC15" s="234"/>
      <c r="BD15" s="234" t="s">
        <v>1541</v>
      </c>
      <c r="BE15" s="235" t="s">
        <v>1683</v>
      </c>
      <c r="BF15" s="234" t="n">
        <v>3</v>
      </c>
      <c r="BG15" s="234" t="s">
        <v>1530</v>
      </c>
      <c r="BH15" s="234" t="s">
        <v>1530</v>
      </c>
      <c r="BI15" s="234" t="n">
        <v>21000</v>
      </c>
      <c r="BJ15" s="234" t="s">
        <v>1543</v>
      </c>
      <c r="BK15" s="234" t="n">
        <v>7000</v>
      </c>
      <c r="BL15" s="234" t="s">
        <v>1544</v>
      </c>
      <c r="BM15" s="234"/>
      <c r="BN15" s="234"/>
      <c r="BO15" s="234"/>
      <c r="BP15" s="234"/>
      <c r="BQ15" s="234" t="s">
        <v>1684</v>
      </c>
      <c r="BR15" s="234" t="s">
        <v>1685</v>
      </c>
      <c r="BS15" s="235" t="s">
        <v>1686</v>
      </c>
      <c r="BT15" s="234" t="s">
        <v>1687</v>
      </c>
      <c r="BU15" s="234" t="s">
        <v>1587</v>
      </c>
      <c r="BV15" s="234" t="s">
        <v>1549</v>
      </c>
      <c r="BW15" s="234" t="s">
        <v>1688</v>
      </c>
      <c r="BX15" s="234"/>
      <c r="BY15" s="234"/>
      <c r="BZ15" s="234" t="s">
        <v>1684</v>
      </c>
      <c r="CA15" s="234" t="s">
        <v>1685</v>
      </c>
      <c r="CB15" s="235" t="s">
        <v>1686</v>
      </c>
      <c r="CC15" s="234" t="s">
        <v>1687</v>
      </c>
      <c r="CD15" s="234" t="s">
        <v>1587</v>
      </c>
      <c r="CE15" s="234" t="s">
        <v>1549</v>
      </c>
      <c r="CF15" s="234" t="s">
        <v>1688</v>
      </c>
      <c r="CG15" s="234"/>
      <c r="CH15" s="234"/>
      <c r="CI15" s="234" t="s">
        <v>0</v>
      </c>
      <c r="CJ15" s="234" t="s">
        <v>1551</v>
      </c>
      <c r="CK15" s="234" t="s">
        <v>1552</v>
      </c>
      <c r="CL15" s="234" t="s">
        <v>1553</v>
      </c>
      <c r="CM15" s="234" t="s">
        <v>1554</v>
      </c>
      <c r="CN15" s="234" t="s">
        <v>1549</v>
      </c>
      <c r="CO15" s="234" t="s">
        <v>1555</v>
      </c>
      <c r="CP15" s="234" t="s">
        <v>1556</v>
      </c>
      <c r="CQ15" s="234" t="s">
        <v>1557</v>
      </c>
      <c r="CR15" s="234" t="s">
        <v>1530</v>
      </c>
      <c r="CS15" s="234" t="s">
        <v>1530</v>
      </c>
      <c r="CT15" s="234" t="s">
        <v>1558</v>
      </c>
      <c r="CU15" s="234" t="s">
        <v>1530</v>
      </c>
      <c r="CV15" s="234" t="s">
        <v>1530</v>
      </c>
      <c r="CW15" s="234" t="s">
        <v>1530</v>
      </c>
      <c r="CX15" s="234" t="s">
        <v>1689</v>
      </c>
      <c r="CY15" s="234" t="s">
        <v>1530</v>
      </c>
      <c r="CZ15" s="234" t="s">
        <v>1530</v>
      </c>
      <c r="DA15" s="234" t="s">
        <v>1530</v>
      </c>
      <c r="DB15" s="234" t="s">
        <v>1689</v>
      </c>
      <c r="DC15" s="234" t="s">
        <v>1530</v>
      </c>
      <c r="DD15" s="234"/>
      <c r="DE15" s="234"/>
      <c r="DF15" s="234"/>
      <c r="DG15" s="234"/>
      <c r="DH15" s="234"/>
      <c r="DI15" s="234" t="s">
        <v>1572</v>
      </c>
      <c r="DJ15" s="234"/>
      <c r="DK15" s="234"/>
      <c r="DL15" s="234" t="s">
        <v>1690</v>
      </c>
      <c r="DM15" s="234"/>
      <c r="DN15" s="234"/>
      <c r="DO15" s="234"/>
      <c r="DP15" s="234" t="s">
        <v>1560</v>
      </c>
      <c r="DQ15" s="234" t="n">
        <v>0</v>
      </c>
      <c r="DR15" s="234"/>
      <c r="DS15" s="234"/>
      <c r="DT15" s="234" t="s">
        <v>1691</v>
      </c>
      <c r="DU15" s="234"/>
      <c r="DV15" s="234"/>
      <c r="DW15" s="234"/>
      <c r="DX15" s="234" t="s">
        <v>1561</v>
      </c>
      <c r="DY15" s="234"/>
      <c r="DZ15" s="234"/>
      <c r="EA15" s="234"/>
      <c r="EB15" s="234"/>
      <c r="EC15" s="234"/>
      <c r="ED15" s="234"/>
      <c r="EE15" s="234"/>
      <c r="EF15" s="234"/>
      <c r="EG15" s="234"/>
      <c r="EH15" s="234" t="s">
        <v>1562</v>
      </c>
      <c r="EI15" s="234"/>
      <c r="EJ15" s="234"/>
      <c r="EK15" s="234" t="s">
        <v>1563</v>
      </c>
      <c r="EL15" s="234"/>
      <c r="EM15" s="234" t="s">
        <v>1564</v>
      </c>
      <c r="EN15" s="234" t="s">
        <v>1565</v>
      </c>
      <c r="EO15" s="234" t="s">
        <v>1566</v>
      </c>
      <c r="EP15" s="234" t="s">
        <v>1558</v>
      </c>
      <c r="EQ15" s="234" t="n">
        <v>3780</v>
      </c>
      <c r="ER15" s="234" t="s">
        <v>1567</v>
      </c>
      <c r="ES15" s="234"/>
      <c r="ET15" s="234"/>
    </row>
    <row r="16" customFormat="false" ht="13.5" hidden="false" customHeight="false" outlineLevel="0" collapsed="false">
      <c r="A16" s="233" t="n">
        <v>45756</v>
      </c>
      <c r="B16" s="234" t="s">
        <v>1692</v>
      </c>
      <c r="C16" s="234" t="s">
        <v>150</v>
      </c>
      <c r="D16" s="234" t="s">
        <v>897</v>
      </c>
      <c r="E16" s="234" t="s">
        <v>1693</v>
      </c>
      <c r="F16" s="234" t="s">
        <v>149</v>
      </c>
      <c r="G16" s="234" t="s">
        <v>1632</v>
      </c>
      <c r="H16" s="234" t="s">
        <v>1633</v>
      </c>
      <c r="I16" s="234" t="s">
        <v>1524</v>
      </c>
      <c r="J16" s="234" t="s">
        <v>1525</v>
      </c>
      <c r="K16" s="233" t="n">
        <v>45756</v>
      </c>
      <c r="L16" s="234"/>
      <c r="M16" s="234" t="s">
        <v>1526</v>
      </c>
      <c r="N16" s="234" t="n">
        <v>1</v>
      </c>
      <c r="O16" s="234" t="s">
        <v>1527</v>
      </c>
      <c r="P16" s="234" t="s">
        <v>1528</v>
      </c>
      <c r="Q16" s="234" t="s">
        <v>1529</v>
      </c>
      <c r="R16" s="234" t="s">
        <v>1530</v>
      </c>
      <c r="S16" s="234"/>
      <c r="T16" s="234"/>
      <c r="U16" s="234" t="s">
        <v>1527</v>
      </c>
      <c r="V16" s="234"/>
      <c r="W16" s="234" t="s">
        <v>1530</v>
      </c>
      <c r="X16" s="234"/>
      <c r="Y16" s="234"/>
      <c r="Z16" s="234" t="s">
        <v>1572</v>
      </c>
      <c r="AA16" s="234" t="n">
        <v>85500</v>
      </c>
      <c r="AB16" s="234" t="n">
        <v>100890</v>
      </c>
      <c r="AC16" s="234" t="n">
        <v>0</v>
      </c>
      <c r="AD16" s="234" t="n">
        <v>0</v>
      </c>
      <c r="AE16" s="234" t="s">
        <v>1399</v>
      </c>
      <c r="AF16" s="234"/>
      <c r="AG16" s="233" t="n">
        <v>45762</v>
      </c>
      <c r="AH16" s="234" t="s">
        <v>1537</v>
      </c>
      <c r="AI16" s="234" t="s">
        <v>1538</v>
      </c>
      <c r="AJ16" s="234" t="s">
        <v>1539</v>
      </c>
      <c r="AK16" s="234"/>
      <c r="AL16" s="234"/>
      <c r="AM16" s="234"/>
      <c r="AN16" s="234"/>
      <c r="AO16" s="234"/>
      <c r="AP16" s="234"/>
      <c r="AQ16" s="234"/>
      <c r="AR16" s="234"/>
      <c r="AS16" s="234"/>
      <c r="AT16" s="234" t="s">
        <v>89</v>
      </c>
      <c r="AU16" s="234" t="s">
        <v>1540</v>
      </c>
      <c r="AV16" s="234" t="n">
        <v>0</v>
      </c>
      <c r="AW16" s="234"/>
      <c r="AX16" s="234"/>
      <c r="AY16" s="234"/>
      <c r="AZ16" s="234"/>
      <c r="BA16" s="234"/>
      <c r="BB16" s="234"/>
      <c r="BC16" s="234"/>
      <c r="BD16" s="234" t="s">
        <v>1541</v>
      </c>
      <c r="BE16" s="234" t="s">
        <v>1694</v>
      </c>
      <c r="BF16" s="234" t="n">
        <v>1</v>
      </c>
      <c r="BG16" s="234" t="s">
        <v>1695</v>
      </c>
      <c r="BH16" s="234" t="s">
        <v>1696</v>
      </c>
      <c r="BI16" s="234" t="n">
        <v>85500</v>
      </c>
      <c r="BJ16" s="234" t="s">
        <v>1543</v>
      </c>
      <c r="BK16" s="234" t="n">
        <v>90000</v>
      </c>
      <c r="BL16" s="234" t="s">
        <v>1544</v>
      </c>
      <c r="BM16" s="234"/>
      <c r="BN16" s="234"/>
      <c r="BO16" s="234"/>
      <c r="BP16" s="234"/>
      <c r="BQ16" s="234"/>
      <c r="BR16" s="234"/>
      <c r="BS16" s="234"/>
      <c r="BT16" s="234"/>
      <c r="BU16" s="234"/>
      <c r="BV16" s="234"/>
      <c r="BW16" s="234"/>
      <c r="BX16" s="234"/>
      <c r="BY16" s="234"/>
      <c r="BZ16" s="234"/>
      <c r="CA16" s="234"/>
      <c r="CB16" s="234"/>
      <c r="CC16" s="234"/>
      <c r="CD16" s="234"/>
      <c r="CE16" s="234"/>
      <c r="CF16" s="234"/>
      <c r="CG16" s="234"/>
      <c r="CH16" s="234"/>
      <c r="CI16" s="234" t="s">
        <v>0</v>
      </c>
      <c r="CJ16" s="234" t="s">
        <v>1551</v>
      </c>
      <c r="CK16" s="234" t="s">
        <v>1552</v>
      </c>
      <c r="CL16" s="234" t="s">
        <v>1553</v>
      </c>
      <c r="CM16" s="234" t="s">
        <v>1554</v>
      </c>
      <c r="CN16" s="234" t="s">
        <v>1549</v>
      </c>
      <c r="CO16" s="234" t="s">
        <v>1555</v>
      </c>
      <c r="CP16" s="234" t="s">
        <v>1556</v>
      </c>
      <c r="CQ16" s="234" t="s">
        <v>1557</v>
      </c>
      <c r="CR16" s="234" t="s">
        <v>1635</v>
      </c>
      <c r="CS16" s="234" t="s">
        <v>1635</v>
      </c>
      <c r="CT16" s="234" t="s">
        <v>1530</v>
      </c>
      <c r="CU16" s="234" t="s">
        <v>1530</v>
      </c>
      <c r="CV16" s="234" t="s">
        <v>1697</v>
      </c>
      <c r="CW16" s="234" t="s">
        <v>1697</v>
      </c>
      <c r="CX16" s="234" t="s">
        <v>1530</v>
      </c>
      <c r="CY16" s="234" t="s">
        <v>1530</v>
      </c>
      <c r="CZ16" s="234" t="s">
        <v>1697</v>
      </c>
      <c r="DA16" s="234" t="s">
        <v>1697</v>
      </c>
      <c r="DB16" s="234" t="s">
        <v>1530</v>
      </c>
      <c r="DC16" s="234" t="s">
        <v>1530</v>
      </c>
      <c r="DD16" s="234"/>
      <c r="DE16" s="234"/>
      <c r="DF16" s="234"/>
      <c r="DG16" s="234"/>
      <c r="DH16" s="234"/>
      <c r="DI16" s="234" t="s">
        <v>1572</v>
      </c>
      <c r="DJ16" s="234"/>
      <c r="DK16" s="234"/>
      <c r="DL16" s="234"/>
      <c r="DM16" s="234"/>
      <c r="DN16" s="234"/>
      <c r="DO16" s="234"/>
      <c r="DP16" s="234" t="s">
        <v>1560</v>
      </c>
      <c r="DQ16" s="234" t="n">
        <v>0</v>
      </c>
      <c r="DR16" s="234"/>
      <c r="DS16" s="234"/>
      <c r="DT16" s="234"/>
      <c r="DU16" s="234"/>
      <c r="DV16" s="234"/>
      <c r="DW16" s="234"/>
      <c r="DX16" s="234" t="s">
        <v>1561</v>
      </c>
      <c r="DY16" s="234"/>
      <c r="DZ16" s="234"/>
      <c r="EA16" s="234"/>
      <c r="EB16" s="234"/>
      <c r="EC16" s="234"/>
      <c r="ED16" s="234"/>
      <c r="EE16" s="234"/>
      <c r="EF16" s="234"/>
      <c r="EG16" s="234"/>
      <c r="EH16" s="234" t="s">
        <v>1562</v>
      </c>
      <c r="EI16" s="234"/>
      <c r="EJ16" s="234"/>
      <c r="EK16" s="234" t="s">
        <v>1563</v>
      </c>
      <c r="EL16" s="234"/>
      <c r="EM16" s="234" t="s">
        <v>1564</v>
      </c>
      <c r="EN16" s="234" t="s">
        <v>1637</v>
      </c>
      <c r="EO16" s="234" t="s">
        <v>1638</v>
      </c>
      <c r="EP16" s="234" t="s">
        <v>1558</v>
      </c>
      <c r="EQ16" s="234" t="n">
        <v>15390</v>
      </c>
      <c r="ER16" s="234" t="s">
        <v>1639</v>
      </c>
      <c r="ES16" s="234"/>
      <c r="ET16" s="234"/>
    </row>
    <row r="17" customFormat="false" ht="13.5" hidden="false" customHeight="false" outlineLevel="0" collapsed="false">
      <c r="A17" s="233" t="n">
        <v>45756</v>
      </c>
      <c r="B17" s="234" t="s">
        <v>1698</v>
      </c>
      <c r="C17" s="234" t="s">
        <v>993</v>
      </c>
      <c r="D17" s="234" t="s">
        <v>897</v>
      </c>
      <c r="E17" s="234" t="s">
        <v>1699</v>
      </c>
      <c r="F17" s="234" t="s">
        <v>152</v>
      </c>
      <c r="G17" s="234" t="s">
        <v>1522</v>
      </c>
      <c r="H17" s="234" t="s">
        <v>1523</v>
      </c>
      <c r="I17" s="234" t="s">
        <v>1524</v>
      </c>
      <c r="J17" s="234" t="s">
        <v>1525</v>
      </c>
      <c r="K17" s="233" t="n">
        <v>45756</v>
      </c>
      <c r="L17" s="234"/>
      <c r="M17" s="234" t="s">
        <v>1526</v>
      </c>
      <c r="N17" s="234" t="n">
        <v>1</v>
      </c>
      <c r="O17" s="234" t="s">
        <v>1527</v>
      </c>
      <c r="P17" s="234" t="s">
        <v>1528</v>
      </c>
      <c r="Q17" s="234" t="s">
        <v>1529</v>
      </c>
      <c r="R17" s="234" t="s">
        <v>1530</v>
      </c>
      <c r="S17" s="234"/>
      <c r="T17" s="234"/>
      <c r="U17" s="234" t="s">
        <v>1527</v>
      </c>
      <c r="V17" s="234"/>
      <c r="W17" s="234" t="s">
        <v>1530</v>
      </c>
      <c r="X17" s="234"/>
      <c r="Y17" s="234"/>
      <c r="Z17" s="234" t="s">
        <v>1572</v>
      </c>
      <c r="AA17" s="234" t="n">
        <v>10000</v>
      </c>
      <c r="AB17" s="234" t="n">
        <v>11800</v>
      </c>
      <c r="AC17" s="234" t="n">
        <v>0</v>
      </c>
      <c r="AD17" s="234" t="n">
        <v>0</v>
      </c>
      <c r="AE17" s="234" t="s">
        <v>1399</v>
      </c>
      <c r="AF17" s="234"/>
      <c r="AG17" s="233" t="n">
        <v>45757</v>
      </c>
      <c r="AH17" s="234" t="s">
        <v>1537</v>
      </c>
      <c r="AI17" s="234" t="s">
        <v>1538</v>
      </c>
      <c r="AJ17" s="234" t="s">
        <v>1539</v>
      </c>
      <c r="AK17" s="234"/>
      <c r="AL17" s="234"/>
      <c r="AM17" s="234"/>
      <c r="AN17" s="234"/>
      <c r="AO17" s="234"/>
      <c r="AP17" s="234"/>
      <c r="AQ17" s="234"/>
      <c r="AR17" s="234"/>
      <c r="AS17" s="234"/>
      <c r="AT17" s="234" t="s">
        <v>89</v>
      </c>
      <c r="AU17" s="234" t="s">
        <v>1540</v>
      </c>
      <c r="AV17" s="234" t="n">
        <v>0</v>
      </c>
      <c r="AW17" s="234"/>
      <c r="AX17" s="234"/>
      <c r="AY17" s="234"/>
      <c r="AZ17" s="234"/>
      <c r="BA17" s="234"/>
      <c r="BB17" s="234"/>
      <c r="BC17" s="234"/>
      <c r="BD17" s="234" t="s">
        <v>1541</v>
      </c>
      <c r="BE17" s="235" t="s">
        <v>1700</v>
      </c>
      <c r="BF17" s="234" t="n">
        <v>1</v>
      </c>
      <c r="BG17" s="234" t="s">
        <v>1530</v>
      </c>
      <c r="BH17" s="234" t="s">
        <v>1530</v>
      </c>
      <c r="BI17" s="234" t="n">
        <v>10000</v>
      </c>
      <c r="BJ17" s="234" t="s">
        <v>1543</v>
      </c>
      <c r="BK17" s="234" t="n">
        <v>10000</v>
      </c>
      <c r="BL17" s="234" t="s">
        <v>1544</v>
      </c>
      <c r="BM17" s="234"/>
      <c r="BN17" s="234"/>
      <c r="BO17" s="234"/>
      <c r="BP17" s="234"/>
      <c r="BQ17" s="234"/>
      <c r="BR17" s="234"/>
      <c r="BS17" s="234"/>
      <c r="BT17" s="234"/>
      <c r="BU17" s="234" t="s">
        <v>1548</v>
      </c>
      <c r="BV17" s="234"/>
      <c r="BW17" s="234"/>
      <c r="BX17" s="234"/>
      <c r="BY17" s="234"/>
      <c r="BZ17" s="234"/>
      <c r="CA17" s="234"/>
      <c r="CB17" s="234"/>
      <c r="CC17" s="234"/>
      <c r="CD17" s="234" t="s">
        <v>1548</v>
      </c>
      <c r="CE17" s="234"/>
      <c r="CF17" s="234"/>
      <c r="CG17" s="234"/>
      <c r="CH17" s="234"/>
      <c r="CI17" s="234" t="s">
        <v>0</v>
      </c>
      <c r="CJ17" s="234" t="s">
        <v>1551</v>
      </c>
      <c r="CK17" s="234" t="s">
        <v>1552</v>
      </c>
      <c r="CL17" s="234" t="s">
        <v>1553</v>
      </c>
      <c r="CM17" s="234" t="s">
        <v>1554</v>
      </c>
      <c r="CN17" s="234" t="s">
        <v>1549</v>
      </c>
      <c r="CO17" s="234" t="s">
        <v>1555</v>
      </c>
      <c r="CP17" s="234" t="s">
        <v>1556</v>
      </c>
      <c r="CQ17" s="234" t="s">
        <v>1557</v>
      </c>
      <c r="CR17" s="234" t="s">
        <v>1530</v>
      </c>
      <c r="CS17" s="234" t="s">
        <v>1530</v>
      </c>
      <c r="CT17" s="234" t="s">
        <v>1558</v>
      </c>
      <c r="CU17" s="234" t="s">
        <v>1530</v>
      </c>
      <c r="CV17" s="234" t="s">
        <v>1530</v>
      </c>
      <c r="CW17" s="234" t="s">
        <v>1530</v>
      </c>
      <c r="CX17" s="234" t="s">
        <v>1701</v>
      </c>
      <c r="CY17" s="234" t="s">
        <v>1530</v>
      </c>
      <c r="CZ17" s="234" t="s">
        <v>1530</v>
      </c>
      <c r="DA17" s="234" t="s">
        <v>1530</v>
      </c>
      <c r="DB17" s="234" t="s">
        <v>1701</v>
      </c>
      <c r="DC17" s="234" t="s">
        <v>1530</v>
      </c>
      <c r="DD17" s="234"/>
      <c r="DE17" s="234"/>
      <c r="DF17" s="234"/>
      <c r="DG17" s="234"/>
      <c r="DH17" s="234"/>
      <c r="DI17" s="234" t="s">
        <v>1572</v>
      </c>
      <c r="DJ17" s="234"/>
      <c r="DK17" s="234"/>
      <c r="DL17" s="234"/>
      <c r="DM17" s="234"/>
      <c r="DN17" s="234"/>
      <c r="DO17" s="234"/>
      <c r="DP17" s="234" t="s">
        <v>1560</v>
      </c>
      <c r="DQ17" s="234" t="n">
        <v>0</v>
      </c>
      <c r="DR17" s="234"/>
      <c r="DS17" s="234"/>
      <c r="DT17" s="234"/>
      <c r="DU17" s="234"/>
      <c r="DV17" s="234"/>
      <c r="DW17" s="234"/>
      <c r="DX17" s="234" t="s">
        <v>1561</v>
      </c>
      <c r="DY17" s="234"/>
      <c r="DZ17" s="234"/>
      <c r="EA17" s="234"/>
      <c r="EB17" s="234"/>
      <c r="EC17" s="234"/>
      <c r="ED17" s="234"/>
      <c r="EE17" s="234"/>
      <c r="EF17" s="234"/>
      <c r="EG17" s="234"/>
      <c r="EH17" s="234" t="s">
        <v>1562</v>
      </c>
      <c r="EI17" s="234"/>
      <c r="EJ17" s="234"/>
      <c r="EK17" s="234" t="s">
        <v>1563</v>
      </c>
      <c r="EL17" s="234"/>
      <c r="EM17" s="234" t="s">
        <v>1564</v>
      </c>
      <c r="EN17" s="234" t="s">
        <v>1565</v>
      </c>
      <c r="EO17" s="234" t="s">
        <v>1566</v>
      </c>
      <c r="EP17" s="234" t="s">
        <v>1558</v>
      </c>
      <c r="EQ17" s="234" t="n">
        <v>1800</v>
      </c>
      <c r="ER17" s="234" t="s">
        <v>1567</v>
      </c>
      <c r="ES17" s="234"/>
      <c r="ET17" s="234"/>
    </row>
    <row r="18" customFormat="false" ht="13.5" hidden="false" customHeight="false" outlineLevel="0" collapsed="false">
      <c r="A18" s="233" t="n">
        <v>45757</v>
      </c>
      <c r="B18" s="234" t="s">
        <v>1702</v>
      </c>
      <c r="C18" s="234" t="s">
        <v>155</v>
      </c>
      <c r="D18" s="234" t="s">
        <v>897</v>
      </c>
      <c r="E18" s="234" t="s">
        <v>1703</v>
      </c>
      <c r="F18" s="234" t="s">
        <v>154</v>
      </c>
      <c r="G18" s="234" t="s">
        <v>1570</v>
      </c>
      <c r="H18" s="234" t="s">
        <v>1571</v>
      </c>
      <c r="I18" s="234" t="s">
        <v>1524</v>
      </c>
      <c r="J18" s="234" t="s">
        <v>1525</v>
      </c>
      <c r="K18" s="233" t="n">
        <v>45757</v>
      </c>
      <c r="L18" s="234"/>
      <c r="M18" s="234" t="s">
        <v>1526</v>
      </c>
      <c r="N18" s="234" t="n">
        <v>1</v>
      </c>
      <c r="O18" s="234" t="s">
        <v>1527</v>
      </c>
      <c r="P18" s="234" t="s">
        <v>1528</v>
      </c>
      <c r="Q18" s="234" t="s">
        <v>1529</v>
      </c>
      <c r="R18" s="234" t="s">
        <v>1530</v>
      </c>
      <c r="S18" s="234"/>
      <c r="T18" s="234"/>
      <c r="U18" s="234" t="s">
        <v>1527</v>
      </c>
      <c r="V18" s="234"/>
      <c r="W18" s="234" t="s">
        <v>1530</v>
      </c>
      <c r="X18" s="234"/>
      <c r="Y18" s="234"/>
      <c r="Z18" s="234" t="s">
        <v>1572</v>
      </c>
      <c r="AA18" s="234" t="n">
        <v>150012</v>
      </c>
      <c r="AB18" s="234" t="n">
        <v>177014.16</v>
      </c>
      <c r="AC18" s="234" t="n">
        <v>0</v>
      </c>
      <c r="AD18" s="234" t="n">
        <v>0</v>
      </c>
      <c r="AE18" s="234" t="s">
        <v>1399</v>
      </c>
      <c r="AF18" s="234"/>
      <c r="AG18" s="233" t="n">
        <v>45771</v>
      </c>
      <c r="AH18" s="234" t="s">
        <v>1537</v>
      </c>
      <c r="AI18" s="234" t="s">
        <v>1538</v>
      </c>
      <c r="AJ18" s="234" t="s">
        <v>1539</v>
      </c>
      <c r="AK18" s="234"/>
      <c r="AL18" s="234"/>
      <c r="AM18" s="234"/>
      <c r="AN18" s="234"/>
      <c r="AO18" s="234"/>
      <c r="AP18" s="234"/>
      <c r="AQ18" s="234"/>
      <c r="AR18" s="234"/>
      <c r="AS18" s="234"/>
      <c r="AT18" s="234" t="s">
        <v>89</v>
      </c>
      <c r="AU18" s="234" t="s">
        <v>1540</v>
      </c>
      <c r="AV18" s="234" t="n">
        <v>0</v>
      </c>
      <c r="AW18" s="234"/>
      <c r="AX18" s="234"/>
      <c r="AY18" s="234"/>
      <c r="AZ18" s="234"/>
      <c r="BA18" s="234"/>
      <c r="BB18" s="234"/>
      <c r="BC18" s="234"/>
      <c r="BD18" s="234" t="s">
        <v>1541</v>
      </c>
      <c r="BE18" s="235" t="s">
        <v>1704</v>
      </c>
      <c r="BF18" s="234" t="n">
        <v>1</v>
      </c>
      <c r="BG18" s="234" t="s">
        <v>1705</v>
      </c>
      <c r="BH18" s="234" t="s">
        <v>1706</v>
      </c>
      <c r="BI18" s="234" t="n">
        <v>150012</v>
      </c>
      <c r="BJ18" s="234" t="s">
        <v>1543</v>
      </c>
      <c r="BK18" s="234" t="n">
        <v>180000</v>
      </c>
      <c r="BL18" s="234" t="s">
        <v>1544</v>
      </c>
      <c r="BM18" s="234"/>
      <c r="BN18" s="234"/>
      <c r="BO18" s="234"/>
      <c r="BP18" s="234"/>
      <c r="BQ18" s="234"/>
      <c r="BR18" s="234" t="s">
        <v>1707</v>
      </c>
      <c r="BS18" s="235" t="s">
        <v>1708</v>
      </c>
      <c r="BT18" s="234" t="s">
        <v>1586</v>
      </c>
      <c r="BU18" s="234" t="s">
        <v>1587</v>
      </c>
      <c r="BV18" s="234" t="s">
        <v>1549</v>
      </c>
      <c r="BW18" s="234" t="s">
        <v>1709</v>
      </c>
      <c r="BX18" s="234"/>
      <c r="BY18" s="234"/>
      <c r="BZ18" s="234"/>
      <c r="CA18" s="234" t="s">
        <v>1707</v>
      </c>
      <c r="CB18" s="235" t="s">
        <v>1708</v>
      </c>
      <c r="CC18" s="234" t="s">
        <v>1586</v>
      </c>
      <c r="CD18" s="234" t="s">
        <v>1587</v>
      </c>
      <c r="CE18" s="234" t="s">
        <v>1549</v>
      </c>
      <c r="CF18" s="234" t="s">
        <v>1709</v>
      </c>
      <c r="CG18" s="234"/>
      <c r="CH18" s="234"/>
      <c r="CI18" s="234" t="s">
        <v>0</v>
      </c>
      <c r="CJ18" s="234" t="s">
        <v>1551</v>
      </c>
      <c r="CK18" s="234" t="s">
        <v>1552</v>
      </c>
      <c r="CL18" s="234" t="s">
        <v>1553</v>
      </c>
      <c r="CM18" s="234" t="s">
        <v>1554</v>
      </c>
      <c r="CN18" s="234" t="s">
        <v>1549</v>
      </c>
      <c r="CO18" s="234" t="s">
        <v>1555</v>
      </c>
      <c r="CP18" s="234" t="s">
        <v>1556</v>
      </c>
      <c r="CQ18" s="234" t="s">
        <v>1557</v>
      </c>
      <c r="CR18" s="234" t="s">
        <v>1530</v>
      </c>
      <c r="CS18" s="234" t="s">
        <v>1530</v>
      </c>
      <c r="CT18" s="234" t="s">
        <v>1558</v>
      </c>
      <c r="CU18" s="234" t="s">
        <v>1530</v>
      </c>
      <c r="CV18" s="234" t="s">
        <v>1530</v>
      </c>
      <c r="CW18" s="234" t="s">
        <v>1530</v>
      </c>
      <c r="CX18" s="234" t="s">
        <v>1710</v>
      </c>
      <c r="CY18" s="234" t="s">
        <v>1530</v>
      </c>
      <c r="CZ18" s="234" t="s">
        <v>1530</v>
      </c>
      <c r="DA18" s="234" t="s">
        <v>1530</v>
      </c>
      <c r="DB18" s="234" t="s">
        <v>1710</v>
      </c>
      <c r="DC18" s="234" t="s">
        <v>1530</v>
      </c>
      <c r="DD18" s="234"/>
      <c r="DE18" s="234"/>
      <c r="DF18" s="234"/>
      <c r="DG18" s="234"/>
      <c r="DH18" s="234"/>
      <c r="DI18" s="234" t="s">
        <v>1572</v>
      </c>
      <c r="DJ18" s="234"/>
      <c r="DK18" s="234"/>
      <c r="DL18" s="234"/>
      <c r="DM18" s="234"/>
      <c r="DN18" s="234"/>
      <c r="DO18" s="234"/>
      <c r="DP18" s="234" t="s">
        <v>1560</v>
      </c>
      <c r="DQ18" s="234" t="n">
        <v>0</v>
      </c>
      <c r="DR18" s="234"/>
      <c r="DS18" s="234"/>
      <c r="DT18" s="234"/>
      <c r="DU18" s="234"/>
      <c r="DV18" s="234"/>
      <c r="DW18" s="234"/>
      <c r="DX18" s="234" t="s">
        <v>1561</v>
      </c>
      <c r="DY18" s="234"/>
      <c r="DZ18" s="234"/>
      <c r="EA18" s="234"/>
      <c r="EB18" s="234"/>
      <c r="EC18" s="234"/>
      <c r="ED18" s="234"/>
      <c r="EE18" s="234"/>
      <c r="EF18" s="234"/>
      <c r="EG18" s="234"/>
      <c r="EH18" s="234" t="s">
        <v>1562</v>
      </c>
      <c r="EI18" s="234"/>
      <c r="EJ18" s="234"/>
      <c r="EK18" s="234" t="s">
        <v>1563</v>
      </c>
      <c r="EL18" s="234"/>
      <c r="EM18" s="234" t="s">
        <v>1564</v>
      </c>
      <c r="EN18" s="234" t="s">
        <v>1565</v>
      </c>
      <c r="EO18" s="234" t="s">
        <v>1566</v>
      </c>
      <c r="EP18" s="234" t="s">
        <v>1558</v>
      </c>
      <c r="EQ18" s="234" t="n">
        <v>27002.16</v>
      </c>
      <c r="ER18" s="234" t="s">
        <v>1567</v>
      </c>
      <c r="ES18" s="234"/>
      <c r="ET18" s="234"/>
    </row>
    <row r="19" customFormat="false" ht="13.5" hidden="false" customHeight="false" outlineLevel="0" collapsed="false">
      <c r="A19" s="233" t="n">
        <v>45757</v>
      </c>
      <c r="B19" s="234" t="s">
        <v>1711</v>
      </c>
      <c r="C19" s="234" t="s">
        <v>994</v>
      </c>
      <c r="D19" s="234" t="s">
        <v>897</v>
      </c>
      <c r="E19" s="234" t="s">
        <v>1712</v>
      </c>
      <c r="F19" s="234" t="s">
        <v>157</v>
      </c>
      <c r="G19" s="234" t="s">
        <v>1522</v>
      </c>
      <c r="H19" s="234" t="s">
        <v>1523</v>
      </c>
      <c r="I19" s="234" t="s">
        <v>1524</v>
      </c>
      <c r="J19" s="234" t="s">
        <v>1525</v>
      </c>
      <c r="K19" s="233" t="n">
        <v>45757</v>
      </c>
      <c r="L19" s="234"/>
      <c r="M19" s="234" t="s">
        <v>1526</v>
      </c>
      <c r="N19" s="234" t="n">
        <v>1</v>
      </c>
      <c r="O19" s="234" t="s">
        <v>1527</v>
      </c>
      <c r="P19" s="234" t="s">
        <v>1528</v>
      </c>
      <c r="Q19" s="234" t="s">
        <v>1529</v>
      </c>
      <c r="R19" s="234" t="s">
        <v>1530</v>
      </c>
      <c r="S19" s="234"/>
      <c r="T19" s="234"/>
      <c r="U19" s="234" t="s">
        <v>1527</v>
      </c>
      <c r="V19" s="234"/>
      <c r="W19" s="234" t="s">
        <v>1530</v>
      </c>
      <c r="X19" s="234"/>
      <c r="Y19" s="234"/>
      <c r="Z19" s="234" t="s">
        <v>1572</v>
      </c>
      <c r="AA19" s="234" t="n">
        <v>10000</v>
      </c>
      <c r="AB19" s="234" t="n">
        <v>11800</v>
      </c>
      <c r="AC19" s="234" t="n">
        <v>0</v>
      </c>
      <c r="AD19" s="234" t="n">
        <v>0</v>
      </c>
      <c r="AE19" s="234" t="s">
        <v>1399</v>
      </c>
      <c r="AF19" s="234"/>
      <c r="AG19" s="233" t="n">
        <v>45757</v>
      </c>
      <c r="AH19" s="234" t="s">
        <v>1537</v>
      </c>
      <c r="AI19" s="234" t="s">
        <v>1538</v>
      </c>
      <c r="AJ19" s="234" t="s">
        <v>1539</v>
      </c>
      <c r="AK19" s="234"/>
      <c r="AL19" s="234"/>
      <c r="AM19" s="234"/>
      <c r="AN19" s="234"/>
      <c r="AO19" s="234"/>
      <c r="AP19" s="234"/>
      <c r="AQ19" s="234"/>
      <c r="AR19" s="234"/>
      <c r="AS19" s="234"/>
      <c r="AT19" s="234" t="s">
        <v>89</v>
      </c>
      <c r="AU19" s="234" t="s">
        <v>1540</v>
      </c>
      <c r="AV19" s="234" t="n">
        <v>0</v>
      </c>
      <c r="AW19" s="234"/>
      <c r="AX19" s="234"/>
      <c r="AY19" s="234"/>
      <c r="AZ19" s="234"/>
      <c r="BA19" s="234"/>
      <c r="BB19" s="234"/>
      <c r="BC19" s="234"/>
      <c r="BD19" s="234" t="s">
        <v>1541</v>
      </c>
      <c r="BE19" s="235" t="s">
        <v>1713</v>
      </c>
      <c r="BF19" s="234" t="n">
        <v>1</v>
      </c>
      <c r="BG19" s="234" t="s">
        <v>1530</v>
      </c>
      <c r="BH19" s="234" t="s">
        <v>1572</v>
      </c>
      <c r="BI19" s="234" t="n">
        <v>10000</v>
      </c>
      <c r="BJ19" s="234" t="s">
        <v>1543</v>
      </c>
      <c r="BK19" s="234" t="n">
        <v>10000</v>
      </c>
      <c r="BL19" s="234" t="s">
        <v>1544</v>
      </c>
      <c r="BM19" s="234"/>
      <c r="BN19" s="234"/>
      <c r="BO19" s="234"/>
      <c r="BP19" s="234" t="s">
        <v>157</v>
      </c>
      <c r="BQ19" s="234"/>
      <c r="BR19" s="234" t="s">
        <v>1714</v>
      </c>
      <c r="BS19" s="234" t="s">
        <v>1715</v>
      </c>
      <c r="BT19" s="234" t="s">
        <v>1547</v>
      </c>
      <c r="BU19" s="234" t="s">
        <v>1548</v>
      </c>
      <c r="BV19" s="234" t="s">
        <v>1549</v>
      </c>
      <c r="BW19" s="234" t="s">
        <v>1716</v>
      </c>
      <c r="BX19" s="234"/>
      <c r="BY19" s="234"/>
      <c r="BZ19" s="234"/>
      <c r="CA19" s="234" t="s">
        <v>1714</v>
      </c>
      <c r="CB19" s="234" t="s">
        <v>1715</v>
      </c>
      <c r="CC19" s="234" t="s">
        <v>1547</v>
      </c>
      <c r="CD19" s="234" t="s">
        <v>1548</v>
      </c>
      <c r="CE19" s="234" t="s">
        <v>1549</v>
      </c>
      <c r="CF19" s="234" t="s">
        <v>1716</v>
      </c>
      <c r="CG19" s="234"/>
      <c r="CH19" s="234"/>
      <c r="CI19" s="234" t="s">
        <v>0</v>
      </c>
      <c r="CJ19" s="234" t="s">
        <v>1551</v>
      </c>
      <c r="CK19" s="234" t="s">
        <v>1552</v>
      </c>
      <c r="CL19" s="234" t="s">
        <v>1553</v>
      </c>
      <c r="CM19" s="234" t="s">
        <v>1554</v>
      </c>
      <c r="CN19" s="234" t="s">
        <v>1549</v>
      </c>
      <c r="CO19" s="234" t="s">
        <v>1555</v>
      </c>
      <c r="CP19" s="234" t="s">
        <v>1556</v>
      </c>
      <c r="CQ19" s="234" t="s">
        <v>1557</v>
      </c>
      <c r="CR19" s="234" t="s">
        <v>1530</v>
      </c>
      <c r="CS19" s="234" t="s">
        <v>1530</v>
      </c>
      <c r="CT19" s="234" t="s">
        <v>1558</v>
      </c>
      <c r="CU19" s="234" t="s">
        <v>1530</v>
      </c>
      <c r="CV19" s="234" t="s">
        <v>1530</v>
      </c>
      <c r="CW19" s="234" t="s">
        <v>1530</v>
      </c>
      <c r="CX19" s="234" t="s">
        <v>1701</v>
      </c>
      <c r="CY19" s="234" t="s">
        <v>1530</v>
      </c>
      <c r="CZ19" s="234" t="s">
        <v>1530</v>
      </c>
      <c r="DA19" s="234" t="s">
        <v>1530</v>
      </c>
      <c r="DB19" s="234" t="s">
        <v>1701</v>
      </c>
      <c r="DC19" s="234" t="s">
        <v>1530</v>
      </c>
      <c r="DD19" s="234"/>
      <c r="DE19" s="234"/>
      <c r="DF19" s="234"/>
      <c r="DG19" s="234"/>
      <c r="DH19" s="234"/>
      <c r="DI19" s="234" t="s">
        <v>1572</v>
      </c>
      <c r="DJ19" s="234"/>
      <c r="DK19" s="234"/>
      <c r="DL19" s="234"/>
      <c r="DM19" s="234"/>
      <c r="DN19" s="234"/>
      <c r="DO19" s="234"/>
      <c r="DP19" s="234" t="s">
        <v>1560</v>
      </c>
      <c r="DQ19" s="234" t="n">
        <v>0</v>
      </c>
      <c r="DR19" s="234"/>
      <c r="DS19" s="234"/>
      <c r="DT19" s="234"/>
      <c r="DU19" s="234"/>
      <c r="DV19" s="234"/>
      <c r="DW19" s="234"/>
      <c r="DX19" s="234" t="s">
        <v>1561</v>
      </c>
      <c r="DY19" s="234"/>
      <c r="DZ19" s="234"/>
      <c r="EA19" s="234"/>
      <c r="EB19" s="234"/>
      <c r="EC19" s="234"/>
      <c r="ED19" s="234"/>
      <c r="EE19" s="234"/>
      <c r="EF19" s="234"/>
      <c r="EG19" s="234"/>
      <c r="EH19" s="234" t="s">
        <v>1562</v>
      </c>
      <c r="EI19" s="234"/>
      <c r="EJ19" s="234"/>
      <c r="EK19" s="234" t="s">
        <v>1563</v>
      </c>
      <c r="EL19" s="234"/>
      <c r="EM19" s="234" t="s">
        <v>1564</v>
      </c>
      <c r="EN19" s="234" t="s">
        <v>1565</v>
      </c>
      <c r="EO19" s="234" t="s">
        <v>1566</v>
      </c>
      <c r="EP19" s="234" t="s">
        <v>1558</v>
      </c>
      <c r="EQ19" s="234" t="n">
        <v>1800</v>
      </c>
      <c r="ER19" s="234" t="s">
        <v>1567</v>
      </c>
      <c r="ES19" s="234"/>
      <c r="ET19" s="234"/>
    </row>
    <row r="20" customFormat="false" ht="13.5" hidden="false" customHeight="false" outlineLevel="0" collapsed="false">
      <c r="A20" s="233" t="n">
        <v>45758</v>
      </c>
      <c r="B20" s="234" t="s">
        <v>1717</v>
      </c>
      <c r="C20" s="234" t="s">
        <v>160</v>
      </c>
      <c r="D20" s="234" t="s">
        <v>897</v>
      </c>
      <c r="E20" s="234" t="s">
        <v>1718</v>
      </c>
      <c r="F20" s="234" t="s">
        <v>1719</v>
      </c>
      <c r="G20" s="234" t="s">
        <v>1522</v>
      </c>
      <c r="H20" s="234" t="s">
        <v>1523</v>
      </c>
      <c r="I20" s="234" t="s">
        <v>1524</v>
      </c>
      <c r="J20" s="234" t="s">
        <v>1525</v>
      </c>
      <c r="K20" s="233" t="n">
        <v>45758</v>
      </c>
      <c r="L20" s="234"/>
      <c r="M20" s="234" t="s">
        <v>1526</v>
      </c>
      <c r="N20" s="234" t="n">
        <v>1</v>
      </c>
      <c r="O20" s="234" t="s">
        <v>1527</v>
      </c>
      <c r="P20" s="234" t="s">
        <v>1528</v>
      </c>
      <c r="Q20" s="234" t="s">
        <v>1529</v>
      </c>
      <c r="R20" s="234" t="s">
        <v>1530</v>
      </c>
      <c r="S20" s="234"/>
      <c r="T20" s="234"/>
      <c r="U20" s="234" t="s">
        <v>1531</v>
      </c>
      <c r="V20" s="234" t="s">
        <v>1532</v>
      </c>
      <c r="W20" s="234" t="s">
        <v>1533</v>
      </c>
      <c r="X20" s="234" t="s">
        <v>1534</v>
      </c>
      <c r="Y20" s="234" t="s">
        <v>1535</v>
      </c>
      <c r="Z20" s="234" t="s">
        <v>1720</v>
      </c>
      <c r="AA20" s="234" t="n">
        <v>30000</v>
      </c>
      <c r="AB20" s="234" t="n">
        <v>34800</v>
      </c>
      <c r="AC20" s="234" t="n">
        <v>0</v>
      </c>
      <c r="AD20" s="234" t="n">
        <v>0</v>
      </c>
      <c r="AE20" s="234" t="s">
        <v>1399</v>
      </c>
      <c r="AF20" s="234"/>
      <c r="AG20" s="233" t="n">
        <v>45764</v>
      </c>
      <c r="AH20" s="234" t="s">
        <v>1537</v>
      </c>
      <c r="AI20" s="234" t="s">
        <v>1538</v>
      </c>
      <c r="AJ20" s="234" t="s">
        <v>1539</v>
      </c>
      <c r="AK20" s="234"/>
      <c r="AL20" s="234"/>
      <c r="AM20" s="234"/>
      <c r="AN20" s="234"/>
      <c r="AO20" s="234"/>
      <c r="AP20" s="234"/>
      <c r="AQ20" s="234"/>
      <c r="AR20" s="234"/>
      <c r="AS20" s="234"/>
      <c r="AT20" s="234" t="s">
        <v>89</v>
      </c>
      <c r="AU20" s="234" t="s">
        <v>1540</v>
      </c>
      <c r="AV20" s="234" t="n">
        <v>0</v>
      </c>
      <c r="AW20" s="234"/>
      <c r="AX20" s="234"/>
      <c r="AY20" s="234"/>
      <c r="AZ20" s="234"/>
      <c r="BA20" s="234"/>
      <c r="BB20" s="234"/>
      <c r="BC20" s="234"/>
      <c r="BD20" s="234" t="s">
        <v>1541</v>
      </c>
      <c r="BE20" s="235" t="s">
        <v>1721</v>
      </c>
      <c r="BF20" s="234" t="n">
        <v>1</v>
      </c>
      <c r="BG20" s="234" t="s">
        <v>1530</v>
      </c>
      <c r="BH20" s="234" t="s">
        <v>1530</v>
      </c>
      <c r="BI20" s="234" t="n">
        <v>30000</v>
      </c>
      <c r="BJ20" s="234" t="s">
        <v>1543</v>
      </c>
      <c r="BK20" s="234" t="n">
        <v>30000</v>
      </c>
      <c r="BL20" s="234" t="s">
        <v>1544</v>
      </c>
      <c r="BM20" s="234"/>
      <c r="BN20" s="234"/>
      <c r="BO20" s="234"/>
      <c r="BP20" s="234"/>
      <c r="BQ20" s="234"/>
      <c r="BR20" s="234" t="s">
        <v>1722</v>
      </c>
      <c r="BS20" s="235" t="s">
        <v>1723</v>
      </c>
      <c r="BT20" s="234" t="s">
        <v>1547</v>
      </c>
      <c r="BU20" s="234" t="s">
        <v>1548</v>
      </c>
      <c r="BV20" s="234" t="s">
        <v>1549</v>
      </c>
      <c r="BW20" s="234" t="s">
        <v>1666</v>
      </c>
      <c r="BX20" s="234"/>
      <c r="BY20" s="234"/>
      <c r="BZ20" s="234"/>
      <c r="CA20" s="234" t="s">
        <v>1722</v>
      </c>
      <c r="CB20" s="235" t="s">
        <v>1723</v>
      </c>
      <c r="CC20" s="234" t="s">
        <v>1547</v>
      </c>
      <c r="CD20" s="234" t="s">
        <v>1548</v>
      </c>
      <c r="CE20" s="234" t="s">
        <v>1549</v>
      </c>
      <c r="CF20" s="234" t="s">
        <v>1666</v>
      </c>
      <c r="CG20" s="234"/>
      <c r="CH20" s="234"/>
      <c r="CI20" s="234" t="s">
        <v>0</v>
      </c>
      <c r="CJ20" s="234" t="s">
        <v>1551</v>
      </c>
      <c r="CK20" s="234" t="s">
        <v>1552</v>
      </c>
      <c r="CL20" s="234" t="s">
        <v>1553</v>
      </c>
      <c r="CM20" s="234" t="s">
        <v>1554</v>
      </c>
      <c r="CN20" s="234" t="s">
        <v>1549</v>
      </c>
      <c r="CO20" s="234" t="s">
        <v>1555</v>
      </c>
      <c r="CP20" s="234" t="s">
        <v>1556</v>
      </c>
      <c r="CQ20" s="234" t="s">
        <v>1557</v>
      </c>
      <c r="CR20" s="234" t="s">
        <v>1530</v>
      </c>
      <c r="CS20" s="234" t="s">
        <v>1530</v>
      </c>
      <c r="CT20" s="234" t="s">
        <v>1558</v>
      </c>
      <c r="CU20" s="234" t="s">
        <v>1530</v>
      </c>
      <c r="CV20" s="234" t="s">
        <v>1530</v>
      </c>
      <c r="CW20" s="234" t="s">
        <v>1530</v>
      </c>
      <c r="CX20" s="234" t="s">
        <v>1575</v>
      </c>
      <c r="CY20" s="234" t="s">
        <v>1530</v>
      </c>
      <c r="CZ20" s="234" t="s">
        <v>1530</v>
      </c>
      <c r="DA20" s="234" t="s">
        <v>1530</v>
      </c>
      <c r="DB20" s="234" t="s">
        <v>1575</v>
      </c>
      <c r="DC20" s="234" t="s">
        <v>1530</v>
      </c>
      <c r="DD20" s="234"/>
      <c r="DE20" s="234"/>
      <c r="DF20" s="234"/>
      <c r="DG20" s="234"/>
      <c r="DH20" s="234"/>
      <c r="DI20" s="234"/>
      <c r="DJ20" s="234"/>
      <c r="DK20" s="234"/>
      <c r="DL20" s="234"/>
      <c r="DM20" s="234"/>
      <c r="DN20" s="234"/>
      <c r="DO20" s="234"/>
      <c r="DP20" s="234" t="s">
        <v>1560</v>
      </c>
      <c r="DQ20" s="234" t="n">
        <v>0</v>
      </c>
      <c r="DR20" s="234"/>
      <c r="DS20" s="234"/>
      <c r="DT20" s="234"/>
      <c r="DU20" s="234"/>
      <c r="DV20" s="234"/>
      <c r="DW20" s="234"/>
      <c r="DX20" s="234" t="s">
        <v>1561</v>
      </c>
      <c r="DY20" s="234"/>
      <c r="DZ20" s="234"/>
      <c r="EA20" s="234"/>
      <c r="EB20" s="234"/>
      <c r="EC20" s="234"/>
      <c r="ED20" s="234"/>
      <c r="EE20" s="234"/>
      <c r="EF20" s="234"/>
      <c r="EG20" s="234"/>
      <c r="EH20" s="234" t="s">
        <v>1562</v>
      </c>
      <c r="EI20" s="234"/>
      <c r="EJ20" s="234"/>
      <c r="EK20" s="234" t="s">
        <v>1563</v>
      </c>
      <c r="EL20" s="234"/>
      <c r="EM20" s="234" t="s">
        <v>1564</v>
      </c>
      <c r="EN20" s="234" t="s">
        <v>1565</v>
      </c>
      <c r="EO20" s="234" t="s">
        <v>1566</v>
      </c>
      <c r="EP20" s="234" t="s">
        <v>1558</v>
      </c>
      <c r="EQ20" s="234" t="n">
        <v>5400</v>
      </c>
      <c r="ER20" s="234" t="s">
        <v>1567</v>
      </c>
      <c r="ES20" s="234"/>
      <c r="ET20" s="234"/>
    </row>
    <row r="21" customFormat="false" ht="13.5" hidden="false" customHeight="false" outlineLevel="0" collapsed="false">
      <c r="A21" s="233" t="n">
        <v>45758</v>
      </c>
      <c r="B21" s="234" t="s">
        <v>1724</v>
      </c>
      <c r="C21" s="234" t="s">
        <v>996</v>
      </c>
      <c r="D21" s="234" t="s">
        <v>947</v>
      </c>
      <c r="E21" s="234" t="s">
        <v>1725</v>
      </c>
      <c r="F21" s="234" t="s">
        <v>162</v>
      </c>
      <c r="G21" s="234" t="s">
        <v>1570</v>
      </c>
      <c r="H21" s="234" t="s">
        <v>1571</v>
      </c>
      <c r="I21" s="234" t="s">
        <v>1524</v>
      </c>
      <c r="J21" s="234" t="s">
        <v>1525</v>
      </c>
      <c r="K21" s="233" t="n">
        <v>45758</v>
      </c>
      <c r="L21" s="234"/>
      <c r="M21" s="234" t="s">
        <v>1526</v>
      </c>
      <c r="N21" s="234" t="n">
        <v>1</v>
      </c>
      <c r="O21" s="234" t="s">
        <v>1527</v>
      </c>
      <c r="P21" s="234" t="s">
        <v>1528</v>
      </c>
      <c r="Q21" s="234" t="s">
        <v>1529</v>
      </c>
      <c r="R21" s="234" t="s">
        <v>1530</v>
      </c>
      <c r="S21" s="234"/>
      <c r="T21" s="234"/>
      <c r="U21" s="234" t="s">
        <v>1527</v>
      </c>
      <c r="V21" s="234"/>
      <c r="W21" s="234" t="s">
        <v>1530</v>
      </c>
      <c r="X21" s="234"/>
      <c r="Y21" s="234"/>
      <c r="Z21" s="234" t="s">
        <v>1572</v>
      </c>
      <c r="AA21" s="234" t="n">
        <v>16949.15</v>
      </c>
      <c r="AB21" s="234" t="n">
        <v>20000</v>
      </c>
      <c r="AC21" s="234" t="n">
        <v>20000</v>
      </c>
      <c r="AD21" s="234" t="n">
        <v>0</v>
      </c>
      <c r="AE21" s="234" t="s">
        <v>1399</v>
      </c>
      <c r="AF21" s="234"/>
      <c r="AG21" s="234"/>
      <c r="AH21" s="234" t="s">
        <v>1537</v>
      </c>
      <c r="AI21" s="234" t="s">
        <v>1538</v>
      </c>
      <c r="AJ21" s="234" t="s">
        <v>1539</v>
      </c>
      <c r="AK21" s="234"/>
      <c r="AL21" s="234"/>
      <c r="AM21" s="234"/>
      <c r="AN21" s="234"/>
      <c r="AO21" s="234"/>
      <c r="AP21" s="234"/>
      <c r="AQ21" s="234"/>
      <c r="AR21" s="234"/>
      <c r="AS21" s="234"/>
      <c r="AT21" s="234" t="s">
        <v>89</v>
      </c>
      <c r="AU21" s="234" t="s">
        <v>1540</v>
      </c>
      <c r="AV21" s="234" t="n">
        <v>0</v>
      </c>
      <c r="AW21" s="234"/>
      <c r="AX21" s="234"/>
      <c r="AY21" s="234"/>
      <c r="AZ21" s="234"/>
      <c r="BA21" s="234"/>
      <c r="BB21" s="234"/>
      <c r="BC21" s="234"/>
      <c r="BD21" s="234" t="s">
        <v>1541</v>
      </c>
      <c r="BE21" s="235" t="s">
        <v>1726</v>
      </c>
      <c r="BF21" s="234" t="n">
        <v>1</v>
      </c>
      <c r="BG21" s="234" t="s">
        <v>1530</v>
      </c>
      <c r="BH21" s="234" t="s">
        <v>1572</v>
      </c>
      <c r="BI21" s="234" t="n">
        <v>16949.15</v>
      </c>
      <c r="BJ21" s="234" t="s">
        <v>1543</v>
      </c>
      <c r="BK21" s="234" t="n">
        <v>16949.15</v>
      </c>
      <c r="BL21" s="234" t="s">
        <v>1544</v>
      </c>
      <c r="BM21" s="234"/>
      <c r="BN21" s="234"/>
      <c r="BO21" s="234"/>
      <c r="BP21" s="234" t="s">
        <v>1727</v>
      </c>
      <c r="BQ21" s="234"/>
      <c r="BR21" s="234" t="s">
        <v>1728</v>
      </c>
      <c r="BS21" s="235" t="s">
        <v>1729</v>
      </c>
      <c r="BT21" s="234" t="s">
        <v>1586</v>
      </c>
      <c r="BU21" s="234" t="s">
        <v>1587</v>
      </c>
      <c r="BV21" s="234" t="s">
        <v>1549</v>
      </c>
      <c r="BW21" s="234" t="s">
        <v>1588</v>
      </c>
      <c r="BX21" s="234"/>
      <c r="BY21" s="234"/>
      <c r="BZ21" s="234"/>
      <c r="CA21" s="234" t="s">
        <v>1728</v>
      </c>
      <c r="CB21" s="234" t="s">
        <v>1730</v>
      </c>
      <c r="CC21" s="234" t="s">
        <v>1586</v>
      </c>
      <c r="CD21" s="234" t="s">
        <v>1587</v>
      </c>
      <c r="CE21" s="234" t="s">
        <v>1549</v>
      </c>
      <c r="CF21" s="234" t="s">
        <v>1588</v>
      </c>
      <c r="CG21" s="234"/>
      <c r="CH21" s="234"/>
      <c r="CI21" s="234" t="s">
        <v>0</v>
      </c>
      <c r="CJ21" s="234" t="s">
        <v>1551</v>
      </c>
      <c r="CK21" s="234" t="s">
        <v>1552</v>
      </c>
      <c r="CL21" s="234" t="s">
        <v>1553</v>
      </c>
      <c r="CM21" s="234" t="s">
        <v>1554</v>
      </c>
      <c r="CN21" s="234" t="s">
        <v>1549</v>
      </c>
      <c r="CO21" s="234" t="s">
        <v>1555</v>
      </c>
      <c r="CP21" s="234" t="s">
        <v>1556</v>
      </c>
      <c r="CQ21" s="234" t="s">
        <v>1557</v>
      </c>
      <c r="CR21" s="234" t="s">
        <v>1530</v>
      </c>
      <c r="CS21" s="234" t="s">
        <v>1530</v>
      </c>
      <c r="CT21" s="234" t="s">
        <v>1558</v>
      </c>
      <c r="CU21" s="234" t="s">
        <v>1530</v>
      </c>
      <c r="CV21" s="234" t="s">
        <v>1530</v>
      </c>
      <c r="CW21" s="234" t="s">
        <v>1530</v>
      </c>
      <c r="CX21" s="234" t="s">
        <v>1731</v>
      </c>
      <c r="CY21" s="234" t="s">
        <v>1530</v>
      </c>
      <c r="CZ21" s="234" t="s">
        <v>1530</v>
      </c>
      <c r="DA21" s="234" t="s">
        <v>1530</v>
      </c>
      <c r="DB21" s="234" t="s">
        <v>1731</v>
      </c>
      <c r="DC21" s="234" t="s">
        <v>1530</v>
      </c>
      <c r="DD21" s="234"/>
      <c r="DE21" s="234"/>
      <c r="DF21" s="234"/>
      <c r="DG21" s="234"/>
      <c r="DH21" s="234"/>
      <c r="DI21" s="234" t="s">
        <v>1572</v>
      </c>
      <c r="DJ21" s="234"/>
      <c r="DK21" s="234"/>
      <c r="DL21" s="234"/>
      <c r="DM21" s="234"/>
      <c r="DN21" s="234"/>
      <c r="DO21" s="234"/>
      <c r="DP21" s="234" t="s">
        <v>1560</v>
      </c>
      <c r="DQ21" s="234" t="n">
        <v>0</v>
      </c>
      <c r="DR21" s="234"/>
      <c r="DS21" s="234"/>
      <c r="DT21" s="234"/>
      <c r="DU21" s="234"/>
      <c r="DV21" s="234"/>
      <c r="DW21" s="234"/>
      <c r="DX21" s="234" t="s">
        <v>1561</v>
      </c>
      <c r="DY21" s="234"/>
      <c r="DZ21" s="234"/>
      <c r="EA21" s="234"/>
      <c r="EB21" s="234"/>
      <c r="EC21" s="234"/>
      <c r="ED21" s="234"/>
      <c r="EE21" s="234"/>
      <c r="EF21" s="234"/>
      <c r="EG21" s="234"/>
      <c r="EH21" s="234" t="s">
        <v>1562</v>
      </c>
      <c r="EI21" s="234"/>
      <c r="EJ21" s="234"/>
      <c r="EK21" s="234" t="s">
        <v>1563</v>
      </c>
      <c r="EL21" s="234"/>
      <c r="EM21" s="234" t="s">
        <v>1564</v>
      </c>
      <c r="EN21" s="234" t="s">
        <v>1565</v>
      </c>
      <c r="EO21" s="234" t="s">
        <v>1566</v>
      </c>
      <c r="EP21" s="234" t="s">
        <v>1558</v>
      </c>
      <c r="EQ21" s="234" t="n">
        <v>3050.85</v>
      </c>
      <c r="ER21" s="234" t="s">
        <v>1567</v>
      </c>
      <c r="ES21" s="234"/>
      <c r="ET21" s="234"/>
    </row>
    <row r="22" customFormat="false" ht="13.5" hidden="false" customHeight="false" outlineLevel="0" collapsed="false">
      <c r="A22" s="233" t="n">
        <v>45758</v>
      </c>
      <c r="B22" s="234" t="s">
        <v>1732</v>
      </c>
      <c r="C22" s="234" t="s">
        <v>997</v>
      </c>
      <c r="D22" s="234" t="s">
        <v>947</v>
      </c>
      <c r="E22" s="234" t="s">
        <v>1725</v>
      </c>
      <c r="F22" s="234" t="s">
        <v>162</v>
      </c>
      <c r="G22" s="234" t="s">
        <v>1570</v>
      </c>
      <c r="H22" s="234" t="s">
        <v>1571</v>
      </c>
      <c r="I22" s="234" t="s">
        <v>1524</v>
      </c>
      <c r="J22" s="234" t="s">
        <v>1525</v>
      </c>
      <c r="K22" s="233" t="n">
        <v>45758</v>
      </c>
      <c r="L22" s="234"/>
      <c r="M22" s="234" t="s">
        <v>1526</v>
      </c>
      <c r="N22" s="234" t="n">
        <v>1</v>
      </c>
      <c r="O22" s="234" t="s">
        <v>1527</v>
      </c>
      <c r="P22" s="234" t="s">
        <v>1528</v>
      </c>
      <c r="Q22" s="234" t="s">
        <v>1529</v>
      </c>
      <c r="R22" s="234" t="s">
        <v>1530</v>
      </c>
      <c r="S22" s="234"/>
      <c r="T22" s="234"/>
      <c r="U22" s="234" t="s">
        <v>1527</v>
      </c>
      <c r="V22" s="234"/>
      <c r="W22" s="234" t="s">
        <v>1530</v>
      </c>
      <c r="X22" s="234"/>
      <c r="Y22" s="234"/>
      <c r="Z22" s="234" t="s">
        <v>1572</v>
      </c>
      <c r="AA22" s="234" t="n">
        <v>16949.15</v>
      </c>
      <c r="AB22" s="234" t="n">
        <v>20000</v>
      </c>
      <c r="AC22" s="234" t="n">
        <v>20000</v>
      </c>
      <c r="AD22" s="234" t="n">
        <v>0</v>
      </c>
      <c r="AE22" s="234" t="s">
        <v>1399</v>
      </c>
      <c r="AF22" s="234"/>
      <c r="AG22" s="234"/>
      <c r="AH22" s="234" t="s">
        <v>1537</v>
      </c>
      <c r="AI22" s="234" t="s">
        <v>1538</v>
      </c>
      <c r="AJ22" s="234" t="s">
        <v>1539</v>
      </c>
      <c r="AK22" s="234"/>
      <c r="AL22" s="234"/>
      <c r="AM22" s="234"/>
      <c r="AN22" s="234"/>
      <c r="AO22" s="234"/>
      <c r="AP22" s="234"/>
      <c r="AQ22" s="234"/>
      <c r="AR22" s="234"/>
      <c r="AS22" s="234"/>
      <c r="AT22" s="234" t="s">
        <v>89</v>
      </c>
      <c r="AU22" s="234" t="s">
        <v>1540</v>
      </c>
      <c r="AV22" s="234" t="n">
        <v>0</v>
      </c>
      <c r="AW22" s="234"/>
      <c r="AX22" s="234"/>
      <c r="AY22" s="234"/>
      <c r="AZ22" s="234"/>
      <c r="BA22" s="234"/>
      <c r="BB22" s="234"/>
      <c r="BC22" s="234"/>
      <c r="BD22" s="234" t="s">
        <v>1541</v>
      </c>
      <c r="BE22" s="235" t="s">
        <v>1733</v>
      </c>
      <c r="BF22" s="234" t="n">
        <v>1</v>
      </c>
      <c r="BG22" s="234" t="s">
        <v>1530</v>
      </c>
      <c r="BH22" s="234" t="s">
        <v>1530</v>
      </c>
      <c r="BI22" s="234" t="n">
        <v>16949.15</v>
      </c>
      <c r="BJ22" s="234" t="s">
        <v>1543</v>
      </c>
      <c r="BK22" s="234" t="n">
        <v>16949.15</v>
      </c>
      <c r="BL22" s="234" t="s">
        <v>1544</v>
      </c>
      <c r="BM22" s="234"/>
      <c r="BN22" s="234"/>
      <c r="BO22" s="234"/>
      <c r="BP22" s="234" t="s">
        <v>1727</v>
      </c>
      <c r="BQ22" s="234"/>
      <c r="BR22" s="234" t="s">
        <v>1728</v>
      </c>
      <c r="BS22" s="235" t="s">
        <v>1729</v>
      </c>
      <c r="BT22" s="234" t="s">
        <v>1586</v>
      </c>
      <c r="BU22" s="234" t="s">
        <v>1587</v>
      </c>
      <c r="BV22" s="234" t="s">
        <v>1549</v>
      </c>
      <c r="BW22" s="234" t="s">
        <v>1588</v>
      </c>
      <c r="BX22" s="234"/>
      <c r="BY22" s="234"/>
      <c r="BZ22" s="234"/>
      <c r="CA22" s="234" t="s">
        <v>1728</v>
      </c>
      <c r="CB22" s="234" t="s">
        <v>1730</v>
      </c>
      <c r="CC22" s="234" t="s">
        <v>1586</v>
      </c>
      <c r="CD22" s="234" t="s">
        <v>1587</v>
      </c>
      <c r="CE22" s="234" t="s">
        <v>1549</v>
      </c>
      <c r="CF22" s="234" t="s">
        <v>1588</v>
      </c>
      <c r="CG22" s="234"/>
      <c r="CH22" s="234"/>
      <c r="CI22" s="234" t="s">
        <v>0</v>
      </c>
      <c r="CJ22" s="234" t="s">
        <v>1551</v>
      </c>
      <c r="CK22" s="234" t="s">
        <v>1552</v>
      </c>
      <c r="CL22" s="234" t="s">
        <v>1553</v>
      </c>
      <c r="CM22" s="234" t="s">
        <v>1554</v>
      </c>
      <c r="CN22" s="234" t="s">
        <v>1549</v>
      </c>
      <c r="CO22" s="234" t="s">
        <v>1555</v>
      </c>
      <c r="CP22" s="234" t="s">
        <v>1556</v>
      </c>
      <c r="CQ22" s="234" t="s">
        <v>1557</v>
      </c>
      <c r="CR22" s="234" t="s">
        <v>1530</v>
      </c>
      <c r="CS22" s="234" t="s">
        <v>1530</v>
      </c>
      <c r="CT22" s="234" t="s">
        <v>1558</v>
      </c>
      <c r="CU22" s="234" t="s">
        <v>1530</v>
      </c>
      <c r="CV22" s="234" t="s">
        <v>1530</v>
      </c>
      <c r="CW22" s="234" t="s">
        <v>1530</v>
      </c>
      <c r="CX22" s="234" t="s">
        <v>1731</v>
      </c>
      <c r="CY22" s="234" t="s">
        <v>1530</v>
      </c>
      <c r="CZ22" s="234" t="s">
        <v>1530</v>
      </c>
      <c r="DA22" s="234" t="s">
        <v>1530</v>
      </c>
      <c r="DB22" s="234" t="s">
        <v>1731</v>
      </c>
      <c r="DC22" s="234" t="s">
        <v>1530</v>
      </c>
      <c r="DD22" s="234"/>
      <c r="DE22" s="234"/>
      <c r="DF22" s="234"/>
      <c r="DG22" s="234"/>
      <c r="DH22" s="234"/>
      <c r="DI22" s="234" t="s">
        <v>1572</v>
      </c>
      <c r="DJ22" s="234"/>
      <c r="DK22" s="234"/>
      <c r="DL22" s="234"/>
      <c r="DM22" s="234"/>
      <c r="DN22" s="234"/>
      <c r="DO22" s="234"/>
      <c r="DP22" s="234" t="s">
        <v>1560</v>
      </c>
      <c r="DQ22" s="234" t="n">
        <v>0</v>
      </c>
      <c r="DR22" s="234"/>
      <c r="DS22" s="234"/>
      <c r="DT22" s="234"/>
      <c r="DU22" s="234"/>
      <c r="DV22" s="234"/>
      <c r="DW22" s="234"/>
      <c r="DX22" s="234" t="s">
        <v>1561</v>
      </c>
      <c r="DY22" s="234"/>
      <c r="DZ22" s="234"/>
      <c r="EA22" s="234"/>
      <c r="EB22" s="234"/>
      <c r="EC22" s="234"/>
      <c r="ED22" s="234"/>
      <c r="EE22" s="234"/>
      <c r="EF22" s="234"/>
      <c r="EG22" s="234"/>
      <c r="EH22" s="234" t="s">
        <v>1562</v>
      </c>
      <c r="EI22" s="234"/>
      <c r="EJ22" s="234"/>
      <c r="EK22" s="234" t="s">
        <v>1563</v>
      </c>
      <c r="EL22" s="234"/>
      <c r="EM22" s="234" t="s">
        <v>1564</v>
      </c>
      <c r="EN22" s="234" t="s">
        <v>1565</v>
      </c>
      <c r="EO22" s="234" t="s">
        <v>1566</v>
      </c>
      <c r="EP22" s="234" t="s">
        <v>1558</v>
      </c>
      <c r="EQ22" s="234" t="n">
        <v>3050.85</v>
      </c>
      <c r="ER22" s="234" t="s">
        <v>1567</v>
      </c>
      <c r="ES22" s="234"/>
      <c r="ET22" s="234"/>
    </row>
    <row r="23" customFormat="false" ht="13.5" hidden="false" customHeight="false" outlineLevel="0" collapsed="false">
      <c r="A23" s="233" t="n">
        <v>45758</v>
      </c>
      <c r="B23" s="234" t="s">
        <v>1734</v>
      </c>
      <c r="C23" s="234" t="s">
        <v>165</v>
      </c>
      <c r="D23" s="234" t="s">
        <v>897</v>
      </c>
      <c r="E23" s="234" t="s">
        <v>1735</v>
      </c>
      <c r="F23" s="234" t="s">
        <v>164</v>
      </c>
      <c r="G23" s="234" t="s">
        <v>1522</v>
      </c>
      <c r="H23" s="234" t="s">
        <v>1523</v>
      </c>
      <c r="I23" s="234" t="s">
        <v>1524</v>
      </c>
      <c r="J23" s="234" t="s">
        <v>1525</v>
      </c>
      <c r="K23" s="233" t="n">
        <v>45758</v>
      </c>
      <c r="L23" s="234"/>
      <c r="M23" s="234" t="s">
        <v>1526</v>
      </c>
      <c r="N23" s="234" t="n">
        <v>1</v>
      </c>
      <c r="O23" s="234" t="s">
        <v>1527</v>
      </c>
      <c r="P23" s="234" t="s">
        <v>1528</v>
      </c>
      <c r="Q23" s="234" t="s">
        <v>1529</v>
      </c>
      <c r="R23" s="234" t="s">
        <v>1530</v>
      </c>
      <c r="S23" s="234"/>
      <c r="T23" s="234"/>
      <c r="U23" s="234" t="s">
        <v>1527</v>
      </c>
      <c r="V23" s="234"/>
      <c r="W23" s="234" t="s">
        <v>1530</v>
      </c>
      <c r="X23" s="234"/>
      <c r="Y23" s="234"/>
      <c r="Z23" s="234" t="s">
        <v>1572</v>
      </c>
      <c r="AA23" s="234" t="n">
        <v>15000</v>
      </c>
      <c r="AB23" s="234" t="n">
        <v>17700</v>
      </c>
      <c r="AC23" s="234" t="n">
        <v>0</v>
      </c>
      <c r="AD23" s="234" t="n">
        <v>0</v>
      </c>
      <c r="AE23" s="234" t="s">
        <v>1399</v>
      </c>
      <c r="AF23" s="234"/>
      <c r="AG23" s="233" t="n">
        <v>45761</v>
      </c>
      <c r="AH23" s="234" t="s">
        <v>1537</v>
      </c>
      <c r="AI23" s="234" t="s">
        <v>1538</v>
      </c>
      <c r="AJ23" s="234" t="s">
        <v>1539</v>
      </c>
      <c r="AK23" s="234"/>
      <c r="AL23" s="234"/>
      <c r="AM23" s="234"/>
      <c r="AN23" s="234"/>
      <c r="AO23" s="234"/>
      <c r="AP23" s="234"/>
      <c r="AQ23" s="234"/>
      <c r="AR23" s="234"/>
      <c r="AS23" s="234"/>
      <c r="AT23" s="234" t="s">
        <v>89</v>
      </c>
      <c r="AU23" s="234" t="s">
        <v>1540</v>
      </c>
      <c r="AV23" s="234" t="n">
        <v>0</v>
      </c>
      <c r="AW23" s="234"/>
      <c r="AX23" s="234"/>
      <c r="AY23" s="234"/>
      <c r="AZ23" s="234"/>
      <c r="BA23" s="234"/>
      <c r="BB23" s="234"/>
      <c r="BC23" s="234"/>
      <c r="BD23" s="234" t="s">
        <v>1541</v>
      </c>
      <c r="BE23" s="235" t="s">
        <v>1736</v>
      </c>
      <c r="BF23" s="234" t="n">
        <v>1</v>
      </c>
      <c r="BG23" s="234" t="s">
        <v>1530</v>
      </c>
      <c r="BH23" s="234" t="s">
        <v>1530</v>
      </c>
      <c r="BI23" s="234" t="n">
        <v>15000</v>
      </c>
      <c r="BJ23" s="234" t="s">
        <v>1543</v>
      </c>
      <c r="BK23" s="234" t="n">
        <v>15000</v>
      </c>
      <c r="BL23" s="234" t="s">
        <v>1544</v>
      </c>
      <c r="BM23" s="234"/>
      <c r="BN23" s="234"/>
      <c r="BO23" s="234"/>
      <c r="BP23" s="234"/>
      <c r="BQ23" s="234"/>
      <c r="BR23" s="234" t="s">
        <v>1737</v>
      </c>
      <c r="BS23" s="234" t="s">
        <v>1738</v>
      </c>
      <c r="BT23" s="234" t="s">
        <v>1547</v>
      </c>
      <c r="BU23" s="234" t="s">
        <v>1548</v>
      </c>
      <c r="BV23" s="234" t="s">
        <v>1549</v>
      </c>
      <c r="BW23" s="234" t="s">
        <v>1739</v>
      </c>
      <c r="BX23" s="234"/>
      <c r="BY23" s="234"/>
      <c r="BZ23" s="234"/>
      <c r="CA23" s="234" t="s">
        <v>1737</v>
      </c>
      <c r="CB23" s="234" t="s">
        <v>1738</v>
      </c>
      <c r="CC23" s="234" t="s">
        <v>1547</v>
      </c>
      <c r="CD23" s="234" t="s">
        <v>1548</v>
      </c>
      <c r="CE23" s="234" t="s">
        <v>1549</v>
      </c>
      <c r="CF23" s="234" t="s">
        <v>1739</v>
      </c>
      <c r="CG23" s="234"/>
      <c r="CH23" s="234"/>
      <c r="CI23" s="234" t="s">
        <v>0</v>
      </c>
      <c r="CJ23" s="234" t="s">
        <v>1551</v>
      </c>
      <c r="CK23" s="234" t="s">
        <v>1552</v>
      </c>
      <c r="CL23" s="234" t="s">
        <v>1553</v>
      </c>
      <c r="CM23" s="234" t="s">
        <v>1554</v>
      </c>
      <c r="CN23" s="234" t="s">
        <v>1549</v>
      </c>
      <c r="CO23" s="234" t="s">
        <v>1555</v>
      </c>
      <c r="CP23" s="234" t="s">
        <v>1556</v>
      </c>
      <c r="CQ23" s="234" t="s">
        <v>1557</v>
      </c>
      <c r="CR23" s="234" t="s">
        <v>1530</v>
      </c>
      <c r="CS23" s="234" t="s">
        <v>1530</v>
      </c>
      <c r="CT23" s="234" t="s">
        <v>1558</v>
      </c>
      <c r="CU23" s="234" t="s">
        <v>1530</v>
      </c>
      <c r="CV23" s="234" t="s">
        <v>1530</v>
      </c>
      <c r="CW23" s="234" t="s">
        <v>1530</v>
      </c>
      <c r="CX23" s="234" t="s">
        <v>1740</v>
      </c>
      <c r="CY23" s="234" t="s">
        <v>1530</v>
      </c>
      <c r="CZ23" s="234" t="s">
        <v>1530</v>
      </c>
      <c r="DA23" s="234" t="s">
        <v>1530</v>
      </c>
      <c r="DB23" s="234" t="s">
        <v>1740</v>
      </c>
      <c r="DC23" s="234" t="s">
        <v>1530</v>
      </c>
      <c r="DD23" s="234"/>
      <c r="DE23" s="234"/>
      <c r="DF23" s="234"/>
      <c r="DG23" s="234"/>
      <c r="DH23" s="234"/>
      <c r="DI23" s="234" t="s">
        <v>1572</v>
      </c>
      <c r="DJ23" s="234"/>
      <c r="DK23" s="234"/>
      <c r="DL23" s="234"/>
      <c r="DM23" s="234"/>
      <c r="DN23" s="234"/>
      <c r="DO23" s="234"/>
      <c r="DP23" s="234" t="s">
        <v>1560</v>
      </c>
      <c r="DQ23" s="234" t="n">
        <v>0</v>
      </c>
      <c r="DR23" s="234"/>
      <c r="DS23" s="234"/>
      <c r="DT23" s="234"/>
      <c r="DU23" s="234"/>
      <c r="DV23" s="234"/>
      <c r="DW23" s="234"/>
      <c r="DX23" s="234" t="s">
        <v>1561</v>
      </c>
      <c r="DY23" s="234"/>
      <c r="DZ23" s="234"/>
      <c r="EA23" s="234"/>
      <c r="EB23" s="234"/>
      <c r="EC23" s="234"/>
      <c r="ED23" s="234"/>
      <c r="EE23" s="234"/>
      <c r="EF23" s="234"/>
      <c r="EG23" s="234"/>
      <c r="EH23" s="234" t="s">
        <v>1562</v>
      </c>
      <c r="EI23" s="234"/>
      <c r="EJ23" s="234"/>
      <c r="EK23" s="234" t="s">
        <v>1563</v>
      </c>
      <c r="EL23" s="234"/>
      <c r="EM23" s="234" t="s">
        <v>1564</v>
      </c>
      <c r="EN23" s="234" t="s">
        <v>1565</v>
      </c>
      <c r="EO23" s="234" t="s">
        <v>1566</v>
      </c>
      <c r="EP23" s="234" t="s">
        <v>1558</v>
      </c>
      <c r="EQ23" s="234" t="n">
        <v>2700</v>
      </c>
      <c r="ER23" s="234" t="s">
        <v>1567</v>
      </c>
      <c r="ES23" s="234"/>
      <c r="ET23" s="234"/>
    </row>
    <row r="24" customFormat="false" ht="13.5" hidden="false" customHeight="false" outlineLevel="0" collapsed="false">
      <c r="A24" s="233" t="n">
        <v>45759</v>
      </c>
      <c r="B24" s="234" t="s">
        <v>1741</v>
      </c>
      <c r="C24" s="234" t="s">
        <v>167</v>
      </c>
      <c r="D24" s="234" t="s">
        <v>897</v>
      </c>
      <c r="E24" s="234" t="s">
        <v>1742</v>
      </c>
      <c r="F24" s="234" t="s">
        <v>166</v>
      </c>
      <c r="G24" s="234" t="s">
        <v>1743</v>
      </c>
      <c r="H24" s="234" t="s">
        <v>1744</v>
      </c>
      <c r="I24" s="234" t="s">
        <v>1524</v>
      </c>
      <c r="J24" s="234" t="s">
        <v>1525</v>
      </c>
      <c r="K24" s="233" t="n">
        <v>45759</v>
      </c>
      <c r="L24" s="234"/>
      <c r="M24" s="234" t="s">
        <v>1526</v>
      </c>
      <c r="N24" s="234" t="n">
        <v>1</v>
      </c>
      <c r="O24" s="234" t="s">
        <v>1527</v>
      </c>
      <c r="P24" s="234" t="s">
        <v>1528</v>
      </c>
      <c r="Q24" s="234" t="s">
        <v>1529</v>
      </c>
      <c r="R24" s="234" t="s">
        <v>1530</v>
      </c>
      <c r="S24" s="234"/>
      <c r="T24" s="234"/>
      <c r="U24" s="234" t="s">
        <v>1527</v>
      </c>
      <c r="V24" s="234"/>
      <c r="W24" s="234" t="s">
        <v>1530</v>
      </c>
      <c r="X24" s="234"/>
      <c r="Y24" s="234"/>
      <c r="Z24" s="234" t="s">
        <v>1572</v>
      </c>
      <c r="AA24" s="234" t="n">
        <v>5000</v>
      </c>
      <c r="AB24" s="234" t="n">
        <v>5900</v>
      </c>
      <c r="AC24" s="234" t="n">
        <v>0</v>
      </c>
      <c r="AD24" s="234" t="n">
        <v>0</v>
      </c>
      <c r="AE24" s="234" t="s">
        <v>1399</v>
      </c>
      <c r="AF24" s="234"/>
      <c r="AG24" s="233" t="n">
        <v>45760</v>
      </c>
      <c r="AH24" s="234" t="s">
        <v>1537</v>
      </c>
      <c r="AI24" s="234" t="s">
        <v>1538</v>
      </c>
      <c r="AJ24" s="234" t="s">
        <v>1539</v>
      </c>
      <c r="AK24" s="234"/>
      <c r="AL24" s="234"/>
      <c r="AM24" s="234"/>
      <c r="AN24" s="234"/>
      <c r="AO24" s="234"/>
      <c r="AP24" s="234"/>
      <c r="AQ24" s="234"/>
      <c r="AR24" s="234"/>
      <c r="AS24" s="234"/>
      <c r="AT24" s="234" t="s">
        <v>89</v>
      </c>
      <c r="AU24" s="234" t="s">
        <v>1540</v>
      </c>
      <c r="AV24" s="234" t="n">
        <v>0</v>
      </c>
      <c r="AW24" s="234"/>
      <c r="AX24" s="234"/>
      <c r="AY24" s="234"/>
      <c r="AZ24" s="234"/>
      <c r="BA24" s="234"/>
      <c r="BB24" s="234"/>
      <c r="BC24" s="234"/>
      <c r="BD24" s="234" t="s">
        <v>1541</v>
      </c>
      <c r="BE24" s="235" t="s">
        <v>1745</v>
      </c>
      <c r="BF24" s="234" t="n">
        <v>1</v>
      </c>
      <c r="BG24" s="234" t="s">
        <v>1530</v>
      </c>
      <c r="BH24" s="234" t="s">
        <v>1530</v>
      </c>
      <c r="BI24" s="234" t="n">
        <v>5000</v>
      </c>
      <c r="BJ24" s="234" t="s">
        <v>1543</v>
      </c>
      <c r="BK24" s="234" t="n">
        <v>5000</v>
      </c>
      <c r="BL24" s="234" t="s">
        <v>1544</v>
      </c>
      <c r="BM24" s="234"/>
      <c r="BN24" s="234"/>
      <c r="BO24" s="234"/>
      <c r="BP24" s="234"/>
      <c r="BQ24" s="234"/>
      <c r="BR24" s="235" t="s">
        <v>1746</v>
      </c>
      <c r="BS24" s="235" t="s">
        <v>1747</v>
      </c>
      <c r="BT24" s="234" t="s">
        <v>1748</v>
      </c>
      <c r="BU24" s="234" t="s">
        <v>1749</v>
      </c>
      <c r="BV24" s="234" t="s">
        <v>1549</v>
      </c>
      <c r="BW24" s="234" t="s">
        <v>1750</v>
      </c>
      <c r="BX24" s="234"/>
      <c r="BY24" s="234"/>
      <c r="BZ24" s="234"/>
      <c r="CA24" s="235" t="s">
        <v>1746</v>
      </c>
      <c r="CB24" s="235" t="s">
        <v>1747</v>
      </c>
      <c r="CC24" s="234" t="s">
        <v>1748</v>
      </c>
      <c r="CD24" s="234" t="s">
        <v>1749</v>
      </c>
      <c r="CE24" s="234" t="s">
        <v>1549</v>
      </c>
      <c r="CF24" s="234" t="s">
        <v>1750</v>
      </c>
      <c r="CG24" s="234"/>
      <c r="CH24" s="234"/>
      <c r="CI24" s="234" t="s">
        <v>0</v>
      </c>
      <c r="CJ24" s="234" t="s">
        <v>1551</v>
      </c>
      <c r="CK24" s="234" t="s">
        <v>1552</v>
      </c>
      <c r="CL24" s="234" t="s">
        <v>1553</v>
      </c>
      <c r="CM24" s="234" t="s">
        <v>1554</v>
      </c>
      <c r="CN24" s="234" t="s">
        <v>1549</v>
      </c>
      <c r="CO24" s="234" t="s">
        <v>1555</v>
      </c>
      <c r="CP24" s="234" t="s">
        <v>1556</v>
      </c>
      <c r="CQ24" s="234" t="s">
        <v>1557</v>
      </c>
      <c r="CR24" s="234" t="s">
        <v>1530</v>
      </c>
      <c r="CS24" s="234" t="s">
        <v>1530</v>
      </c>
      <c r="CT24" s="234" t="s">
        <v>1558</v>
      </c>
      <c r="CU24" s="234" t="s">
        <v>1530</v>
      </c>
      <c r="CV24" s="234" t="s">
        <v>1530</v>
      </c>
      <c r="CW24" s="234" t="s">
        <v>1530</v>
      </c>
      <c r="CX24" s="234" t="s">
        <v>1751</v>
      </c>
      <c r="CY24" s="234" t="s">
        <v>1530</v>
      </c>
      <c r="CZ24" s="234" t="s">
        <v>1530</v>
      </c>
      <c r="DA24" s="234" t="s">
        <v>1530</v>
      </c>
      <c r="DB24" s="234" t="s">
        <v>1751</v>
      </c>
      <c r="DC24" s="234" t="s">
        <v>1530</v>
      </c>
      <c r="DD24" s="234"/>
      <c r="DE24" s="234"/>
      <c r="DF24" s="234"/>
      <c r="DG24" s="234"/>
      <c r="DH24" s="234"/>
      <c r="DI24" s="234" t="s">
        <v>1572</v>
      </c>
      <c r="DJ24" s="234"/>
      <c r="DK24" s="234"/>
      <c r="DL24" s="234"/>
      <c r="DM24" s="234"/>
      <c r="DN24" s="234"/>
      <c r="DO24" s="234"/>
      <c r="DP24" s="234" t="s">
        <v>1560</v>
      </c>
      <c r="DQ24" s="234" t="n">
        <v>0</v>
      </c>
      <c r="DR24" s="234"/>
      <c r="DS24" s="234"/>
      <c r="DT24" s="234"/>
      <c r="DU24" s="234"/>
      <c r="DV24" s="234"/>
      <c r="DW24" s="234"/>
      <c r="DX24" s="234" t="s">
        <v>1561</v>
      </c>
      <c r="DY24" s="234"/>
      <c r="DZ24" s="234"/>
      <c r="EA24" s="234"/>
      <c r="EB24" s="234"/>
      <c r="EC24" s="234"/>
      <c r="ED24" s="234"/>
      <c r="EE24" s="234"/>
      <c r="EF24" s="234"/>
      <c r="EG24" s="234"/>
      <c r="EH24" s="234" t="s">
        <v>1562</v>
      </c>
      <c r="EI24" s="234"/>
      <c r="EJ24" s="234"/>
      <c r="EK24" s="234" t="s">
        <v>1563</v>
      </c>
      <c r="EL24" s="234"/>
      <c r="EM24" s="234" t="s">
        <v>1564</v>
      </c>
      <c r="EN24" s="234" t="s">
        <v>1565</v>
      </c>
      <c r="EO24" s="234" t="s">
        <v>1566</v>
      </c>
      <c r="EP24" s="234" t="s">
        <v>1558</v>
      </c>
      <c r="EQ24" s="234" t="n">
        <v>900</v>
      </c>
      <c r="ER24" s="234" t="s">
        <v>1567</v>
      </c>
      <c r="ES24" s="234"/>
      <c r="ET24" s="234"/>
    </row>
    <row r="25" customFormat="false" ht="13.5" hidden="false" customHeight="false" outlineLevel="0" collapsed="false">
      <c r="A25" s="233" t="n">
        <v>45759</v>
      </c>
      <c r="B25" s="234" t="s">
        <v>1752</v>
      </c>
      <c r="C25" s="234" t="s">
        <v>169</v>
      </c>
      <c r="D25" s="234" t="s">
        <v>897</v>
      </c>
      <c r="E25" s="234" t="s">
        <v>1753</v>
      </c>
      <c r="F25" s="234" t="s">
        <v>168</v>
      </c>
      <c r="G25" s="234" t="s">
        <v>1522</v>
      </c>
      <c r="H25" s="234" t="s">
        <v>1523</v>
      </c>
      <c r="I25" s="234" t="s">
        <v>1524</v>
      </c>
      <c r="J25" s="234" t="s">
        <v>1525</v>
      </c>
      <c r="K25" s="233" t="n">
        <v>45759</v>
      </c>
      <c r="L25" s="234"/>
      <c r="M25" s="234" t="s">
        <v>1526</v>
      </c>
      <c r="N25" s="234" t="n">
        <v>1</v>
      </c>
      <c r="O25" s="234" t="s">
        <v>1527</v>
      </c>
      <c r="P25" s="234" t="s">
        <v>1528</v>
      </c>
      <c r="Q25" s="234" t="s">
        <v>1529</v>
      </c>
      <c r="R25" s="234" t="s">
        <v>1530</v>
      </c>
      <c r="S25" s="234"/>
      <c r="T25" s="234"/>
      <c r="U25" s="234" t="s">
        <v>1527</v>
      </c>
      <c r="V25" s="234"/>
      <c r="W25" s="234" t="s">
        <v>1530</v>
      </c>
      <c r="X25" s="234"/>
      <c r="Y25" s="234"/>
      <c r="Z25" s="234" t="s">
        <v>1572</v>
      </c>
      <c r="AA25" s="234" t="n">
        <v>6000</v>
      </c>
      <c r="AB25" s="234" t="n">
        <v>7080</v>
      </c>
      <c r="AC25" s="234" t="n">
        <v>0</v>
      </c>
      <c r="AD25" s="234" t="n">
        <v>0</v>
      </c>
      <c r="AE25" s="234" t="s">
        <v>1399</v>
      </c>
      <c r="AF25" s="234"/>
      <c r="AG25" s="233" t="n">
        <v>45763</v>
      </c>
      <c r="AH25" s="234" t="s">
        <v>1537</v>
      </c>
      <c r="AI25" s="234" t="s">
        <v>1538</v>
      </c>
      <c r="AJ25" s="234" t="s">
        <v>1539</v>
      </c>
      <c r="AK25" s="234"/>
      <c r="AL25" s="234"/>
      <c r="AM25" s="234"/>
      <c r="AN25" s="234"/>
      <c r="AO25" s="234"/>
      <c r="AP25" s="234"/>
      <c r="AQ25" s="234"/>
      <c r="AR25" s="234"/>
      <c r="AS25" s="234"/>
      <c r="AT25" s="234" t="s">
        <v>89</v>
      </c>
      <c r="AU25" s="234" t="s">
        <v>1540</v>
      </c>
      <c r="AV25" s="234" t="n">
        <v>0</v>
      </c>
      <c r="AW25" s="234"/>
      <c r="AX25" s="234"/>
      <c r="AY25" s="234"/>
      <c r="AZ25" s="234"/>
      <c r="BA25" s="234"/>
      <c r="BB25" s="234"/>
      <c r="BC25" s="234"/>
      <c r="BD25" s="234" t="s">
        <v>1541</v>
      </c>
      <c r="BE25" s="235" t="s">
        <v>1754</v>
      </c>
      <c r="BF25" s="234" t="n">
        <v>1</v>
      </c>
      <c r="BG25" s="234" t="s">
        <v>1530</v>
      </c>
      <c r="BH25" s="234" t="s">
        <v>1530</v>
      </c>
      <c r="BI25" s="234" t="n">
        <v>6000</v>
      </c>
      <c r="BJ25" s="234" t="s">
        <v>1543</v>
      </c>
      <c r="BK25" s="234" t="n">
        <v>6000</v>
      </c>
      <c r="BL25" s="234" t="s">
        <v>1544</v>
      </c>
      <c r="BM25" s="234"/>
      <c r="BN25" s="234"/>
      <c r="BO25" s="234"/>
      <c r="BP25" s="234"/>
      <c r="BQ25" s="234"/>
      <c r="BR25" s="234" t="s">
        <v>1755</v>
      </c>
      <c r="BS25" s="234" t="s">
        <v>1756</v>
      </c>
      <c r="BT25" s="234" t="s">
        <v>1547</v>
      </c>
      <c r="BU25" s="234" t="s">
        <v>1548</v>
      </c>
      <c r="BV25" s="234" t="s">
        <v>1549</v>
      </c>
      <c r="BW25" s="234" t="s">
        <v>1659</v>
      </c>
      <c r="BX25" s="234"/>
      <c r="BY25" s="234"/>
      <c r="BZ25" s="234"/>
      <c r="CA25" s="234" t="s">
        <v>1755</v>
      </c>
      <c r="CB25" s="234" t="s">
        <v>1756</v>
      </c>
      <c r="CC25" s="234" t="s">
        <v>1547</v>
      </c>
      <c r="CD25" s="234" t="s">
        <v>1548</v>
      </c>
      <c r="CE25" s="234" t="s">
        <v>1549</v>
      </c>
      <c r="CF25" s="234" t="s">
        <v>1659</v>
      </c>
      <c r="CG25" s="234"/>
      <c r="CH25" s="234"/>
      <c r="CI25" s="234" t="s">
        <v>0</v>
      </c>
      <c r="CJ25" s="234" t="s">
        <v>1551</v>
      </c>
      <c r="CK25" s="234" t="s">
        <v>1552</v>
      </c>
      <c r="CL25" s="234" t="s">
        <v>1553</v>
      </c>
      <c r="CM25" s="234" t="s">
        <v>1554</v>
      </c>
      <c r="CN25" s="234" t="s">
        <v>1549</v>
      </c>
      <c r="CO25" s="234" t="s">
        <v>1555</v>
      </c>
      <c r="CP25" s="234" t="s">
        <v>1556</v>
      </c>
      <c r="CQ25" s="234" t="s">
        <v>1557</v>
      </c>
      <c r="CR25" s="234" t="s">
        <v>1530</v>
      </c>
      <c r="CS25" s="234" t="s">
        <v>1530</v>
      </c>
      <c r="CT25" s="234" t="s">
        <v>1558</v>
      </c>
      <c r="CU25" s="234" t="s">
        <v>1530</v>
      </c>
      <c r="CV25" s="234" t="s">
        <v>1530</v>
      </c>
      <c r="CW25" s="234" t="s">
        <v>1530</v>
      </c>
      <c r="CX25" s="234" t="s">
        <v>1660</v>
      </c>
      <c r="CY25" s="234" t="s">
        <v>1530</v>
      </c>
      <c r="CZ25" s="234" t="s">
        <v>1530</v>
      </c>
      <c r="DA25" s="234" t="s">
        <v>1530</v>
      </c>
      <c r="DB25" s="234" t="s">
        <v>1660</v>
      </c>
      <c r="DC25" s="234" t="s">
        <v>1530</v>
      </c>
      <c r="DD25" s="234"/>
      <c r="DE25" s="234"/>
      <c r="DF25" s="234"/>
      <c r="DG25" s="234"/>
      <c r="DH25" s="234"/>
      <c r="DI25" s="234" t="s">
        <v>1572</v>
      </c>
      <c r="DJ25" s="234"/>
      <c r="DK25" s="234"/>
      <c r="DL25" s="234"/>
      <c r="DM25" s="234"/>
      <c r="DN25" s="234"/>
      <c r="DO25" s="234"/>
      <c r="DP25" s="234" t="s">
        <v>1560</v>
      </c>
      <c r="DQ25" s="234" t="n">
        <v>0</v>
      </c>
      <c r="DR25" s="234"/>
      <c r="DS25" s="234"/>
      <c r="DT25" s="234"/>
      <c r="DU25" s="234"/>
      <c r="DV25" s="234"/>
      <c r="DW25" s="234"/>
      <c r="DX25" s="234" t="s">
        <v>1561</v>
      </c>
      <c r="DY25" s="234"/>
      <c r="DZ25" s="234"/>
      <c r="EA25" s="234"/>
      <c r="EB25" s="234"/>
      <c r="EC25" s="234"/>
      <c r="ED25" s="234"/>
      <c r="EE25" s="234"/>
      <c r="EF25" s="234"/>
      <c r="EG25" s="234"/>
      <c r="EH25" s="234" t="s">
        <v>1562</v>
      </c>
      <c r="EI25" s="234"/>
      <c r="EJ25" s="234"/>
      <c r="EK25" s="234" t="s">
        <v>1563</v>
      </c>
      <c r="EL25" s="234"/>
      <c r="EM25" s="234" t="s">
        <v>1564</v>
      </c>
      <c r="EN25" s="234" t="s">
        <v>1565</v>
      </c>
      <c r="EO25" s="234" t="s">
        <v>1566</v>
      </c>
      <c r="EP25" s="234" t="s">
        <v>1558</v>
      </c>
      <c r="EQ25" s="234" t="n">
        <v>1080</v>
      </c>
      <c r="ER25" s="234" t="s">
        <v>1567</v>
      </c>
      <c r="ES25" s="234"/>
      <c r="ET25" s="234"/>
    </row>
    <row r="26" customFormat="false" ht="13.5" hidden="false" customHeight="false" outlineLevel="0" collapsed="false">
      <c r="A26" s="233" t="n">
        <v>45759</v>
      </c>
      <c r="B26" s="234" t="s">
        <v>1757</v>
      </c>
      <c r="C26" s="234" t="s">
        <v>171</v>
      </c>
      <c r="D26" s="234" t="s">
        <v>897</v>
      </c>
      <c r="E26" s="234" t="s">
        <v>1758</v>
      </c>
      <c r="F26" s="234" t="s">
        <v>170</v>
      </c>
      <c r="G26" s="234" t="s">
        <v>1759</v>
      </c>
      <c r="H26" s="234" t="s">
        <v>1760</v>
      </c>
      <c r="I26" s="234" t="s">
        <v>1524</v>
      </c>
      <c r="J26" s="234" t="s">
        <v>1525</v>
      </c>
      <c r="K26" s="233" t="n">
        <v>45759</v>
      </c>
      <c r="L26" s="234"/>
      <c r="M26" s="234" t="s">
        <v>1526</v>
      </c>
      <c r="N26" s="234" t="n">
        <v>1</v>
      </c>
      <c r="O26" s="234" t="s">
        <v>1527</v>
      </c>
      <c r="P26" s="234" t="s">
        <v>1528</v>
      </c>
      <c r="Q26" s="234" t="s">
        <v>1529</v>
      </c>
      <c r="R26" s="234" t="s">
        <v>1530</v>
      </c>
      <c r="S26" s="234"/>
      <c r="T26" s="234"/>
      <c r="U26" s="234" t="s">
        <v>1527</v>
      </c>
      <c r="V26" s="234"/>
      <c r="W26" s="234" t="s">
        <v>1530</v>
      </c>
      <c r="X26" s="234"/>
      <c r="Y26" s="234"/>
      <c r="Z26" s="234" t="s">
        <v>1572</v>
      </c>
      <c r="AA26" s="234" t="n">
        <v>5000</v>
      </c>
      <c r="AB26" s="234" t="n">
        <v>5900</v>
      </c>
      <c r="AC26" s="234" t="n">
        <v>0</v>
      </c>
      <c r="AD26" s="234" t="n">
        <v>0</v>
      </c>
      <c r="AE26" s="234" t="s">
        <v>1399</v>
      </c>
      <c r="AF26" s="234"/>
      <c r="AG26" s="233" t="n">
        <v>45759</v>
      </c>
      <c r="AH26" s="234" t="s">
        <v>1537</v>
      </c>
      <c r="AI26" s="234" t="s">
        <v>1538</v>
      </c>
      <c r="AJ26" s="234" t="s">
        <v>1539</v>
      </c>
      <c r="AK26" s="234"/>
      <c r="AL26" s="234"/>
      <c r="AM26" s="234"/>
      <c r="AN26" s="234"/>
      <c r="AO26" s="234"/>
      <c r="AP26" s="234"/>
      <c r="AQ26" s="234"/>
      <c r="AR26" s="234"/>
      <c r="AS26" s="234"/>
      <c r="AT26" s="234" t="s">
        <v>89</v>
      </c>
      <c r="AU26" s="234" t="s">
        <v>1540</v>
      </c>
      <c r="AV26" s="234" t="n">
        <v>0</v>
      </c>
      <c r="AW26" s="234"/>
      <c r="AX26" s="234"/>
      <c r="AY26" s="234"/>
      <c r="AZ26" s="234"/>
      <c r="BA26" s="234"/>
      <c r="BB26" s="234"/>
      <c r="BC26" s="234"/>
      <c r="BD26" s="234" t="s">
        <v>1541</v>
      </c>
      <c r="BE26" s="234" t="s">
        <v>1761</v>
      </c>
      <c r="BF26" s="234" t="n">
        <v>1</v>
      </c>
      <c r="BG26" s="234" t="s">
        <v>1530</v>
      </c>
      <c r="BH26" s="234" t="s">
        <v>1530</v>
      </c>
      <c r="BI26" s="234" t="n">
        <v>5000</v>
      </c>
      <c r="BJ26" s="234" t="s">
        <v>1543</v>
      </c>
      <c r="BK26" s="234" t="n">
        <v>5000</v>
      </c>
      <c r="BL26" s="234" t="s">
        <v>1544</v>
      </c>
      <c r="BM26" s="234"/>
      <c r="BN26" s="234"/>
      <c r="BO26" s="234"/>
      <c r="BP26" s="234"/>
      <c r="BQ26" s="234"/>
      <c r="BR26" s="234" t="s">
        <v>1762</v>
      </c>
      <c r="BS26" s="234" t="s">
        <v>1763</v>
      </c>
      <c r="BT26" s="234" t="s">
        <v>1764</v>
      </c>
      <c r="BU26" s="234" t="s">
        <v>1765</v>
      </c>
      <c r="BV26" s="234" t="s">
        <v>1549</v>
      </c>
      <c r="BW26" s="234"/>
      <c r="BX26" s="234"/>
      <c r="BY26" s="234"/>
      <c r="BZ26" s="234"/>
      <c r="CA26" s="234" t="s">
        <v>1762</v>
      </c>
      <c r="CB26" s="234" t="s">
        <v>1763</v>
      </c>
      <c r="CC26" s="234" t="s">
        <v>1764</v>
      </c>
      <c r="CD26" s="234" t="s">
        <v>1765</v>
      </c>
      <c r="CE26" s="234" t="s">
        <v>1549</v>
      </c>
      <c r="CF26" s="234"/>
      <c r="CG26" s="234"/>
      <c r="CH26" s="234"/>
      <c r="CI26" s="234" t="s">
        <v>0</v>
      </c>
      <c r="CJ26" s="234" t="s">
        <v>1551</v>
      </c>
      <c r="CK26" s="234" t="s">
        <v>1552</v>
      </c>
      <c r="CL26" s="234" t="s">
        <v>1553</v>
      </c>
      <c r="CM26" s="234" t="s">
        <v>1554</v>
      </c>
      <c r="CN26" s="234" t="s">
        <v>1549</v>
      </c>
      <c r="CO26" s="234" t="s">
        <v>1555</v>
      </c>
      <c r="CP26" s="234" t="s">
        <v>1556</v>
      </c>
      <c r="CQ26" s="234" t="s">
        <v>1557</v>
      </c>
      <c r="CR26" s="234" t="s">
        <v>1530</v>
      </c>
      <c r="CS26" s="234" t="s">
        <v>1530</v>
      </c>
      <c r="CT26" s="234" t="s">
        <v>1558</v>
      </c>
      <c r="CU26" s="234" t="s">
        <v>1530</v>
      </c>
      <c r="CV26" s="234" t="s">
        <v>1530</v>
      </c>
      <c r="CW26" s="234" t="s">
        <v>1530</v>
      </c>
      <c r="CX26" s="234" t="s">
        <v>1751</v>
      </c>
      <c r="CY26" s="234" t="s">
        <v>1530</v>
      </c>
      <c r="CZ26" s="234" t="s">
        <v>1530</v>
      </c>
      <c r="DA26" s="234" t="s">
        <v>1530</v>
      </c>
      <c r="DB26" s="234" t="s">
        <v>1751</v>
      </c>
      <c r="DC26" s="234" t="s">
        <v>1530</v>
      </c>
      <c r="DD26" s="234"/>
      <c r="DE26" s="234"/>
      <c r="DF26" s="234"/>
      <c r="DG26" s="234"/>
      <c r="DH26" s="234"/>
      <c r="DI26" s="234" t="s">
        <v>1572</v>
      </c>
      <c r="DJ26" s="234"/>
      <c r="DK26" s="234"/>
      <c r="DL26" s="234"/>
      <c r="DM26" s="234"/>
      <c r="DN26" s="234"/>
      <c r="DO26" s="234"/>
      <c r="DP26" s="234" t="s">
        <v>1560</v>
      </c>
      <c r="DQ26" s="234" t="n">
        <v>0</v>
      </c>
      <c r="DR26" s="234"/>
      <c r="DS26" s="234"/>
      <c r="DT26" s="234"/>
      <c r="DU26" s="234"/>
      <c r="DV26" s="234"/>
      <c r="DW26" s="234"/>
      <c r="DX26" s="234" t="s">
        <v>1561</v>
      </c>
      <c r="DY26" s="234"/>
      <c r="DZ26" s="234"/>
      <c r="EA26" s="234"/>
      <c r="EB26" s="234"/>
      <c r="EC26" s="234"/>
      <c r="ED26" s="234"/>
      <c r="EE26" s="234"/>
      <c r="EF26" s="234"/>
      <c r="EG26" s="234"/>
      <c r="EH26" s="234" t="s">
        <v>1562</v>
      </c>
      <c r="EI26" s="234"/>
      <c r="EJ26" s="234"/>
      <c r="EK26" s="234" t="s">
        <v>1563</v>
      </c>
      <c r="EL26" s="234"/>
      <c r="EM26" s="234" t="s">
        <v>1564</v>
      </c>
      <c r="EN26" s="234" t="s">
        <v>1565</v>
      </c>
      <c r="EO26" s="234" t="s">
        <v>1566</v>
      </c>
      <c r="EP26" s="234" t="s">
        <v>1558</v>
      </c>
      <c r="EQ26" s="234" t="n">
        <v>900</v>
      </c>
      <c r="ER26" s="234" t="s">
        <v>1567</v>
      </c>
      <c r="ES26" s="234"/>
      <c r="ET26" s="234"/>
    </row>
    <row r="27" customFormat="false" ht="13.5" hidden="false" customHeight="false" outlineLevel="0" collapsed="false">
      <c r="A27" s="233" t="n">
        <v>45760</v>
      </c>
      <c r="B27" s="234" t="s">
        <v>1766</v>
      </c>
      <c r="C27" s="234" t="s">
        <v>173</v>
      </c>
      <c r="D27" s="234" t="s">
        <v>947</v>
      </c>
      <c r="E27" s="234" t="s">
        <v>1767</v>
      </c>
      <c r="F27" s="234" t="s">
        <v>172</v>
      </c>
      <c r="G27" s="234" t="s">
        <v>1522</v>
      </c>
      <c r="H27" s="234" t="s">
        <v>1523</v>
      </c>
      <c r="I27" s="234" t="s">
        <v>1524</v>
      </c>
      <c r="J27" s="234" t="s">
        <v>1525</v>
      </c>
      <c r="K27" s="233" t="n">
        <v>45760</v>
      </c>
      <c r="L27" s="234"/>
      <c r="M27" s="234" t="s">
        <v>1526</v>
      </c>
      <c r="N27" s="234" t="n">
        <v>1</v>
      </c>
      <c r="O27" s="234" t="s">
        <v>1527</v>
      </c>
      <c r="P27" s="234" t="s">
        <v>1528</v>
      </c>
      <c r="Q27" s="234" t="s">
        <v>1529</v>
      </c>
      <c r="R27" s="234" t="s">
        <v>1530</v>
      </c>
      <c r="S27" s="234"/>
      <c r="T27" s="234"/>
      <c r="U27" s="234" t="s">
        <v>1527</v>
      </c>
      <c r="V27" s="234"/>
      <c r="W27" s="234" t="s">
        <v>1530</v>
      </c>
      <c r="X27" s="234"/>
      <c r="Y27" s="234"/>
      <c r="Z27" s="234" t="s">
        <v>1572</v>
      </c>
      <c r="AA27" s="234" t="n">
        <v>5000</v>
      </c>
      <c r="AB27" s="234" t="n">
        <v>5900</v>
      </c>
      <c r="AC27" s="234" t="n">
        <v>5900</v>
      </c>
      <c r="AD27" s="234" t="n">
        <v>0</v>
      </c>
      <c r="AE27" s="234" t="s">
        <v>1399</v>
      </c>
      <c r="AF27" s="234"/>
      <c r="AG27" s="234"/>
      <c r="AH27" s="234" t="s">
        <v>1537</v>
      </c>
      <c r="AI27" s="234" t="s">
        <v>1538</v>
      </c>
      <c r="AJ27" s="234" t="s">
        <v>1539</v>
      </c>
      <c r="AK27" s="234"/>
      <c r="AL27" s="234"/>
      <c r="AM27" s="234"/>
      <c r="AN27" s="234"/>
      <c r="AO27" s="234"/>
      <c r="AP27" s="234"/>
      <c r="AQ27" s="234"/>
      <c r="AR27" s="234"/>
      <c r="AS27" s="234"/>
      <c r="AT27" s="234" t="s">
        <v>89</v>
      </c>
      <c r="AU27" s="234" t="s">
        <v>1540</v>
      </c>
      <c r="AV27" s="234" t="n">
        <v>0</v>
      </c>
      <c r="AW27" s="234"/>
      <c r="AX27" s="234"/>
      <c r="AY27" s="234"/>
      <c r="AZ27" s="234"/>
      <c r="BA27" s="234"/>
      <c r="BB27" s="234"/>
      <c r="BC27" s="234"/>
      <c r="BD27" s="234" t="s">
        <v>1541</v>
      </c>
      <c r="BE27" s="235" t="s">
        <v>1768</v>
      </c>
      <c r="BF27" s="234" t="n">
        <v>1</v>
      </c>
      <c r="BG27" s="234" t="s">
        <v>1530</v>
      </c>
      <c r="BH27" s="234" t="s">
        <v>1530</v>
      </c>
      <c r="BI27" s="234" t="n">
        <v>5000</v>
      </c>
      <c r="BJ27" s="234" t="s">
        <v>1543</v>
      </c>
      <c r="BK27" s="234" t="n">
        <v>5000</v>
      </c>
      <c r="BL27" s="234" t="s">
        <v>1544</v>
      </c>
      <c r="BM27" s="234"/>
      <c r="BN27" s="234"/>
      <c r="BO27" s="234"/>
      <c r="BP27" s="234"/>
      <c r="BQ27" s="234"/>
      <c r="BR27" s="234"/>
      <c r="BS27" s="234"/>
      <c r="BT27" s="234"/>
      <c r="BU27" s="234" t="s">
        <v>1548</v>
      </c>
      <c r="BV27" s="234" t="s">
        <v>1549</v>
      </c>
      <c r="BW27" s="234"/>
      <c r="BX27" s="234"/>
      <c r="BY27" s="234"/>
      <c r="BZ27" s="234"/>
      <c r="CA27" s="234"/>
      <c r="CB27" s="234"/>
      <c r="CC27" s="234"/>
      <c r="CD27" s="234" t="s">
        <v>1548</v>
      </c>
      <c r="CE27" s="234" t="s">
        <v>1549</v>
      </c>
      <c r="CF27" s="234"/>
      <c r="CG27" s="234"/>
      <c r="CH27" s="234"/>
      <c r="CI27" s="234" t="s">
        <v>0</v>
      </c>
      <c r="CJ27" s="234" t="s">
        <v>1551</v>
      </c>
      <c r="CK27" s="234" t="s">
        <v>1552</v>
      </c>
      <c r="CL27" s="234" t="s">
        <v>1553</v>
      </c>
      <c r="CM27" s="234" t="s">
        <v>1554</v>
      </c>
      <c r="CN27" s="234" t="s">
        <v>1549</v>
      </c>
      <c r="CO27" s="234" t="s">
        <v>1555</v>
      </c>
      <c r="CP27" s="234" t="s">
        <v>1556</v>
      </c>
      <c r="CQ27" s="234" t="s">
        <v>1557</v>
      </c>
      <c r="CR27" s="234" t="s">
        <v>1530</v>
      </c>
      <c r="CS27" s="234" t="s">
        <v>1530</v>
      </c>
      <c r="CT27" s="234" t="s">
        <v>1558</v>
      </c>
      <c r="CU27" s="234" t="s">
        <v>1530</v>
      </c>
      <c r="CV27" s="234" t="s">
        <v>1530</v>
      </c>
      <c r="CW27" s="234" t="s">
        <v>1530</v>
      </c>
      <c r="CX27" s="234" t="s">
        <v>1751</v>
      </c>
      <c r="CY27" s="234" t="s">
        <v>1530</v>
      </c>
      <c r="CZ27" s="234" t="s">
        <v>1530</v>
      </c>
      <c r="DA27" s="234" t="s">
        <v>1530</v>
      </c>
      <c r="DB27" s="234" t="s">
        <v>1751</v>
      </c>
      <c r="DC27" s="234" t="s">
        <v>1530</v>
      </c>
      <c r="DD27" s="234"/>
      <c r="DE27" s="234"/>
      <c r="DF27" s="234"/>
      <c r="DG27" s="234"/>
      <c r="DH27" s="234"/>
      <c r="DI27" s="234" t="s">
        <v>1572</v>
      </c>
      <c r="DJ27" s="234"/>
      <c r="DK27" s="234"/>
      <c r="DL27" s="234"/>
      <c r="DM27" s="234"/>
      <c r="DN27" s="234"/>
      <c r="DO27" s="234"/>
      <c r="DP27" s="234" t="s">
        <v>1560</v>
      </c>
      <c r="DQ27" s="234" t="n">
        <v>0</v>
      </c>
      <c r="DR27" s="234"/>
      <c r="DS27" s="234"/>
      <c r="DT27" s="234"/>
      <c r="DU27" s="234"/>
      <c r="DV27" s="234"/>
      <c r="DW27" s="234"/>
      <c r="DX27" s="234" t="s">
        <v>1561</v>
      </c>
      <c r="DY27" s="234"/>
      <c r="DZ27" s="234"/>
      <c r="EA27" s="234"/>
      <c r="EB27" s="234"/>
      <c r="EC27" s="234"/>
      <c r="ED27" s="234"/>
      <c r="EE27" s="234"/>
      <c r="EF27" s="234"/>
      <c r="EG27" s="234"/>
      <c r="EH27" s="234" t="s">
        <v>1562</v>
      </c>
      <c r="EI27" s="234"/>
      <c r="EJ27" s="234"/>
      <c r="EK27" s="234" t="s">
        <v>1563</v>
      </c>
      <c r="EL27" s="234"/>
      <c r="EM27" s="234" t="s">
        <v>1564</v>
      </c>
      <c r="EN27" s="234" t="s">
        <v>1565</v>
      </c>
      <c r="EO27" s="234" t="s">
        <v>1566</v>
      </c>
      <c r="EP27" s="234" t="s">
        <v>1558</v>
      </c>
      <c r="EQ27" s="234" t="n">
        <v>900</v>
      </c>
      <c r="ER27" s="234" t="s">
        <v>1567</v>
      </c>
      <c r="ES27" s="234"/>
      <c r="ET27" s="234"/>
    </row>
    <row r="28" customFormat="false" ht="13.5" hidden="false" customHeight="false" outlineLevel="0" collapsed="false">
      <c r="A28" s="233" t="n">
        <v>45761</v>
      </c>
      <c r="B28" s="234" t="s">
        <v>1769</v>
      </c>
      <c r="C28" s="234" t="s">
        <v>175</v>
      </c>
      <c r="D28" s="234" t="s">
        <v>897</v>
      </c>
      <c r="E28" s="234" t="s">
        <v>1770</v>
      </c>
      <c r="F28" s="234" t="s">
        <v>174</v>
      </c>
      <c r="G28" s="234" t="s">
        <v>1570</v>
      </c>
      <c r="H28" s="234" t="s">
        <v>1571</v>
      </c>
      <c r="I28" s="234" t="s">
        <v>1524</v>
      </c>
      <c r="J28" s="234" t="s">
        <v>1525</v>
      </c>
      <c r="K28" s="233" t="n">
        <v>45761</v>
      </c>
      <c r="L28" s="234"/>
      <c r="M28" s="234" t="s">
        <v>1526</v>
      </c>
      <c r="N28" s="234" t="n">
        <v>1</v>
      </c>
      <c r="O28" s="234" t="s">
        <v>1527</v>
      </c>
      <c r="P28" s="234" t="s">
        <v>1528</v>
      </c>
      <c r="Q28" s="234" t="s">
        <v>1529</v>
      </c>
      <c r="R28" s="234" t="s">
        <v>1530</v>
      </c>
      <c r="S28" s="234"/>
      <c r="T28" s="234"/>
      <c r="U28" s="234" t="s">
        <v>1531</v>
      </c>
      <c r="V28" s="234" t="s">
        <v>1532</v>
      </c>
      <c r="W28" s="234" t="s">
        <v>1533</v>
      </c>
      <c r="X28" s="234" t="s">
        <v>1534</v>
      </c>
      <c r="Y28" s="234" t="s">
        <v>1535</v>
      </c>
      <c r="Z28" s="234" t="s">
        <v>1771</v>
      </c>
      <c r="AA28" s="234" t="n">
        <v>220000.96</v>
      </c>
      <c r="AB28" s="234" t="n">
        <v>255201.11</v>
      </c>
      <c r="AC28" s="234" t="n">
        <v>0</v>
      </c>
      <c r="AD28" s="234" t="n">
        <v>0</v>
      </c>
      <c r="AE28" s="234" t="s">
        <v>1399</v>
      </c>
      <c r="AF28" s="234"/>
      <c r="AG28" s="233" t="n">
        <v>45770</v>
      </c>
      <c r="AH28" s="234" t="s">
        <v>1537</v>
      </c>
      <c r="AI28" s="234" t="s">
        <v>1538</v>
      </c>
      <c r="AJ28" s="234" t="s">
        <v>1539</v>
      </c>
      <c r="AK28" s="234"/>
      <c r="AL28" s="234"/>
      <c r="AM28" s="234"/>
      <c r="AN28" s="234"/>
      <c r="AO28" s="234"/>
      <c r="AP28" s="234"/>
      <c r="AQ28" s="234"/>
      <c r="AR28" s="234"/>
      <c r="AS28" s="234"/>
      <c r="AT28" s="234" t="s">
        <v>89</v>
      </c>
      <c r="AU28" s="234" t="s">
        <v>1540</v>
      </c>
      <c r="AV28" s="234" t="n">
        <v>0</v>
      </c>
      <c r="AW28" s="234"/>
      <c r="AX28" s="234"/>
      <c r="AY28" s="234"/>
      <c r="AZ28" s="234"/>
      <c r="BA28" s="234"/>
      <c r="BB28" s="234"/>
      <c r="BC28" s="234"/>
      <c r="BD28" s="234" t="s">
        <v>1541</v>
      </c>
      <c r="BE28" s="235" t="s">
        <v>1772</v>
      </c>
      <c r="BF28" s="234" t="n">
        <v>1</v>
      </c>
      <c r="BG28" s="234" t="s">
        <v>1773</v>
      </c>
      <c r="BH28" s="234" t="s">
        <v>1774</v>
      </c>
      <c r="BI28" s="234" t="n">
        <v>69280.96</v>
      </c>
      <c r="BJ28" s="234" t="s">
        <v>1543</v>
      </c>
      <c r="BK28" s="234" t="n">
        <v>110320</v>
      </c>
      <c r="BL28" s="234" t="s">
        <v>1544</v>
      </c>
      <c r="BM28" s="234"/>
      <c r="BN28" s="234"/>
      <c r="BO28" s="234"/>
      <c r="BP28" s="234"/>
      <c r="BQ28" s="234"/>
      <c r="BR28" s="234" t="s">
        <v>1775</v>
      </c>
      <c r="BS28" s="234" t="s">
        <v>1776</v>
      </c>
      <c r="BT28" s="234" t="s">
        <v>1586</v>
      </c>
      <c r="BU28" s="234" t="s">
        <v>1587</v>
      </c>
      <c r="BV28" s="234" t="s">
        <v>1549</v>
      </c>
      <c r="BW28" s="234" t="s">
        <v>1588</v>
      </c>
      <c r="BX28" s="234"/>
      <c r="BY28" s="234"/>
      <c r="BZ28" s="234"/>
      <c r="CA28" s="234" t="s">
        <v>1775</v>
      </c>
      <c r="CB28" s="234" t="s">
        <v>1776</v>
      </c>
      <c r="CC28" s="234" t="s">
        <v>1586</v>
      </c>
      <c r="CD28" s="234" t="s">
        <v>1587</v>
      </c>
      <c r="CE28" s="234" t="s">
        <v>1549</v>
      </c>
      <c r="CF28" s="234" t="s">
        <v>1588</v>
      </c>
      <c r="CG28" s="234"/>
      <c r="CH28" s="234"/>
      <c r="CI28" s="234" t="s">
        <v>0</v>
      </c>
      <c r="CJ28" s="234" t="s">
        <v>1551</v>
      </c>
      <c r="CK28" s="234" t="s">
        <v>1552</v>
      </c>
      <c r="CL28" s="234" t="s">
        <v>1553</v>
      </c>
      <c r="CM28" s="234" t="s">
        <v>1554</v>
      </c>
      <c r="CN28" s="234" t="s">
        <v>1549</v>
      </c>
      <c r="CO28" s="234" t="s">
        <v>1555</v>
      </c>
      <c r="CP28" s="234" t="s">
        <v>1556</v>
      </c>
      <c r="CQ28" s="234" t="s">
        <v>1557</v>
      </c>
      <c r="CR28" s="234" t="s">
        <v>1530</v>
      </c>
      <c r="CS28" s="234" t="s">
        <v>1530</v>
      </c>
      <c r="CT28" s="234" t="s">
        <v>1558</v>
      </c>
      <c r="CU28" s="234" t="s">
        <v>1530</v>
      </c>
      <c r="CV28" s="234" t="s">
        <v>1530</v>
      </c>
      <c r="CW28" s="234" t="s">
        <v>1530</v>
      </c>
      <c r="CX28" s="234" t="s">
        <v>1777</v>
      </c>
      <c r="CY28" s="234" t="s">
        <v>1530</v>
      </c>
      <c r="CZ28" s="234" t="s">
        <v>1530</v>
      </c>
      <c r="DA28" s="234" t="s">
        <v>1530</v>
      </c>
      <c r="DB28" s="234" t="s">
        <v>1777</v>
      </c>
      <c r="DC28" s="234" t="s">
        <v>1530</v>
      </c>
      <c r="DD28" s="234"/>
      <c r="DE28" s="234"/>
      <c r="DF28" s="234"/>
      <c r="DG28" s="234"/>
      <c r="DH28" s="234"/>
      <c r="DI28" s="234"/>
      <c r="DJ28" s="234"/>
      <c r="DK28" s="234"/>
      <c r="DL28" s="234"/>
      <c r="DM28" s="234"/>
      <c r="DN28" s="234"/>
      <c r="DO28" s="234"/>
      <c r="DP28" s="234" t="s">
        <v>1560</v>
      </c>
      <c r="DQ28" s="234" t="n">
        <v>0</v>
      </c>
      <c r="DR28" s="234"/>
      <c r="DS28" s="234"/>
      <c r="DT28" s="234"/>
      <c r="DU28" s="234"/>
      <c r="DV28" s="234"/>
      <c r="DW28" s="234"/>
      <c r="DX28" s="234" t="s">
        <v>1561</v>
      </c>
      <c r="DY28" s="234"/>
      <c r="DZ28" s="234"/>
      <c r="EA28" s="234"/>
      <c r="EB28" s="234"/>
      <c r="EC28" s="234"/>
      <c r="ED28" s="234"/>
      <c r="EE28" s="234"/>
      <c r="EF28" s="234"/>
      <c r="EG28" s="234"/>
      <c r="EH28" s="234" t="s">
        <v>1562</v>
      </c>
      <c r="EI28" s="234"/>
      <c r="EJ28" s="234"/>
      <c r="EK28" s="234" t="s">
        <v>1563</v>
      </c>
      <c r="EL28" s="234"/>
      <c r="EM28" s="234" t="s">
        <v>1564</v>
      </c>
      <c r="EN28" s="234" t="s">
        <v>1565</v>
      </c>
      <c r="EO28" s="234" t="s">
        <v>1566</v>
      </c>
      <c r="EP28" s="234" t="s">
        <v>1558</v>
      </c>
      <c r="EQ28" s="234" t="n">
        <v>12470.57</v>
      </c>
      <c r="ER28" s="234" t="s">
        <v>1567</v>
      </c>
      <c r="ES28" s="234"/>
      <c r="ET28" s="234"/>
    </row>
    <row r="29" customFormat="false" ht="13.5" hidden="false" customHeight="false" outlineLevel="0" collapsed="false">
      <c r="A29" s="233" t="n">
        <v>45762</v>
      </c>
      <c r="B29" s="234" t="s">
        <v>1778</v>
      </c>
      <c r="C29" s="234" t="s">
        <v>998</v>
      </c>
      <c r="D29" s="234" t="s">
        <v>947</v>
      </c>
      <c r="E29" s="234" t="s">
        <v>1779</v>
      </c>
      <c r="F29" s="234" t="s">
        <v>999</v>
      </c>
      <c r="G29" s="234" t="s">
        <v>1780</v>
      </c>
      <c r="H29" s="234" t="s">
        <v>1781</v>
      </c>
      <c r="I29" s="234" t="s">
        <v>1578</v>
      </c>
      <c r="J29" s="234" t="s">
        <v>1525</v>
      </c>
      <c r="K29" s="233" t="n">
        <v>45762</v>
      </c>
      <c r="L29" s="234"/>
      <c r="M29" s="234" t="s">
        <v>1526</v>
      </c>
      <c r="N29" s="234" t="n">
        <v>1</v>
      </c>
      <c r="O29" s="234" t="s">
        <v>1527</v>
      </c>
      <c r="P29" s="234" t="s">
        <v>1528</v>
      </c>
      <c r="Q29" s="234" t="s">
        <v>1529</v>
      </c>
      <c r="R29" s="234" t="s">
        <v>1530</v>
      </c>
      <c r="S29" s="234"/>
      <c r="T29" s="234"/>
      <c r="U29" s="234" t="s">
        <v>1531</v>
      </c>
      <c r="V29" s="234" t="s">
        <v>1532</v>
      </c>
      <c r="W29" s="234" t="s">
        <v>1533</v>
      </c>
      <c r="X29" s="234" t="s">
        <v>1534</v>
      </c>
      <c r="Y29" s="234" t="s">
        <v>1535</v>
      </c>
      <c r="Z29" s="234" t="s">
        <v>1597</v>
      </c>
      <c r="AA29" s="234" t="n">
        <v>150000</v>
      </c>
      <c r="AB29" s="234" t="n">
        <v>174000</v>
      </c>
      <c r="AC29" s="234" t="n">
        <v>174000</v>
      </c>
      <c r="AD29" s="234" t="n">
        <v>0</v>
      </c>
      <c r="AE29" s="234" t="s">
        <v>1399</v>
      </c>
      <c r="AF29" s="234"/>
      <c r="AG29" s="234"/>
      <c r="AH29" s="234" t="s">
        <v>1537</v>
      </c>
      <c r="AI29" s="234" t="s">
        <v>1538</v>
      </c>
      <c r="AJ29" s="234" t="s">
        <v>1539</v>
      </c>
      <c r="AK29" s="234"/>
      <c r="AL29" s="234"/>
      <c r="AM29" s="234"/>
      <c r="AN29" s="234"/>
      <c r="AO29" s="234"/>
      <c r="AP29" s="234"/>
      <c r="AQ29" s="234"/>
      <c r="AR29" s="234"/>
      <c r="AS29" s="234"/>
      <c r="AT29" s="234" t="s">
        <v>89</v>
      </c>
      <c r="AU29" s="234" t="s">
        <v>1540</v>
      </c>
      <c r="AV29" s="234" t="n">
        <v>0</v>
      </c>
      <c r="AW29" s="234"/>
      <c r="AX29" s="234"/>
      <c r="AY29" s="234"/>
      <c r="AZ29" s="234"/>
      <c r="BA29" s="234"/>
      <c r="BB29" s="234"/>
      <c r="BC29" s="234"/>
      <c r="BD29" s="234" t="s">
        <v>1541</v>
      </c>
      <c r="BE29" s="235" t="s">
        <v>1782</v>
      </c>
      <c r="BF29" s="234" t="n">
        <v>1</v>
      </c>
      <c r="BG29" s="234" t="s">
        <v>1530</v>
      </c>
      <c r="BH29" s="234" t="s">
        <v>1530</v>
      </c>
      <c r="BI29" s="234" t="n">
        <v>150000</v>
      </c>
      <c r="BJ29" s="234" t="s">
        <v>1543</v>
      </c>
      <c r="BK29" s="234" t="n">
        <v>150000</v>
      </c>
      <c r="BL29" s="234" t="s">
        <v>1544</v>
      </c>
      <c r="BM29" s="234"/>
      <c r="BN29" s="234"/>
      <c r="BO29" s="234"/>
      <c r="BP29" s="234" t="s">
        <v>1783</v>
      </c>
      <c r="BQ29" s="234"/>
      <c r="BR29" s="234" t="s">
        <v>1784</v>
      </c>
      <c r="BS29" s="234" t="s">
        <v>1785</v>
      </c>
      <c r="BT29" s="234" t="s">
        <v>1786</v>
      </c>
      <c r="BU29" s="234" t="s">
        <v>1787</v>
      </c>
      <c r="BV29" s="234" t="s">
        <v>1549</v>
      </c>
      <c r="BW29" s="234" t="s">
        <v>1788</v>
      </c>
      <c r="BX29" s="234"/>
      <c r="BY29" s="234"/>
      <c r="BZ29" s="234"/>
      <c r="CA29" s="234" t="s">
        <v>1784</v>
      </c>
      <c r="CB29" s="234" t="s">
        <v>1785</v>
      </c>
      <c r="CC29" s="234" t="s">
        <v>1786</v>
      </c>
      <c r="CD29" s="234" t="s">
        <v>1787</v>
      </c>
      <c r="CE29" s="234" t="s">
        <v>1549</v>
      </c>
      <c r="CF29" s="234" t="s">
        <v>1788</v>
      </c>
      <c r="CG29" s="234"/>
      <c r="CH29" s="234"/>
      <c r="CI29" s="234" t="s">
        <v>0</v>
      </c>
      <c r="CJ29" s="234" t="s">
        <v>1551</v>
      </c>
      <c r="CK29" s="234" t="s">
        <v>1552</v>
      </c>
      <c r="CL29" s="234" t="s">
        <v>1553</v>
      </c>
      <c r="CM29" s="234" t="s">
        <v>1554</v>
      </c>
      <c r="CN29" s="234" t="s">
        <v>1549</v>
      </c>
      <c r="CO29" s="234" t="s">
        <v>1555</v>
      </c>
      <c r="CP29" s="234" t="s">
        <v>1556</v>
      </c>
      <c r="CQ29" s="234" t="s">
        <v>1557</v>
      </c>
      <c r="CR29" s="234" t="s">
        <v>1530</v>
      </c>
      <c r="CS29" s="234" t="s">
        <v>1530</v>
      </c>
      <c r="CT29" s="234" t="s">
        <v>1558</v>
      </c>
      <c r="CU29" s="234" t="s">
        <v>1530</v>
      </c>
      <c r="CV29" s="234" t="s">
        <v>1530</v>
      </c>
      <c r="CW29" s="234" t="s">
        <v>1530</v>
      </c>
      <c r="CX29" s="234" t="s">
        <v>1789</v>
      </c>
      <c r="CY29" s="234" t="s">
        <v>1530</v>
      </c>
      <c r="CZ29" s="234" t="s">
        <v>1530</v>
      </c>
      <c r="DA29" s="234" t="s">
        <v>1530</v>
      </c>
      <c r="DB29" s="234" t="s">
        <v>1789</v>
      </c>
      <c r="DC29" s="234" t="s">
        <v>1530</v>
      </c>
      <c r="DD29" s="234"/>
      <c r="DE29" s="234"/>
      <c r="DF29" s="234"/>
      <c r="DG29" s="234"/>
      <c r="DH29" s="234"/>
      <c r="DI29" s="234"/>
      <c r="DJ29" s="234"/>
      <c r="DK29" s="234"/>
      <c r="DL29" s="234" t="s">
        <v>1790</v>
      </c>
      <c r="DM29" s="234"/>
      <c r="DN29" s="234"/>
      <c r="DO29" s="234"/>
      <c r="DP29" s="234" t="s">
        <v>1560</v>
      </c>
      <c r="DQ29" s="234" t="n">
        <v>0</v>
      </c>
      <c r="DR29" s="234"/>
      <c r="DS29" s="234"/>
      <c r="DT29" s="234"/>
      <c r="DU29" s="234"/>
      <c r="DV29" s="234"/>
      <c r="DW29" s="234"/>
      <c r="DX29" s="234" t="s">
        <v>1561</v>
      </c>
      <c r="DY29" s="234"/>
      <c r="DZ29" s="234"/>
      <c r="EA29" s="234"/>
      <c r="EB29" s="234"/>
      <c r="EC29" s="234"/>
      <c r="ED29" s="234"/>
      <c r="EE29" s="234"/>
      <c r="EF29" s="234"/>
      <c r="EG29" s="234"/>
      <c r="EH29" s="234" t="s">
        <v>1562</v>
      </c>
      <c r="EI29" s="234"/>
      <c r="EJ29" s="234"/>
      <c r="EK29" s="234" t="s">
        <v>1563</v>
      </c>
      <c r="EL29" s="234"/>
      <c r="EM29" s="234" t="s">
        <v>1564</v>
      </c>
      <c r="EN29" s="234" t="s">
        <v>1565</v>
      </c>
      <c r="EO29" s="234" t="s">
        <v>1566</v>
      </c>
      <c r="EP29" s="234" t="s">
        <v>1558</v>
      </c>
      <c r="EQ29" s="234" t="n">
        <v>27000</v>
      </c>
      <c r="ER29" s="234" t="s">
        <v>1567</v>
      </c>
      <c r="ES29" s="234"/>
      <c r="ET29" s="234"/>
    </row>
    <row r="30" customFormat="false" ht="13.5" hidden="false" customHeight="false" outlineLevel="0" collapsed="false">
      <c r="A30" s="233" t="n">
        <v>45762</v>
      </c>
      <c r="B30" s="234" t="s">
        <v>1791</v>
      </c>
      <c r="C30" s="234" t="s">
        <v>1000</v>
      </c>
      <c r="D30" s="234" t="s">
        <v>897</v>
      </c>
      <c r="E30" s="234" t="s">
        <v>1631</v>
      </c>
      <c r="F30" s="234" t="s">
        <v>898</v>
      </c>
      <c r="G30" s="234" t="s">
        <v>1632</v>
      </c>
      <c r="H30" s="234" t="s">
        <v>1633</v>
      </c>
      <c r="I30" s="234" t="s">
        <v>1524</v>
      </c>
      <c r="J30" s="234" t="s">
        <v>1525</v>
      </c>
      <c r="K30" s="233" t="n">
        <v>45762</v>
      </c>
      <c r="L30" s="234"/>
      <c r="M30" s="234" t="s">
        <v>1526</v>
      </c>
      <c r="N30" s="234" t="n">
        <v>1</v>
      </c>
      <c r="O30" s="234" t="s">
        <v>1527</v>
      </c>
      <c r="P30" s="234" t="s">
        <v>1528</v>
      </c>
      <c r="Q30" s="234" t="s">
        <v>1529</v>
      </c>
      <c r="R30" s="234" t="s">
        <v>1530</v>
      </c>
      <c r="S30" s="234"/>
      <c r="T30" s="234"/>
      <c r="U30" s="234" t="s">
        <v>1527</v>
      </c>
      <c r="V30" s="234"/>
      <c r="W30" s="234" t="s">
        <v>1530</v>
      </c>
      <c r="X30" s="234"/>
      <c r="Y30" s="234"/>
      <c r="Z30" s="234" t="s">
        <v>1572</v>
      </c>
      <c r="AA30" s="234" t="n">
        <v>4651.7</v>
      </c>
      <c r="AB30" s="236" t="n">
        <v>5489</v>
      </c>
      <c r="AC30" s="234" t="n">
        <v>0</v>
      </c>
      <c r="AD30" s="234" t="n">
        <v>0</v>
      </c>
      <c r="AE30" s="234" t="s">
        <v>1399</v>
      </c>
      <c r="AF30" s="234"/>
      <c r="AG30" s="233" t="n">
        <v>45762</v>
      </c>
      <c r="AH30" s="234" t="s">
        <v>1537</v>
      </c>
      <c r="AI30" s="234" t="s">
        <v>1538</v>
      </c>
      <c r="AJ30" s="234" t="s">
        <v>1539</v>
      </c>
      <c r="AK30" s="234"/>
      <c r="AL30" s="234"/>
      <c r="AM30" s="234"/>
      <c r="AN30" s="234"/>
      <c r="AO30" s="234"/>
      <c r="AP30" s="234"/>
      <c r="AQ30" s="234"/>
      <c r="AR30" s="234"/>
      <c r="AS30" s="234"/>
      <c r="AT30" s="234" t="s">
        <v>89</v>
      </c>
      <c r="AU30" s="234" t="s">
        <v>1540</v>
      </c>
      <c r="AV30" s="234" t="n">
        <v>0</v>
      </c>
      <c r="AW30" s="234"/>
      <c r="AX30" s="234"/>
      <c r="AY30" s="234"/>
      <c r="AZ30" s="234"/>
      <c r="BA30" s="234"/>
      <c r="BB30" s="234"/>
      <c r="BC30" s="234"/>
      <c r="BD30" s="234" t="s">
        <v>1541</v>
      </c>
      <c r="BE30" s="234" t="s">
        <v>1792</v>
      </c>
      <c r="BF30" s="234" t="n">
        <v>1</v>
      </c>
      <c r="BG30" s="234" t="s">
        <v>1530</v>
      </c>
      <c r="BH30" s="234" t="s">
        <v>1572</v>
      </c>
      <c r="BI30" s="234" t="n">
        <v>4651.7</v>
      </c>
      <c r="BJ30" s="234" t="s">
        <v>1543</v>
      </c>
      <c r="BK30" s="234" t="n">
        <v>4651.7</v>
      </c>
      <c r="BL30" s="234" t="s">
        <v>1544</v>
      </c>
      <c r="BM30" s="234"/>
      <c r="BN30" s="234"/>
      <c r="BO30" s="234"/>
      <c r="BP30" s="234" t="s">
        <v>1783</v>
      </c>
      <c r="BQ30" s="234"/>
      <c r="BR30" s="234"/>
      <c r="BS30" s="234"/>
      <c r="BT30" s="234"/>
      <c r="BU30" s="234"/>
      <c r="BV30" s="234"/>
      <c r="BW30" s="234"/>
      <c r="BX30" s="234"/>
      <c r="BY30" s="234"/>
      <c r="BZ30" s="234"/>
      <c r="CA30" s="234"/>
      <c r="CB30" s="234"/>
      <c r="CC30" s="234"/>
      <c r="CD30" s="234"/>
      <c r="CE30" s="234"/>
      <c r="CF30" s="234"/>
      <c r="CG30" s="234"/>
      <c r="CH30" s="234"/>
      <c r="CI30" s="234" t="s">
        <v>0</v>
      </c>
      <c r="CJ30" s="234" t="s">
        <v>1551</v>
      </c>
      <c r="CK30" s="234" t="s">
        <v>1552</v>
      </c>
      <c r="CL30" s="234" t="s">
        <v>1553</v>
      </c>
      <c r="CM30" s="234" t="s">
        <v>1554</v>
      </c>
      <c r="CN30" s="234" t="s">
        <v>1549</v>
      </c>
      <c r="CO30" s="234" t="s">
        <v>1555</v>
      </c>
      <c r="CP30" s="234" t="s">
        <v>1556</v>
      </c>
      <c r="CQ30" s="234" t="s">
        <v>1557</v>
      </c>
      <c r="CR30" s="234" t="s">
        <v>1635</v>
      </c>
      <c r="CS30" s="234" t="s">
        <v>1635</v>
      </c>
      <c r="CT30" s="234" t="s">
        <v>1530</v>
      </c>
      <c r="CU30" s="234" t="s">
        <v>1530</v>
      </c>
      <c r="CV30" s="234" t="s">
        <v>1793</v>
      </c>
      <c r="CW30" s="234" t="s">
        <v>1793</v>
      </c>
      <c r="CX30" s="234" t="s">
        <v>1530</v>
      </c>
      <c r="CY30" s="234" t="s">
        <v>1530</v>
      </c>
      <c r="CZ30" s="234" t="s">
        <v>1793</v>
      </c>
      <c r="DA30" s="234" t="s">
        <v>1793</v>
      </c>
      <c r="DB30" s="234" t="s">
        <v>1530</v>
      </c>
      <c r="DC30" s="234" t="s">
        <v>1530</v>
      </c>
      <c r="DD30" s="234"/>
      <c r="DE30" s="234"/>
      <c r="DF30" s="234"/>
      <c r="DG30" s="234"/>
      <c r="DH30" s="234"/>
      <c r="DI30" s="234" t="s">
        <v>1572</v>
      </c>
      <c r="DJ30" s="234"/>
      <c r="DK30" s="234"/>
      <c r="DL30" s="234"/>
      <c r="DM30" s="234"/>
      <c r="DN30" s="234"/>
      <c r="DO30" s="234"/>
      <c r="DP30" s="234" t="s">
        <v>1560</v>
      </c>
      <c r="DQ30" s="234" t="n">
        <v>0</v>
      </c>
      <c r="DR30" s="234"/>
      <c r="DS30" s="234"/>
      <c r="DT30" s="234"/>
      <c r="DU30" s="234"/>
      <c r="DV30" s="234"/>
      <c r="DW30" s="234"/>
      <c r="DX30" s="234" t="s">
        <v>1561</v>
      </c>
      <c r="DY30" s="234"/>
      <c r="DZ30" s="234"/>
      <c r="EA30" s="234"/>
      <c r="EB30" s="234"/>
      <c r="EC30" s="234"/>
      <c r="ED30" s="234"/>
      <c r="EE30" s="234"/>
      <c r="EF30" s="234"/>
      <c r="EG30" s="234"/>
      <c r="EH30" s="234" t="s">
        <v>1562</v>
      </c>
      <c r="EI30" s="234"/>
      <c r="EJ30" s="234"/>
      <c r="EK30" s="234" t="s">
        <v>1563</v>
      </c>
      <c r="EL30" s="234"/>
      <c r="EM30" s="234" t="s">
        <v>1564</v>
      </c>
      <c r="EN30" s="234" t="s">
        <v>1637</v>
      </c>
      <c r="EO30" s="234" t="s">
        <v>1638</v>
      </c>
      <c r="EP30" s="234" t="s">
        <v>1558</v>
      </c>
      <c r="EQ30" s="234" t="n">
        <v>837.3</v>
      </c>
      <c r="ER30" s="234" t="s">
        <v>1639</v>
      </c>
      <c r="ES30" s="234"/>
      <c r="ET30" s="234"/>
    </row>
    <row r="31" customFormat="false" ht="26.85" hidden="false" customHeight="false" outlineLevel="0" collapsed="false">
      <c r="A31" s="233" t="n">
        <v>45762</v>
      </c>
      <c r="B31" s="234" t="s">
        <v>1794</v>
      </c>
      <c r="C31" s="234" t="s">
        <v>180</v>
      </c>
      <c r="D31" s="234" t="s">
        <v>897</v>
      </c>
      <c r="E31" s="234" t="s">
        <v>1795</v>
      </c>
      <c r="F31" s="234" t="s">
        <v>179</v>
      </c>
      <c r="G31" s="234" t="s">
        <v>1522</v>
      </c>
      <c r="H31" s="234" t="s">
        <v>1523</v>
      </c>
      <c r="I31" s="234" t="s">
        <v>1524</v>
      </c>
      <c r="J31" s="234" t="s">
        <v>1525</v>
      </c>
      <c r="K31" s="233" t="n">
        <v>45762</v>
      </c>
      <c r="L31" s="234"/>
      <c r="M31" s="234" t="s">
        <v>1526</v>
      </c>
      <c r="N31" s="234" t="n">
        <v>1</v>
      </c>
      <c r="O31" s="234" t="s">
        <v>1527</v>
      </c>
      <c r="P31" s="234" t="s">
        <v>1528</v>
      </c>
      <c r="Q31" s="234" t="s">
        <v>1529</v>
      </c>
      <c r="R31" s="234" t="s">
        <v>1530</v>
      </c>
      <c r="S31" s="234"/>
      <c r="T31" s="234"/>
      <c r="U31" s="234" t="s">
        <v>1527</v>
      </c>
      <c r="V31" s="234"/>
      <c r="W31" s="234" t="s">
        <v>1530</v>
      </c>
      <c r="X31" s="234"/>
      <c r="Y31" s="234"/>
      <c r="Z31" s="234" t="s">
        <v>1572</v>
      </c>
      <c r="AA31" s="234" t="n">
        <v>36000</v>
      </c>
      <c r="AB31" s="234" t="n">
        <v>42480</v>
      </c>
      <c r="AC31" s="234" t="n">
        <v>0</v>
      </c>
      <c r="AD31" s="234" t="n">
        <v>0</v>
      </c>
      <c r="AE31" s="234" t="s">
        <v>1399</v>
      </c>
      <c r="AF31" s="234"/>
      <c r="AG31" s="233" t="n">
        <v>45769</v>
      </c>
      <c r="AH31" s="234" t="s">
        <v>1537</v>
      </c>
      <c r="AI31" s="234" t="s">
        <v>1538</v>
      </c>
      <c r="AJ31" s="234" t="s">
        <v>1539</v>
      </c>
      <c r="AK31" s="234"/>
      <c r="AL31" s="234"/>
      <c r="AM31" s="234"/>
      <c r="AN31" s="234"/>
      <c r="AO31" s="234"/>
      <c r="AP31" s="234"/>
      <c r="AQ31" s="234"/>
      <c r="AR31" s="234"/>
      <c r="AS31" s="234"/>
      <c r="AT31" s="234" t="s">
        <v>89</v>
      </c>
      <c r="AU31" s="234" t="s">
        <v>1540</v>
      </c>
      <c r="AV31" s="234" t="n">
        <v>0</v>
      </c>
      <c r="AW31" s="234"/>
      <c r="AX31" s="234"/>
      <c r="AY31" s="234"/>
      <c r="AZ31" s="234"/>
      <c r="BA31" s="234"/>
      <c r="BB31" s="234"/>
      <c r="BC31" s="234"/>
      <c r="BD31" s="234" t="s">
        <v>1541</v>
      </c>
      <c r="BE31" s="235" t="s">
        <v>1796</v>
      </c>
      <c r="BF31" s="234" t="n">
        <v>1</v>
      </c>
      <c r="BG31" s="234" t="s">
        <v>1797</v>
      </c>
      <c r="BH31" s="234" t="s">
        <v>1798</v>
      </c>
      <c r="BI31" s="234" t="n">
        <v>36000</v>
      </c>
      <c r="BJ31" s="234" t="s">
        <v>1543</v>
      </c>
      <c r="BK31" s="234" t="n">
        <v>60000</v>
      </c>
      <c r="BL31" s="234" t="s">
        <v>1544</v>
      </c>
      <c r="BM31" s="234"/>
      <c r="BN31" s="234"/>
      <c r="BO31" s="234"/>
      <c r="BP31" s="234"/>
      <c r="BQ31" s="234"/>
      <c r="BR31" s="234"/>
      <c r="BS31" s="234"/>
      <c r="BT31" s="234"/>
      <c r="BU31" s="234" t="s">
        <v>1548</v>
      </c>
      <c r="BV31" s="234" t="s">
        <v>1549</v>
      </c>
      <c r="BW31" s="234"/>
      <c r="BX31" s="234"/>
      <c r="BY31" s="234"/>
      <c r="BZ31" s="234"/>
      <c r="CA31" s="234"/>
      <c r="CB31" s="234"/>
      <c r="CC31" s="234"/>
      <c r="CD31" s="234" t="s">
        <v>1548</v>
      </c>
      <c r="CE31" s="234" t="s">
        <v>1549</v>
      </c>
      <c r="CF31" s="234"/>
      <c r="CG31" s="234"/>
      <c r="CH31" s="234"/>
      <c r="CI31" s="234" t="s">
        <v>0</v>
      </c>
      <c r="CJ31" s="234" t="s">
        <v>1551</v>
      </c>
      <c r="CK31" s="234" t="s">
        <v>1552</v>
      </c>
      <c r="CL31" s="234" t="s">
        <v>1553</v>
      </c>
      <c r="CM31" s="234" t="s">
        <v>1554</v>
      </c>
      <c r="CN31" s="234" t="s">
        <v>1549</v>
      </c>
      <c r="CO31" s="234" t="s">
        <v>1555</v>
      </c>
      <c r="CP31" s="234" t="s">
        <v>1556</v>
      </c>
      <c r="CQ31" s="234" t="s">
        <v>1557</v>
      </c>
      <c r="CR31" s="234" t="s">
        <v>1530</v>
      </c>
      <c r="CS31" s="234" t="s">
        <v>1530</v>
      </c>
      <c r="CT31" s="234" t="s">
        <v>1558</v>
      </c>
      <c r="CU31" s="234" t="s">
        <v>1530</v>
      </c>
      <c r="CV31" s="234" t="s">
        <v>1530</v>
      </c>
      <c r="CW31" s="234" t="s">
        <v>1530</v>
      </c>
      <c r="CX31" s="234" t="s">
        <v>1799</v>
      </c>
      <c r="CY31" s="234" t="s">
        <v>1530</v>
      </c>
      <c r="CZ31" s="234" t="s">
        <v>1530</v>
      </c>
      <c r="DA31" s="234" t="s">
        <v>1530</v>
      </c>
      <c r="DB31" s="234" t="s">
        <v>1799</v>
      </c>
      <c r="DC31" s="234" t="s">
        <v>1530</v>
      </c>
      <c r="DD31" s="234"/>
      <c r="DE31" s="234"/>
      <c r="DF31" s="234"/>
      <c r="DG31" s="234"/>
      <c r="DH31" s="234"/>
      <c r="DI31" s="234" t="s">
        <v>1572</v>
      </c>
      <c r="DJ31" s="234"/>
      <c r="DK31" s="234"/>
      <c r="DL31" s="234"/>
      <c r="DM31" s="234"/>
      <c r="DN31" s="234"/>
      <c r="DO31" s="234"/>
      <c r="DP31" s="234" t="s">
        <v>1560</v>
      </c>
      <c r="DQ31" s="234" t="n">
        <v>0</v>
      </c>
      <c r="DR31" s="234"/>
      <c r="DS31" s="234"/>
      <c r="DT31" s="234"/>
      <c r="DU31" s="234"/>
      <c r="DV31" s="234"/>
      <c r="DW31" s="234"/>
      <c r="DX31" s="234" t="s">
        <v>1561</v>
      </c>
      <c r="DY31" s="234"/>
      <c r="DZ31" s="234"/>
      <c r="EA31" s="234"/>
      <c r="EB31" s="234"/>
      <c r="EC31" s="234"/>
      <c r="ED31" s="234"/>
      <c r="EE31" s="234"/>
      <c r="EF31" s="234"/>
      <c r="EG31" s="234"/>
      <c r="EH31" s="234" t="s">
        <v>1562</v>
      </c>
      <c r="EI31" s="234"/>
      <c r="EJ31" s="234"/>
      <c r="EK31" s="234" t="s">
        <v>1563</v>
      </c>
      <c r="EL31" s="234"/>
      <c r="EM31" s="234" t="s">
        <v>1564</v>
      </c>
      <c r="EN31" s="234" t="s">
        <v>1565</v>
      </c>
      <c r="EO31" s="234" t="s">
        <v>1566</v>
      </c>
      <c r="EP31" s="234" t="s">
        <v>1558</v>
      </c>
      <c r="EQ31" s="234" t="n">
        <v>6480</v>
      </c>
      <c r="ER31" s="234" t="s">
        <v>1567</v>
      </c>
      <c r="ES31" s="234"/>
      <c r="ET31" s="234"/>
    </row>
    <row r="32" customFormat="false" ht="13.5" hidden="false" customHeight="false" outlineLevel="0" collapsed="false">
      <c r="A32" s="233" t="n">
        <v>45762</v>
      </c>
      <c r="B32" s="234" t="s">
        <v>1800</v>
      </c>
      <c r="C32" s="234" t="s">
        <v>182</v>
      </c>
      <c r="D32" s="234" t="s">
        <v>897</v>
      </c>
      <c r="E32" s="234" t="s">
        <v>1801</v>
      </c>
      <c r="F32" s="234" t="s">
        <v>181</v>
      </c>
      <c r="G32" s="234" t="s">
        <v>1570</v>
      </c>
      <c r="H32" s="234" t="s">
        <v>1571</v>
      </c>
      <c r="I32" s="234" t="s">
        <v>1524</v>
      </c>
      <c r="J32" s="234" t="s">
        <v>1525</v>
      </c>
      <c r="K32" s="233" t="n">
        <v>45762</v>
      </c>
      <c r="L32" s="234"/>
      <c r="M32" s="234" t="s">
        <v>1526</v>
      </c>
      <c r="N32" s="234" t="n">
        <v>1</v>
      </c>
      <c r="O32" s="234" t="s">
        <v>1527</v>
      </c>
      <c r="P32" s="234" t="s">
        <v>1528</v>
      </c>
      <c r="Q32" s="234" t="s">
        <v>1529</v>
      </c>
      <c r="R32" s="234" t="s">
        <v>1530</v>
      </c>
      <c r="S32" s="234"/>
      <c r="T32" s="234"/>
      <c r="U32" s="234" t="s">
        <v>1527</v>
      </c>
      <c r="V32" s="234"/>
      <c r="W32" s="234" t="s">
        <v>1530</v>
      </c>
      <c r="X32" s="234"/>
      <c r="Y32" s="234"/>
      <c r="Z32" s="234" t="s">
        <v>1572</v>
      </c>
      <c r="AA32" s="234" t="n">
        <v>20000</v>
      </c>
      <c r="AB32" s="234" t="n">
        <v>23600</v>
      </c>
      <c r="AC32" s="234" t="n">
        <v>0</v>
      </c>
      <c r="AD32" s="234" t="n">
        <v>0</v>
      </c>
      <c r="AE32" s="234" t="s">
        <v>1399</v>
      </c>
      <c r="AF32" s="234"/>
      <c r="AG32" s="233" t="n">
        <v>45762</v>
      </c>
      <c r="AH32" s="234" t="s">
        <v>1537</v>
      </c>
      <c r="AI32" s="234" t="s">
        <v>1538</v>
      </c>
      <c r="AJ32" s="234" t="s">
        <v>1539</v>
      </c>
      <c r="AK32" s="234"/>
      <c r="AL32" s="234"/>
      <c r="AM32" s="234"/>
      <c r="AN32" s="234"/>
      <c r="AO32" s="234"/>
      <c r="AP32" s="234"/>
      <c r="AQ32" s="234"/>
      <c r="AR32" s="234"/>
      <c r="AS32" s="234"/>
      <c r="AT32" s="234" t="s">
        <v>89</v>
      </c>
      <c r="AU32" s="234" t="s">
        <v>1540</v>
      </c>
      <c r="AV32" s="234" t="n">
        <v>0</v>
      </c>
      <c r="AW32" s="234"/>
      <c r="AX32" s="234"/>
      <c r="AY32" s="234"/>
      <c r="AZ32" s="234"/>
      <c r="BA32" s="234"/>
      <c r="BB32" s="234"/>
      <c r="BC32" s="234"/>
      <c r="BD32" s="234" t="s">
        <v>1541</v>
      </c>
      <c r="BE32" s="235" t="s">
        <v>1802</v>
      </c>
      <c r="BF32" s="234" t="n">
        <v>1</v>
      </c>
      <c r="BG32" s="234" t="s">
        <v>1530</v>
      </c>
      <c r="BH32" s="234" t="s">
        <v>1530</v>
      </c>
      <c r="BI32" s="234" t="n">
        <v>20000</v>
      </c>
      <c r="BJ32" s="234" t="s">
        <v>1543</v>
      </c>
      <c r="BK32" s="234" t="n">
        <v>20000</v>
      </c>
      <c r="BL32" s="234" t="s">
        <v>1544</v>
      </c>
      <c r="BM32" s="234"/>
      <c r="BN32" s="234"/>
      <c r="BO32" s="234"/>
      <c r="BP32" s="234"/>
      <c r="BQ32" s="234"/>
      <c r="BR32" s="234" t="s">
        <v>1803</v>
      </c>
      <c r="BS32" s="234" t="s">
        <v>1804</v>
      </c>
      <c r="BT32" s="234" t="s">
        <v>1586</v>
      </c>
      <c r="BU32" s="234" t="s">
        <v>1587</v>
      </c>
      <c r="BV32" s="234" t="s">
        <v>1549</v>
      </c>
      <c r="BW32" s="234" t="s">
        <v>1805</v>
      </c>
      <c r="BX32" s="234"/>
      <c r="BY32" s="234"/>
      <c r="BZ32" s="234"/>
      <c r="CA32" s="234" t="s">
        <v>1803</v>
      </c>
      <c r="CB32" s="234" t="s">
        <v>1804</v>
      </c>
      <c r="CC32" s="234" t="s">
        <v>1586</v>
      </c>
      <c r="CD32" s="234" t="s">
        <v>1587</v>
      </c>
      <c r="CE32" s="234" t="s">
        <v>1549</v>
      </c>
      <c r="CF32" s="234" t="s">
        <v>1805</v>
      </c>
      <c r="CG32" s="234"/>
      <c r="CH32" s="234"/>
      <c r="CI32" s="234" t="s">
        <v>0</v>
      </c>
      <c r="CJ32" s="234" t="s">
        <v>1551</v>
      </c>
      <c r="CK32" s="234" t="s">
        <v>1552</v>
      </c>
      <c r="CL32" s="234" t="s">
        <v>1553</v>
      </c>
      <c r="CM32" s="234" t="s">
        <v>1554</v>
      </c>
      <c r="CN32" s="234" t="s">
        <v>1549</v>
      </c>
      <c r="CO32" s="234" t="s">
        <v>1555</v>
      </c>
      <c r="CP32" s="234" t="s">
        <v>1556</v>
      </c>
      <c r="CQ32" s="234" t="s">
        <v>1557</v>
      </c>
      <c r="CR32" s="234" t="s">
        <v>1530</v>
      </c>
      <c r="CS32" s="234" t="s">
        <v>1530</v>
      </c>
      <c r="CT32" s="234" t="s">
        <v>1558</v>
      </c>
      <c r="CU32" s="234" t="s">
        <v>1530</v>
      </c>
      <c r="CV32" s="234" t="s">
        <v>1530</v>
      </c>
      <c r="CW32" s="234" t="s">
        <v>1530</v>
      </c>
      <c r="CX32" s="234" t="s">
        <v>1806</v>
      </c>
      <c r="CY32" s="234" t="s">
        <v>1530</v>
      </c>
      <c r="CZ32" s="234" t="s">
        <v>1530</v>
      </c>
      <c r="DA32" s="234" t="s">
        <v>1530</v>
      </c>
      <c r="DB32" s="234" t="s">
        <v>1806</v>
      </c>
      <c r="DC32" s="234" t="s">
        <v>1530</v>
      </c>
      <c r="DD32" s="234"/>
      <c r="DE32" s="234"/>
      <c r="DF32" s="234"/>
      <c r="DG32" s="234"/>
      <c r="DH32" s="234"/>
      <c r="DI32" s="234" t="s">
        <v>1572</v>
      </c>
      <c r="DJ32" s="234"/>
      <c r="DK32" s="234"/>
      <c r="DL32" s="234"/>
      <c r="DM32" s="234"/>
      <c r="DN32" s="234"/>
      <c r="DO32" s="234"/>
      <c r="DP32" s="234" t="s">
        <v>1560</v>
      </c>
      <c r="DQ32" s="234" t="n">
        <v>0</v>
      </c>
      <c r="DR32" s="234"/>
      <c r="DS32" s="234"/>
      <c r="DT32" s="234"/>
      <c r="DU32" s="234"/>
      <c r="DV32" s="234"/>
      <c r="DW32" s="234"/>
      <c r="DX32" s="234" t="s">
        <v>1561</v>
      </c>
      <c r="DY32" s="234"/>
      <c r="DZ32" s="234"/>
      <c r="EA32" s="234"/>
      <c r="EB32" s="234"/>
      <c r="EC32" s="234"/>
      <c r="ED32" s="234"/>
      <c r="EE32" s="234"/>
      <c r="EF32" s="234"/>
      <c r="EG32" s="234"/>
      <c r="EH32" s="234" t="s">
        <v>1562</v>
      </c>
      <c r="EI32" s="234"/>
      <c r="EJ32" s="234"/>
      <c r="EK32" s="234" t="s">
        <v>1563</v>
      </c>
      <c r="EL32" s="234"/>
      <c r="EM32" s="234" t="s">
        <v>1564</v>
      </c>
      <c r="EN32" s="234" t="s">
        <v>1565</v>
      </c>
      <c r="EO32" s="234" t="s">
        <v>1566</v>
      </c>
      <c r="EP32" s="234" t="s">
        <v>1558</v>
      </c>
      <c r="EQ32" s="234" t="n">
        <v>3600</v>
      </c>
      <c r="ER32" s="234" t="s">
        <v>1567</v>
      </c>
      <c r="ES32" s="234"/>
      <c r="ET32" s="234"/>
    </row>
    <row r="33" customFormat="false" ht="13.5" hidden="false" customHeight="false" outlineLevel="0" collapsed="false">
      <c r="A33" s="233" t="n">
        <v>45762</v>
      </c>
      <c r="B33" s="234" t="s">
        <v>1807</v>
      </c>
      <c r="C33" s="234" t="s">
        <v>1001</v>
      </c>
      <c r="D33" s="234" t="s">
        <v>897</v>
      </c>
      <c r="E33" s="234" t="s">
        <v>1808</v>
      </c>
      <c r="F33" s="234" t="s">
        <v>184</v>
      </c>
      <c r="G33" s="234" t="s">
        <v>1522</v>
      </c>
      <c r="H33" s="234" t="s">
        <v>1523</v>
      </c>
      <c r="I33" s="234" t="s">
        <v>1524</v>
      </c>
      <c r="J33" s="234" t="s">
        <v>1525</v>
      </c>
      <c r="K33" s="233" t="n">
        <v>45762</v>
      </c>
      <c r="L33" s="234"/>
      <c r="M33" s="234" t="s">
        <v>1526</v>
      </c>
      <c r="N33" s="234" t="n">
        <v>1</v>
      </c>
      <c r="O33" s="234" t="s">
        <v>1527</v>
      </c>
      <c r="P33" s="234" t="s">
        <v>1528</v>
      </c>
      <c r="Q33" s="234" t="s">
        <v>1529</v>
      </c>
      <c r="R33" s="234" t="s">
        <v>1530</v>
      </c>
      <c r="S33" s="234"/>
      <c r="T33" s="234"/>
      <c r="U33" s="234" t="s">
        <v>1527</v>
      </c>
      <c r="V33" s="234"/>
      <c r="W33" s="234" t="s">
        <v>1530</v>
      </c>
      <c r="X33" s="234"/>
      <c r="Y33" s="234"/>
      <c r="Z33" s="234" t="s">
        <v>1572</v>
      </c>
      <c r="AA33" s="234" t="n">
        <v>16950</v>
      </c>
      <c r="AB33" s="234" t="n">
        <v>20000</v>
      </c>
      <c r="AC33" s="234" t="n">
        <v>0</v>
      </c>
      <c r="AD33" s="234" t="n">
        <v>-1</v>
      </c>
      <c r="AE33" s="234" t="s">
        <v>1399</v>
      </c>
      <c r="AF33" s="234"/>
      <c r="AG33" s="233" t="n">
        <v>45762</v>
      </c>
      <c r="AH33" s="234" t="s">
        <v>1537</v>
      </c>
      <c r="AI33" s="234" t="s">
        <v>1538</v>
      </c>
      <c r="AJ33" s="234" t="s">
        <v>1539</v>
      </c>
      <c r="AK33" s="234"/>
      <c r="AL33" s="234"/>
      <c r="AM33" s="234"/>
      <c r="AN33" s="234"/>
      <c r="AO33" s="234"/>
      <c r="AP33" s="234"/>
      <c r="AQ33" s="234"/>
      <c r="AR33" s="234"/>
      <c r="AS33" s="234"/>
      <c r="AT33" s="234" t="s">
        <v>89</v>
      </c>
      <c r="AU33" s="234" t="s">
        <v>1540</v>
      </c>
      <c r="AV33" s="234" t="n">
        <v>0</v>
      </c>
      <c r="AW33" s="234"/>
      <c r="AX33" s="234"/>
      <c r="AY33" s="234"/>
      <c r="AZ33" s="234"/>
      <c r="BA33" s="234"/>
      <c r="BB33" s="234"/>
      <c r="BC33" s="234"/>
      <c r="BD33" s="234" t="s">
        <v>1541</v>
      </c>
      <c r="BE33" s="235" t="s">
        <v>1809</v>
      </c>
      <c r="BF33" s="234" t="n">
        <v>1</v>
      </c>
      <c r="BG33" s="234" t="s">
        <v>1530</v>
      </c>
      <c r="BH33" s="234" t="s">
        <v>1572</v>
      </c>
      <c r="BI33" s="234" t="n">
        <v>16950</v>
      </c>
      <c r="BJ33" s="234" t="s">
        <v>1543</v>
      </c>
      <c r="BK33" s="234" t="n">
        <v>16950</v>
      </c>
      <c r="BL33" s="234" t="s">
        <v>1544</v>
      </c>
      <c r="BM33" s="234"/>
      <c r="BN33" s="234"/>
      <c r="BO33" s="234"/>
      <c r="BP33" s="234" t="s">
        <v>1810</v>
      </c>
      <c r="BQ33" s="234"/>
      <c r="BR33" s="234" t="s">
        <v>1811</v>
      </c>
      <c r="BS33" s="234" t="s">
        <v>1812</v>
      </c>
      <c r="BT33" s="234" t="s">
        <v>1547</v>
      </c>
      <c r="BU33" s="234" t="s">
        <v>1548</v>
      </c>
      <c r="BV33" s="234" t="s">
        <v>1549</v>
      </c>
      <c r="BW33" s="234" t="s">
        <v>1659</v>
      </c>
      <c r="BX33" s="234"/>
      <c r="BY33" s="234"/>
      <c r="BZ33" s="234"/>
      <c r="CA33" s="234" t="s">
        <v>1811</v>
      </c>
      <c r="CB33" s="234" t="s">
        <v>1812</v>
      </c>
      <c r="CC33" s="234" t="s">
        <v>1547</v>
      </c>
      <c r="CD33" s="234" t="s">
        <v>1548</v>
      </c>
      <c r="CE33" s="234" t="s">
        <v>1549</v>
      </c>
      <c r="CF33" s="234" t="s">
        <v>1659</v>
      </c>
      <c r="CG33" s="234"/>
      <c r="CH33" s="234"/>
      <c r="CI33" s="234" t="s">
        <v>0</v>
      </c>
      <c r="CJ33" s="234" t="s">
        <v>1551</v>
      </c>
      <c r="CK33" s="234" t="s">
        <v>1552</v>
      </c>
      <c r="CL33" s="234" t="s">
        <v>1553</v>
      </c>
      <c r="CM33" s="234" t="s">
        <v>1554</v>
      </c>
      <c r="CN33" s="234" t="s">
        <v>1549</v>
      </c>
      <c r="CO33" s="234" t="s">
        <v>1555</v>
      </c>
      <c r="CP33" s="234" t="s">
        <v>1556</v>
      </c>
      <c r="CQ33" s="234" t="s">
        <v>1557</v>
      </c>
      <c r="CR33" s="234" t="s">
        <v>1530</v>
      </c>
      <c r="CS33" s="234" t="s">
        <v>1530</v>
      </c>
      <c r="CT33" s="234" t="s">
        <v>1558</v>
      </c>
      <c r="CU33" s="234" t="s">
        <v>1530</v>
      </c>
      <c r="CV33" s="234" t="s">
        <v>1530</v>
      </c>
      <c r="CW33" s="234" t="s">
        <v>1530</v>
      </c>
      <c r="CX33" s="234" t="s">
        <v>1813</v>
      </c>
      <c r="CY33" s="234" t="s">
        <v>1530</v>
      </c>
      <c r="CZ33" s="234" t="s">
        <v>1530</v>
      </c>
      <c r="DA33" s="234" t="s">
        <v>1530</v>
      </c>
      <c r="DB33" s="234" t="s">
        <v>1813</v>
      </c>
      <c r="DC33" s="234" t="s">
        <v>1530</v>
      </c>
      <c r="DD33" s="234"/>
      <c r="DE33" s="234"/>
      <c r="DF33" s="234"/>
      <c r="DG33" s="234"/>
      <c r="DH33" s="234"/>
      <c r="DI33" s="234" t="s">
        <v>1572</v>
      </c>
      <c r="DJ33" s="234"/>
      <c r="DK33" s="234"/>
      <c r="DL33" s="234"/>
      <c r="DM33" s="234"/>
      <c r="DN33" s="234"/>
      <c r="DO33" s="234"/>
      <c r="DP33" s="234" t="s">
        <v>1560</v>
      </c>
      <c r="DQ33" s="234" t="n">
        <v>0</v>
      </c>
      <c r="DR33" s="234"/>
      <c r="DS33" s="234"/>
      <c r="DT33" s="234"/>
      <c r="DU33" s="234"/>
      <c r="DV33" s="234"/>
      <c r="DW33" s="234"/>
      <c r="DX33" s="234" t="s">
        <v>1561</v>
      </c>
      <c r="DY33" s="234"/>
      <c r="DZ33" s="234"/>
      <c r="EA33" s="234"/>
      <c r="EB33" s="234"/>
      <c r="EC33" s="234"/>
      <c r="ED33" s="234"/>
      <c r="EE33" s="234"/>
      <c r="EF33" s="234"/>
      <c r="EG33" s="234"/>
      <c r="EH33" s="234" t="s">
        <v>1562</v>
      </c>
      <c r="EI33" s="234"/>
      <c r="EJ33" s="234"/>
      <c r="EK33" s="234" t="s">
        <v>1563</v>
      </c>
      <c r="EL33" s="234"/>
      <c r="EM33" s="234" t="s">
        <v>1564</v>
      </c>
      <c r="EN33" s="234" t="s">
        <v>1565</v>
      </c>
      <c r="EO33" s="234" t="s">
        <v>1566</v>
      </c>
      <c r="EP33" s="234" t="s">
        <v>1558</v>
      </c>
      <c r="EQ33" s="234" t="n">
        <v>3051</v>
      </c>
      <c r="ER33" s="234" t="s">
        <v>1567</v>
      </c>
      <c r="ES33" s="234"/>
      <c r="ET33" s="234"/>
    </row>
    <row r="34" customFormat="false" ht="13.5" hidden="false" customHeight="false" outlineLevel="0" collapsed="false">
      <c r="A34" s="233" t="n">
        <v>45763</v>
      </c>
      <c r="B34" s="234" t="s">
        <v>1814</v>
      </c>
      <c r="C34" s="234" t="s">
        <v>1003</v>
      </c>
      <c r="D34" s="234" t="s">
        <v>897</v>
      </c>
      <c r="E34" s="234" t="s">
        <v>1815</v>
      </c>
      <c r="F34" s="234" t="s">
        <v>187</v>
      </c>
      <c r="G34" s="234" t="s">
        <v>1570</v>
      </c>
      <c r="H34" s="234" t="s">
        <v>1571</v>
      </c>
      <c r="I34" s="234" t="s">
        <v>1524</v>
      </c>
      <c r="J34" s="234" t="s">
        <v>1525</v>
      </c>
      <c r="K34" s="233" t="n">
        <v>45763</v>
      </c>
      <c r="L34" s="234"/>
      <c r="M34" s="234" t="s">
        <v>1526</v>
      </c>
      <c r="N34" s="234" t="n">
        <v>1</v>
      </c>
      <c r="O34" s="234" t="s">
        <v>1527</v>
      </c>
      <c r="P34" s="234" t="s">
        <v>1528</v>
      </c>
      <c r="Q34" s="234" t="s">
        <v>1529</v>
      </c>
      <c r="R34" s="234" t="s">
        <v>1530</v>
      </c>
      <c r="S34" s="234"/>
      <c r="T34" s="234"/>
      <c r="U34" s="234" t="s">
        <v>1527</v>
      </c>
      <c r="V34" s="234"/>
      <c r="W34" s="234" t="s">
        <v>1530</v>
      </c>
      <c r="X34" s="234"/>
      <c r="Y34" s="234"/>
      <c r="Z34" s="234" t="s">
        <v>1572</v>
      </c>
      <c r="AA34" s="234" t="n">
        <v>10000</v>
      </c>
      <c r="AB34" s="234" t="n">
        <v>11800</v>
      </c>
      <c r="AC34" s="234" t="n">
        <v>0</v>
      </c>
      <c r="AD34" s="234" t="n">
        <v>0</v>
      </c>
      <c r="AE34" s="234" t="s">
        <v>1399</v>
      </c>
      <c r="AF34" s="234"/>
      <c r="AG34" s="233" t="n">
        <v>45774</v>
      </c>
      <c r="AH34" s="234" t="s">
        <v>1537</v>
      </c>
      <c r="AI34" s="234" t="s">
        <v>1538</v>
      </c>
      <c r="AJ34" s="234" t="s">
        <v>1539</v>
      </c>
      <c r="AK34" s="234"/>
      <c r="AL34" s="234"/>
      <c r="AM34" s="234"/>
      <c r="AN34" s="234"/>
      <c r="AO34" s="234"/>
      <c r="AP34" s="234"/>
      <c r="AQ34" s="234"/>
      <c r="AR34" s="234"/>
      <c r="AS34" s="234"/>
      <c r="AT34" s="234" t="s">
        <v>89</v>
      </c>
      <c r="AU34" s="234" t="s">
        <v>1540</v>
      </c>
      <c r="AV34" s="234" t="n">
        <v>0</v>
      </c>
      <c r="AW34" s="234"/>
      <c r="AX34" s="234"/>
      <c r="AY34" s="234"/>
      <c r="AZ34" s="234"/>
      <c r="BA34" s="234"/>
      <c r="BB34" s="234"/>
      <c r="BC34" s="234"/>
      <c r="BD34" s="234" t="s">
        <v>1541</v>
      </c>
      <c r="BE34" s="235" t="s">
        <v>1816</v>
      </c>
      <c r="BF34" s="234" t="n">
        <v>1</v>
      </c>
      <c r="BG34" s="234" t="s">
        <v>1530</v>
      </c>
      <c r="BH34" s="234" t="s">
        <v>1572</v>
      </c>
      <c r="BI34" s="234" t="n">
        <v>10000</v>
      </c>
      <c r="BJ34" s="234" t="s">
        <v>1543</v>
      </c>
      <c r="BK34" s="234" t="n">
        <v>10000</v>
      </c>
      <c r="BL34" s="234" t="s">
        <v>1544</v>
      </c>
      <c r="BM34" s="234"/>
      <c r="BN34" s="234"/>
      <c r="BO34" s="234"/>
      <c r="BP34" s="234" t="s">
        <v>187</v>
      </c>
      <c r="BQ34" s="234"/>
      <c r="BR34" s="234"/>
      <c r="BS34" s="234"/>
      <c r="BT34" s="234" t="s">
        <v>1586</v>
      </c>
      <c r="BU34" s="234"/>
      <c r="BV34" s="234" t="s">
        <v>1549</v>
      </c>
      <c r="BW34" s="234"/>
      <c r="BX34" s="234"/>
      <c r="BY34" s="234"/>
      <c r="BZ34" s="234"/>
      <c r="CA34" s="234"/>
      <c r="CB34" s="234"/>
      <c r="CC34" s="234" t="s">
        <v>1586</v>
      </c>
      <c r="CD34" s="234"/>
      <c r="CE34" s="234" t="s">
        <v>1549</v>
      </c>
      <c r="CF34" s="234"/>
      <c r="CG34" s="234"/>
      <c r="CH34" s="234"/>
      <c r="CI34" s="234" t="s">
        <v>0</v>
      </c>
      <c r="CJ34" s="234" t="s">
        <v>1551</v>
      </c>
      <c r="CK34" s="234" t="s">
        <v>1552</v>
      </c>
      <c r="CL34" s="234" t="s">
        <v>1553</v>
      </c>
      <c r="CM34" s="234" t="s">
        <v>1554</v>
      </c>
      <c r="CN34" s="234" t="s">
        <v>1549</v>
      </c>
      <c r="CO34" s="234" t="s">
        <v>1555</v>
      </c>
      <c r="CP34" s="234" t="s">
        <v>1556</v>
      </c>
      <c r="CQ34" s="234" t="s">
        <v>1557</v>
      </c>
      <c r="CR34" s="234" t="s">
        <v>1530</v>
      </c>
      <c r="CS34" s="234" t="s">
        <v>1530</v>
      </c>
      <c r="CT34" s="234" t="s">
        <v>1558</v>
      </c>
      <c r="CU34" s="234" t="s">
        <v>1530</v>
      </c>
      <c r="CV34" s="234" t="s">
        <v>1530</v>
      </c>
      <c r="CW34" s="234" t="s">
        <v>1530</v>
      </c>
      <c r="CX34" s="234" t="s">
        <v>1701</v>
      </c>
      <c r="CY34" s="234" t="s">
        <v>1530</v>
      </c>
      <c r="CZ34" s="234" t="s">
        <v>1530</v>
      </c>
      <c r="DA34" s="234" t="s">
        <v>1530</v>
      </c>
      <c r="DB34" s="234" t="s">
        <v>1701</v>
      </c>
      <c r="DC34" s="234" t="s">
        <v>1530</v>
      </c>
      <c r="DD34" s="234"/>
      <c r="DE34" s="234"/>
      <c r="DF34" s="234"/>
      <c r="DG34" s="234"/>
      <c r="DH34" s="234"/>
      <c r="DI34" s="234" t="s">
        <v>1572</v>
      </c>
      <c r="DJ34" s="234"/>
      <c r="DK34" s="234"/>
      <c r="DL34" s="234"/>
      <c r="DM34" s="234"/>
      <c r="DN34" s="234"/>
      <c r="DO34" s="234"/>
      <c r="DP34" s="234" t="s">
        <v>1560</v>
      </c>
      <c r="DQ34" s="234" t="n">
        <v>0</v>
      </c>
      <c r="DR34" s="234"/>
      <c r="DS34" s="234"/>
      <c r="DT34" s="234"/>
      <c r="DU34" s="234"/>
      <c r="DV34" s="234"/>
      <c r="DW34" s="234"/>
      <c r="DX34" s="234" t="s">
        <v>1561</v>
      </c>
      <c r="DY34" s="234"/>
      <c r="DZ34" s="234"/>
      <c r="EA34" s="234"/>
      <c r="EB34" s="234"/>
      <c r="EC34" s="234"/>
      <c r="ED34" s="234"/>
      <c r="EE34" s="234"/>
      <c r="EF34" s="234"/>
      <c r="EG34" s="234"/>
      <c r="EH34" s="234" t="s">
        <v>1562</v>
      </c>
      <c r="EI34" s="234"/>
      <c r="EJ34" s="234"/>
      <c r="EK34" s="234" t="s">
        <v>1563</v>
      </c>
      <c r="EL34" s="234"/>
      <c r="EM34" s="234" t="s">
        <v>1564</v>
      </c>
      <c r="EN34" s="234" t="s">
        <v>1565</v>
      </c>
      <c r="EO34" s="234" t="s">
        <v>1566</v>
      </c>
      <c r="EP34" s="234" t="s">
        <v>1558</v>
      </c>
      <c r="EQ34" s="234" t="n">
        <v>1800</v>
      </c>
      <c r="ER34" s="234" t="s">
        <v>1567</v>
      </c>
      <c r="ES34" s="234"/>
      <c r="ET34" s="234"/>
    </row>
    <row r="35" customFormat="false" ht="13.5" hidden="false" customHeight="false" outlineLevel="0" collapsed="false">
      <c r="A35" s="233" t="n">
        <v>45763</v>
      </c>
      <c r="B35" s="234" t="s">
        <v>1817</v>
      </c>
      <c r="C35" s="234" t="s">
        <v>190</v>
      </c>
      <c r="D35" s="234" t="s">
        <v>897</v>
      </c>
      <c r="E35" s="234" t="s">
        <v>1818</v>
      </c>
      <c r="F35" s="234" t="s">
        <v>189</v>
      </c>
      <c r="G35" s="234" t="s">
        <v>1570</v>
      </c>
      <c r="H35" s="234" t="s">
        <v>1571</v>
      </c>
      <c r="I35" s="234" t="s">
        <v>1524</v>
      </c>
      <c r="J35" s="234" t="s">
        <v>1525</v>
      </c>
      <c r="K35" s="233" t="n">
        <v>45763</v>
      </c>
      <c r="L35" s="234"/>
      <c r="M35" s="234" t="s">
        <v>1526</v>
      </c>
      <c r="N35" s="234" t="n">
        <v>1</v>
      </c>
      <c r="O35" s="234" t="s">
        <v>1527</v>
      </c>
      <c r="P35" s="234" t="s">
        <v>1528</v>
      </c>
      <c r="Q35" s="234" t="s">
        <v>1529</v>
      </c>
      <c r="R35" s="234" t="s">
        <v>1530</v>
      </c>
      <c r="S35" s="234"/>
      <c r="T35" s="234"/>
      <c r="U35" s="234" t="s">
        <v>1527</v>
      </c>
      <c r="V35" s="234"/>
      <c r="W35" s="234" t="s">
        <v>1530</v>
      </c>
      <c r="X35" s="234"/>
      <c r="Y35" s="234"/>
      <c r="Z35" s="234" t="s">
        <v>1572</v>
      </c>
      <c r="AA35" s="234" t="n">
        <v>15000</v>
      </c>
      <c r="AB35" s="234" t="n">
        <v>17700</v>
      </c>
      <c r="AC35" s="234" t="n">
        <v>0</v>
      </c>
      <c r="AD35" s="234" t="n">
        <v>0</v>
      </c>
      <c r="AE35" s="234" t="s">
        <v>1399</v>
      </c>
      <c r="AF35" s="234"/>
      <c r="AG35" s="233" t="n">
        <v>45763</v>
      </c>
      <c r="AH35" s="234" t="s">
        <v>1537</v>
      </c>
      <c r="AI35" s="234" t="s">
        <v>1538</v>
      </c>
      <c r="AJ35" s="234" t="s">
        <v>1539</v>
      </c>
      <c r="AK35" s="234"/>
      <c r="AL35" s="234"/>
      <c r="AM35" s="234"/>
      <c r="AN35" s="234"/>
      <c r="AO35" s="234"/>
      <c r="AP35" s="234"/>
      <c r="AQ35" s="234"/>
      <c r="AR35" s="234"/>
      <c r="AS35" s="234"/>
      <c r="AT35" s="234" t="s">
        <v>89</v>
      </c>
      <c r="AU35" s="234" t="s">
        <v>1540</v>
      </c>
      <c r="AV35" s="234" t="n">
        <v>0</v>
      </c>
      <c r="AW35" s="234"/>
      <c r="AX35" s="234"/>
      <c r="AY35" s="234"/>
      <c r="AZ35" s="234"/>
      <c r="BA35" s="234"/>
      <c r="BB35" s="234"/>
      <c r="BC35" s="234"/>
      <c r="BD35" s="234" t="s">
        <v>1541</v>
      </c>
      <c r="BE35" s="235" t="s">
        <v>1819</v>
      </c>
      <c r="BF35" s="234" t="n">
        <v>1</v>
      </c>
      <c r="BG35" s="234" t="s">
        <v>1530</v>
      </c>
      <c r="BH35" s="234" t="s">
        <v>1530</v>
      </c>
      <c r="BI35" s="234" t="n">
        <v>15000</v>
      </c>
      <c r="BJ35" s="234" t="s">
        <v>1543</v>
      </c>
      <c r="BK35" s="234" t="n">
        <v>15000</v>
      </c>
      <c r="BL35" s="234" t="s">
        <v>1544</v>
      </c>
      <c r="BM35" s="234"/>
      <c r="BN35" s="234"/>
      <c r="BO35" s="234"/>
      <c r="BP35" s="234"/>
      <c r="BQ35" s="234"/>
      <c r="BR35" s="234"/>
      <c r="BS35" s="234"/>
      <c r="BT35" s="234" t="s">
        <v>1586</v>
      </c>
      <c r="BU35" s="234" t="s">
        <v>1587</v>
      </c>
      <c r="BV35" s="234" t="s">
        <v>1549</v>
      </c>
      <c r="BW35" s="234"/>
      <c r="BX35" s="234"/>
      <c r="BY35" s="234"/>
      <c r="BZ35" s="234"/>
      <c r="CA35" s="234"/>
      <c r="CB35" s="234"/>
      <c r="CC35" s="234" t="s">
        <v>1586</v>
      </c>
      <c r="CD35" s="234" t="s">
        <v>1587</v>
      </c>
      <c r="CE35" s="234" t="s">
        <v>1549</v>
      </c>
      <c r="CF35" s="234"/>
      <c r="CG35" s="234"/>
      <c r="CH35" s="234"/>
      <c r="CI35" s="234" t="s">
        <v>0</v>
      </c>
      <c r="CJ35" s="234" t="s">
        <v>1551</v>
      </c>
      <c r="CK35" s="234" t="s">
        <v>1552</v>
      </c>
      <c r="CL35" s="234" t="s">
        <v>1553</v>
      </c>
      <c r="CM35" s="234" t="s">
        <v>1554</v>
      </c>
      <c r="CN35" s="234" t="s">
        <v>1549</v>
      </c>
      <c r="CO35" s="234" t="s">
        <v>1555</v>
      </c>
      <c r="CP35" s="234" t="s">
        <v>1556</v>
      </c>
      <c r="CQ35" s="234" t="s">
        <v>1557</v>
      </c>
      <c r="CR35" s="234" t="s">
        <v>1530</v>
      </c>
      <c r="CS35" s="234" t="s">
        <v>1530</v>
      </c>
      <c r="CT35" s="234" t="s">
        <v>1558</v>
      </c>
      <c r="CU35" s="234" t="s">
        <v>1530</v>
      </c>
      <c r="CV35" s="234" t="s">
        <v>1530</v>
      </c>
      <c r="CW35" s="234" t="s">
        <v>1530</v>
      </c>
      <c r="CX35" s="234" t="s">
        <v>1740</v>
      </c>
      <c r="CY35" s="234" t="s">
        <v>1530</v>
      </c>
      <c r="CZ35" s="234" t="s">
        <v>1530</v>
      </c>
      <c r="DA35" s="234" t="s">
        <v>1530</v>
      </c>
      <c r="DB35" s="234" t="s">
        <v>1740</v>
      </c>
      <c r="DC35" s="234" t="s">
        <v>1530</v>
      </c>
      <c r="DD35" s="234"/>
      <c r="DE35" s="234"/>
      <c r="DF35" s="234"/>
      <c r="DG35" s="234"/>
      <c r="DH35" s="234"/>
      <c r="DI35" s="234" t="s">
        <v>1572</v>
      </c>
      <c r="DJ35" s="234"/>
      <c r="DK35" s="234"/>
      <c r="DL35" s="234"/>
      <c r="DM35" s="234"/>
      <c r="DN35" s="234"/>
      <c r="DO35" s="234"/>
      <c r="DP35" s="234" t="s">
        <v>1560</v>
      </c>
      <c r="DQ35" s="234" t="n">
        <v>0</v>
      </c>
      <c r="DR35" s="234"/>
      <c r="DS35" s="234"/>
      <c r="DT35" s="234"/>
      <c r="DU35" s="234"/>
      <c r="DV35" s="234"/>
      <c r="DW35" s="234"/>
      <c r="DX35" s="234" t="s">
        <v>1561</v>
      </c>
      <c r="DY35" s="234"/>
      <c r="DZ35" s="234"/>
      <c r="EA35" s="234"/>
      <c r="EB35" s="234"/>
      <c r="EC35" s="234"/>
      <c r="ED35" s="234"/>
      <c r="EE35" s="234"/>
      <c r="EF35" s="234"/>
      <c r="EG35" s="234"/>
      <c r="EH35" s="234" t="s">
        <v>1562</v>
      </c>
      <c r="EI35" s="234"/>
      <c r="EJ35" s="234"/>
      <c r="EK35" s="234" t="s">
        <v>1563</v>
      </c>
      <c r="EL35" s="234"/>
      <c r="EM35" s="234" t="s">
        <v>1564</v>
      </c>
      <c r="EN35" s="234" t="s">
        <v>1565</v>
      </c>
      <c r="EO35" s="234" t="s">
        <v>1566</v>
      </c>
      <c r="EP35" s="234" t="s">
        <v>1558</v>
      </c>
      <c r="EQ35" s="234" t="n">
        <v>2700</v>
      </c>
      <c r="ER35" s="234" t="s">
        <v>1567</v>
      </c>
      <c r="ES35" s="234"/>
      <c r="ET35" s="234"/>
    </row>
    <row r="36" customFormat="false" ht="13.5" hidden="false" customHeight="false" outlineLevel="0" collapsed="false">
      <c r="A36" s="233" t="n">
        <v>45763</v>
      </c>
      <c r="B36" s="234" t="s">
        <v>1820</v>
      </c>
      <c r="C36" s="234" t="s">
        <v>192</v>
      </c>
      <c r="D36" s="234" t="s">
        <v>897</v>
      </c>
      <c r="E36" s="234" t="s">
        <v>1821</v>
      </c>
      <c r="F36" s="234" t="s">
        <v>191</v>
      </c>
      <c r="G36" s="234" t="s">
        <v>1522</v>
      </c>
      <c r="H36" s="234" t="s">
        <v>1523</v>
      </c>
      <c r="I36" s="234" t="s">
        <v>1524</v>
      </c>
      <c r="J36" s="234" t="s">
        <v>1525</v>
      </c>
      <c r="K36" s="233" t="n">
        <v>45763</v>
      </c>
      <c r="L36" s="234"/>
      <c r="M36" s="234" t="s">
        <v>1526</v>
      </c>
      <c r="N36" s="234" t="n">
        <v>1</v>
      </c>
      <c r="O36" s="234" t="s">
        <v>1527</v>
      </c>
      <c r="P36" s="234" t="s">
        <v>1528</v>
      </c>
      <c r="Q36" s="234" t="s">
        <v>1529</v>
      </c>
      <c r="R36" s="234" t="s">
        <v>1530</v>
      </c>
      <c r="S36" s="234"/>
      <c r="T36" s="234"/>
      <c r="U36" s="234" t="s">
        <v>1527</v>
      </c>
      <c r="V36" s="234"/>
      <c r="W36" s="234" t="s">
        <v>1530</v>
      </c>
      <c r="X36" s="234"/>
      <c r="Y36" s="234"/>
      <c r="Z36" s="234" t="s">
        <v>1572</v>
      </c>
      <c r="AA36" s="234" t="n">
        <v>68000</v>
      </c>
      <c r="AB36" s="234" t="n">
        <v>80240</v>
      </c>
      <c r="AC36" s="234" t="n">
        <v>0</v>
      </c>
      <c r="AD36" s="234" t="n">
        <v>0</v>
      </c>
      <c r="AE36" s="234" t="s">
        <v>1399</v>
      </c>
      <c r="AF36" s="234"/>
      <c r="AG36" s="233" t="n">
        <v>45764</v>
      </c>
      <c r="AH36" s="234" t="s">
        <v>1537</v>
      </c>
      <c r="AI36" s="234" t="s">
        <v>1538</v>
      </c>
      <c r="AJ36" s="234" t="s">
        <v>1539</v>
      </c>
      <c r="AK36" s="234"/>
      <c r="AL36" s="234"/>
      <c r="AM36" s="234"/>
      <c r="AN36" s="234"/>
      <c r="AO36" s="234"/>
      <c r="AP36" s="234"/>
      <c r="AQ36" s="234"/>
      <c r="AR36" s="234"/>
      <c r="AS36" s="234"/>
      <c r="AT36" s="234" t="s">
        <v>89</v>
      </c>
      <c r="AU36" s="234" t="s">
        <v>1540</v>
      </c>
      <c r="AV36" s="234" t="n">
        <v>0</v>
      </c>
      <c r="AW36" s="234"/>
      <c r="AX36" s="234"/>
      <c r="AY36" s="234"/>
      <c r="AZ36" s="234"/>
      <c r="BA36" s="234"/>
      <c r="BB36" s="234"/>
      <c r="BC36" s="234"/>
      <c r="BD36" s="234" t="s">
        <v>1541</v>
      </c>
      <c r="BE36" s="235" t="s">
        <v>1822</v>
      </c>
      <c r="BF36" s="234" t="n">
        <v>1</v>
      </c>
      <c r="BG36" s="234" t="s">
        <v>1530</v>
      </c>
      <c r="BH36" s="234" t="s">
        <v>1530</v>
      </c>
      <c r="BI36" s="234" t="n">
        <v>68000</v>
      </c>
      <c r="BJ36" s="234" t="s">
        <v>1543</v>
      </c>
      <c r="BK36" s="234" t="n">
        <v>68000</v>
      </c>
      <c r="BL36" s="234" t="s">
        <v>1544</v>
      </c>
      <c r="BM36" s="234"/>
      <c r="BN36" s="234"/>
      <c r="BO36" s="234"/>
      <c r="BP36" s="234"/>
      <c r="BQ36" s="234"/>
      <c r="BR36" s="234" t="s">
        <v>1823</v>
      </c>
      <c r="BS36" s="234" t="s">
        <v>1824</v>
      </c>
      <c r="BT36" s="234" t="s">
        <v>1547</v>
      </c>
      <c r="BU36" s="234" t="s">
        <v>1548</v>
      </c>
      <c r="BV36" s="234" t="s">
        <v>1549</v>
      </c>
      <c r="BW36" s="234" t="s">
        <v>1825</v>
      </c>
      <c r="BX36" s="234"/>
      <c r="BY36" s="234"/>
      <c r="BZ36" s="234"/>
      <c r="CA36" s="234" t="s">
        <v>1823</v>
      </c>
      <c r="CB36" s="234" t="s">
        <v>1824</v>
      </c>
      <c r="CC36" s="234" t="s">
        <v>1547</v>
      </c>
      <c r="CD36" s="234" t="s">
        <v>1548</v>
      </c>
      <c r="CE36" s="234" t="s">
        <v>1549</v>
      </c>
      <c r="CF36" s="234" t="s">
        <v>1825</v>
      </c>
      <c r="CG36" s="234"/>
      <c r="CH36" s="234"/>
      <c r="CI36" s="234" t="s">
        <v>0</v>
      </c>
      <c r="CJ36" s="234" t="s">
        <v>1551</v>
      </c>
      <c r="CK36" s="234" t="s">
        <v>1552</v>
      </c>
      <c r="CL36" s="234" t="s">
        <v>1553</v>
      </c>
      <c r="CM36" s="234" t="s">
        <v>1554</v>
      </c>
      <c r="CN36" s="234" t="s">
        <v>1549</v>
      </c>
      <c r="CO36" s="234" t="s">
        <v>1555</v>
      </c>
      <c r="CP36" s="234" t="s">
        <v>1556</v>
      </c>
      <c r="CQ36" s="234" t="s">
        <v>1557</v>
      </c>
      <c r="CR36" s="234" t="s">
        <v>1530</v>
      </c>
      <c r="CS36" s="234" t="s">
        <v>1530</v>
      </c>
      <c r="CT36" s="234" t="s">
        <v>1558</v>
      </c>
      <c r="CU36" s="234" t="s">
        <v>1530</v>
      </c>
      <c r="CV36" s="234" t="s">
        <v>1530</v>
      </c>
      <c r="CW36" s="234" t="s">
        <v>1530</v>
      </c>
      <c r="CX36" s="234" t="s">
        <v>1826</v>
      </c>
      <c r="CY36" s="234" t="s">
        <v>1530</v>
      </c>
      <c r="CZ36" s="234" t="s">
        <v>1530</v>
      </c>
      <c r="DA36" s="234" t="s">
        <v>1530</v>
      </c>
      <c r="DB36" s="234" t="s">
        <v>1826</v>
      </c>
      <c r="DC36" s="234" t="s">
        <v>1530</v>
      </c>
      <c r="DD36" s="234"/>
      <c r="DE36" s="234"/>
      <c r="DF36" s="234"/>
      <c r="DG36" s="234"/>
      <c r="DH36" s="234"/>
      <c r="DI36" s="234" t="s">
        <v>1572</v>
      </c>
      <c r="DJ36" s="234"/>
      <c r="DK36" s="234"/>
      <c r="DL36" s="234"/>
      <c r="DM36" s="234"/>
      <c r="DN36" s="234"/>
      <c r="DO36" s="234"/>
      <c r="DP36" s="234" t="s">
        <v>1560</v>
      </c>
      <c r="DQ36" s="234" t="n">
        <v>0</v>
      </c>
      <c r="DR36" s="234"/>
      <c r="DS36" s="234"/>
      <c r="DT36" s="234" t="s">
        <v>1827</v>
      </c>
      <c r="DU36" s="234"/>
      <c r="DV36" s="234"/>
      <c r="DW36" s="234"/>
      <c r="DX36" s="234" t="s">
        <v>1561</v>
      </c>
      <c r="DY36" s="234"/>
      <c r="DZ36" s="234"/>
      <c r="EA36" s="234"/>
      <c r="EB36" s="234"/>
      <c r="EC36" s="234"/>
      <c r="ED36" s="234"/>
      <c r="EE36" s="234"/>
      <c r="EF36" s="234"/>
      <c r="EG36" s="234"/>
      <c r="EH36" s="234" t="s">
        <v>1562</v>
      </c>
      <c r="EI36" s="234"/>
      <c r="EJ36" s="234"/>
      <c r="EK36" s="234" t="s">
        <v>1563</v>
      </c>
      <c r="EL36" s="234"/>
      <c r="EM36" s="234" t="s">
        <v>1564</v>
      </c>
      <c r="EN36" s="234" t="s">
        <v>1565</v>
      </c>
      <c r="EO36" s="234" t="s">
        <v>1566</v>
      </c>
      <c r="EP36" s="234" t="s">
        <v>1558</v>
      </c>
      <c r="EQ36" s="234" t="n">
        <v>12240</v>
      </c>
      <c r="ER36" s="234" t="s">
        <v>1567</v>
      </c>
      <c r="ES36" s="234"/>
      <c r="ET36" s="234"/>
    </row>
    <row r="37" customFormat="false" ht="13.5" hidden="false" customHeight="false" outlineLevel="0" collapsed="false">
      <c r="A37" s="233" t="n">
        <v>45765</v>
      </c>
      <c r="B37" s="234" t="s">
        <v>1828</v>
      </c>
      <c r="C37" s="234" t="s">
        <v>194</v>
      </c>
      <c r="D37" s="234" t="s">
        <v>897</v>
      </c>
      <c r="E37" s="234" t="s">
        <v>1829</v>
      </c>
      <c r="F37" s="234" t="s">
        <v>193</v>
      </c>
      <c r="G37" s="234" t="s">
        <v>1632</v>
      </c>
      <c r="H37" s="234" t="s">
        <v>1633</v>
      </c>
      <c r="I37" s="234" t="s">
        <v>1524</v>
      </c>
      <c r="J37" s="234" t="s">
        <v>1525</v>
      </c>
      <c r="K37" s="233" t="n">
        <v>45765</v>
      </c>
      <c r="L37" s="234"/>
      <c r="M37" s="234" t="s">
        <v>1526</v>
      </c>
      <c r="N37" s="234" t="n">
        <v>1</v>
      </c>
      <c r="O37" s="234" t="s">
        <v>1527</v>
      </c>
      <c r="P37" s="234" t="s">
        <v>1528</v>
      </c>
      <c r="Q37" s="234" t="s">
        <v>1529</v>
      </c>
      <c r="R37" s="234" t="s">
        <v>1530</v>
      </c>
      <c r="S37" s="234"/>
      <c r="T37" s="234"/>
      <c r="U37" s="234" t="s">
        <v>1527</v>
      </c>
      <c r="V37" s="234"/>
      <c r="W37" s="234" t="s">
        <v>1530</v>
      </c>
      <c r="X37" s="234"/>
      <c r="Y37" s="234"/>
      <c r="Z37" s="234" t="s">
        <v>1572</v>
      </c>
      <c r="AA37" s="234" t="n">
        <v>5000</v>
      </c>
      <c r="AB37" s="234" t="n">
        <v>5900</v>
      </c>
      <c r="AC37" s="234" t="n">
        <v>0</v>
      </c>
      <c r="AD37" s="234" t="n">
        <v>0</v>
      </c>
      <c r="AE37" s="234" t="s">
        <v>1399</v>
      </c>
      <c r="AF37" s="234"/>
      <c r="AG37" s="233" t="n">
        <v>45765</v>
      </c>
      <c r="AH37" s="234" t="s">
        <v>1537</v>
      </c>
      <c r="AI37" s="234" t="s">
        <v>1538</v>
      </c>
      <c r="AJ37" s="234" t="s">
        <v>1539</v>
      </c>
      <c r="AK37" s="234"/>
      <c r="AL37" s="234"/>
      <c r="AM37" s="234"/>
      <c r="AN37" s="234"/>
      <c r="AO37" s="234"/>
      <c r="AP37" s="234"/>
      <c r="AQ37" s="234"/>
      <c r="AR37" s="234"/>
      <c r="AS37" s="234"/>
      <c r="AT37" s="234" t="s">
        <v>89</v>
      </c>
      <c r="AU37" s="234" t="s">
        <v>1540</v>
      </c>
      <c r="AV37" s="234" t="n">
        <v>0</v>
      </c>
      <c r="AW37" s="234"/>
      <c r="AX37" s="234"/>
      <c r="AY37" s="234"/>
      <c r="AZ37" s="234"/>
      <c r="BA37" s="234"/>
      <c r="BB37" s="234"/>
      <c r="BC37" s="234"/>
      <c r="BD37" s="234" t="s">
        <v>1541</v>
      </c>
      <c r="BE37" s="235" t="s">
        <v>1830</v>
      </c>
      <c r="BF37" s="234" t="n">
        <v>1</v>
      </c>
      <c r="BG37" s="234" t="s">
        <v>1530</v>
      </c>
      <c r="BH37" s="234" t="s">
        <v>1530</v>
      </c>
      <c r="BI37" s="234" t="n">
        <v>5000</v>
      </c>
      <c r="BJ37" s="234" t="s">
        <v>1543</v>
      </c>
      <c r="BK37" s="234" t="n">
        <v>5000</v>
      </c>
      <c r="BL37" s="234" t="s">
        <v>1544</v>
      </c>
      <c r="BM37" s="234"/>
      <c r="BN37" s="234"/>
      <c r="BO37" s="234"/>
      <c r="BP37" s="234"/>
      <c r="BQ37" s="234"/>
      <c r="BR37" s="234" t="s">
        <v>1831</v>
      </c>
      <c r="BS37" s="234"/>
      <c r="BT37" s="234" t="s">
        <v>1832</v>
      </c>
      <c r="BU37" s="234" t="s">
        <v>1554</v>
      </c>
      <c r="BV37" s="234" t="s">
        <v>1549</v>
      </c>
      <c r="BW37" s="234"/>
      <c r="BX37" s="234"/>
      <c r="BY37" s="234"/>
      <c r="BZ37" s="234"/>
      <c r="CA37" s="234" t="s">
        <v>1831</v>
      </c>
      <c r="CB37" s="234"/>
      <c r="CC37" s="234" t="s">
        <v>1832</v>
      </c>
      <c r="CD37" s="234" t="s">
        <v>1554</v>
      </c>
      <c r="CE37" s="234" t="s">
        <v>1549</v>
      </c>
      <c r="CF37" s="234"/>
      <c r="CG37" s="234"/>
      <c r="CH37" s="234"/>
      <c r="CI37" s="234" t="s">
        <v>0</v>
      </c>
      <c r="CJ37" s="234" t="s">
        <v>1551</v>
      </c>
      <c r="CK37" s="234" t="s">
        <v>1552</v>
      </c>
      <c r="CL37" s="234" t="s">
        <v>1553</v>
      </c>
      <c r="CM37" s="234" t="s">
        <v>1554</v>
      </c>
      <c r="CN37" s="234" t="s">
        <v>1549</v>
      </c>
      <c r="CO37" s="234" t="s">
        <v>1555</v>
      </c>
      <c r="CP37" s="234" t="s">
        <v>1556</v>
      </c>
      <c r="CQ37" s="234" t="s">
        <v>1557</v>
      </c>
      <c r="CR37" s="234" t="s">
        <v>1635</v>
      </c>
      <c r="CS37" s="234" t="s">
        <v>1635</v>
      </c>
      <c r="CT37" s="234" t="s">
        <v>1530</v>
      </c>
      <c r="CU37" s="234" t="s">
        <v>1530</v>
      </c>
      <c r="CV37" s="234" t="s">
        <v>1644</v>
      </c>
      <c r="CW37" s="234" t="s">
        <v>1644</v>
      </c>
      <c r="CX37" s="234" t="s">
        <v>1530</v>
      </c>
      <c r="CY37" s="234" t="s">
        <v>1530</v>
      </c>
      <c r="CZ37" s="234" t="s">
        <v>1644</v>
      </c>
      <c r="DA37" s="234" t="s">
        <v>1644</v>
      </c>
      <c r="DB37" s="234" t="s">
        <v>1530</v>
      </c>
      <c r="DC37" s="234" t="s">
        <v>1530</v>
      </c>
      <c r="DD37" s="234"/>
      <c r="DE37" s="234"/>
      <c r="DF37" s="234"/>
      <c r="DG37" s="234"/>
      <c r="DH37" s="234"/>
      <c r="DI37" s="234" t="s">
        <v>1572</v>
      </c>
      <c r="DJ37" s="234"/>
      <c r="DK37" s="234"/>
      <c r="DL37" s="234"/>
      <c r="DM37" s="234"/>
      <c r="DN37" s="234"/>
      <c r="DO37" s="234"/>
      <c r="DP37" s="234" t="s">
        <v>1560</v>
      </c>
      <c r="DQ37" s="234" t="n">
        <v>0</v>
      </c>
      <c r="DR37" s="234"/>
      <c r="DS37" s="234"/>
      <c r="DT37" s="234"/>
      <c r="DU37" s="234"/>
      <c r="DV37" s="234"/>
      <c r="DW37" s="234"/>
      <c r="DX37" s="234" t="s">
        <v>1561</v>
      </c>
      <c r="DY37" s="234"/>
      <c r="DZ37" s="234"/>
      <c r="EA37" s="234"/>
      <c r="EB37" s="234"/>
      <c r="EC37" s="234"/>
      <c r="ED37" s="234"/>
      <c r="EE37" s="234"/>
      <c r="EF37" s="234"/>
      <c r="EG37" s="234"/>
      <c r="EH37" s="234" t="s">
        <v>1562</v>
      </c>
      <c r="EI37" s="234"/>
      <c r="EJ37" s="234"/>
      <c r="EK37" s="234" t="s">
        <v>1563</v>
      </c>
      <c r="EL37" s="234"/>
      <c r="EM37" s="234" t="s">
        <v>1564</v>
      </c>
      <c r="EN37" s="234" t="s">
        <v>1637</v>
      </c>
      <c r="EO37" s="234" t="s">
        <v>1638</v>
      </c>
      <c r="EP37" s="234" t="s">
        <v>1558</v>
      </c>
      <c r="EQ37" s="234" t="n">
        <v>900</v>
      </c>
      <c r="ER37" s="234" t="s">
        <v>1639</v>
      </c>
      <c r="ES37" s="234"/>
      <c r="ET37" s="234"/>
    </row>
    <row r="38" customFormat="false" ht="13.5" hidden="false" customHeight="false" outlineLevel="0" collapsed="false">
      <c r="A38" s="233" t="n">
        <v>45768</v>
      </c>
      <c r="B38" s="234" t="s">
        <v>1833</v>
      </c>
      <c r="C38" s="234" t="s">
        <v>196</v>
      </c>
      <c r="D38" s="234" t="s">
        <v>897</v>
      </c>
      <c r="E38" s="234" t="s">
        <v>1834</v>
      </c>
      <c r="F38" s="234" t="s">
        <v>749</v>
      </c>
      <c r="G38" s="234" t="s">
        <v>1522</v>
      </c>
      <c r="H38" s="234" t="s">
        <v>1523</v>
      </c>
      <c r="I38" s="234" t="s">
        <v>1595</v>
      </c>
      <c r="J38" s="234" t="s">
        <v>1525</v>
      </c>
      <c r="K38" s="233" t="n">
        <v>45768</v>
      </c>
      <c r="L38" s="234"/>
      <c r="M38" s="234" t="s">
        <v>1526</v>
      </c>
      <c r="N38" s="234" t="n">
        <v>1</v>
      </c>
      <c r="O38" s="234" t="s">
        <v>1527</v>
      </c>
      <c r="P38" s="234" t="s">
        <v>1528</v>
      </c>
      <c r="Q38" s="234" t="s">
        <v>1529</v>
      </c>
      <c r="R38" s="234" t="s">
        <v>1530</v>
      </c>
      <c r="S38" s="234"/>
      <c r="T38" s="234"/>
      <c r="U38" s="234" t="s">
        <v>1527</v>
      </c>
      <c r="V38" s="234"/>
      <c r="W38" s="234" t="s">
        <v>1530</v>
      </c>
      <c r="X38" s="234"/>
      <c r="Y38" s="234"/>
      <c r="Z38" s="234" t="s">
        <v>1572</v>
      </c>
      <c r="AA38" s="234" t="n">
        <v>20000</v>
      </c>
      <c r="AB38" s="234" t="n">
        <v>23600</v>
      </c>
      <c r="AC38" s="234" t="n">
        <v>0</v>
      </c>
      <c r="AD38" s="234" t="n">
        <v>0</v>
      </c>
      <c r="AE38" s="234" t="s">
        <v>1399</v>
      </c>
      <c r="AF38" s="234"/>
      <c r="AG38" s="233" t="n">
        <v>45768</v>
      </c>
      <c r="AH38" s="234" t="s">
        <v>1537</v>
      </c>
      <c r="AI38" s="234" t="s">
        <v>1538</v>
      </c>
      <c r="AJ38" s="234" t="s">
        <v>1539</v>
      </c>
      <c r="AK38" s="234"/>
      <c r="AL38" s="234"/>
      <c r="AM38" s="234"/>
      <c r="AN38" s="234"/>
      <c r="AO38" s="234"/>
      <c r="AP38" s="234"/>
      <c r="AQ38" s="234"/>
      <c r="AR38" s="234"/>
      <c r="AS38" s="234"/>
      <c r="AT38" s="234" t="s">
        <v>89</v>
      </c>
      <c r="AU38" s="234" t="s">
        <v>1540</v>
      </c>
      <c r="AV38" s="234" t="n">
        <v>0</v>
      </c>
      <c r="AW38" s="234"/>
      <c r="AX38" s="234"/>
      <c r="AY38" s="234"/>
      <c r="AZ38" s="234"/>
      <c r="BA38" s="234"/>
      <c r="BB38" s="234"/>
      <c r="BC38" s="234"/>
      <c r="BD38" s="234" t="s">
        <v>1541</v>
      </c>
      <c r="BE38" s="235" t="s">
        <v>1835</v>
      </c>
      <c r="BF38" s="234" t="n">
        <v>1</v>
      </c>
      <c r="BG38" s="234" t="s">
        <v>1530</v>
      </c>
      <c r="BH38" s="234" t="s">
        <v>1530</v>
      </c>
      <c r="BI38" s="234" t="n">
        <v>20000</v>
      </c>
      <c r="BJ38" s="234" t="s">
        <v>1543</v>
      </c>
      <c r="BK38" s="234" t="n">
        <v>20000</v>
      </c>
      <c r="BL38" s="234" t="s">
        <v>1544</v>
      </c>
      <c r="BM38" s="234"/>
      <c r="BN38" s="234"/>
      <c r="BO38" s="234"/>
      <c r="BP38" s="234"/>
      <c r="BQ38" s="234"/>
      <c r="BR38" s="234" t="s">
        <v>1836</v>
      </c>
      <c r="BS38" s="235" t="s">
        <v>1837</v>
      </c>
      <c r="BT38" s="234" t="s">
        <v>1547</v>
      </c>
      <c r="BU38" s="234" t="s">
        <v>1548</v>
      </c>
      <c r="BV38" s="234" t="s">
        <v>1549</v>
      </c>
      <c r="BW38" s="234" t="s">
        <v>1838</v>
      </c>
      <c r="BX38" s="234"/>
      <c r="BY38" s="234"/>
      <c r="BZ38" s="234"/>
      <c r="CA38" s="234" t="s">
        <v>1836</v>
      </c>
      <c r="CB38" s="235" t="s">
        <v>1837</v>
      </c>
      <c r="CC38" s="234" t="s">
        <v>1547</v>
      </c>
      <c r="CD38" s="234" t="s">
        <v>1548</v>
      </c>
      <c r="CE38" s="234" t="s">
        <v>1549</v>
      </c>
      <c r="CF38" s="234" t="s">
        <v>1838</v>
      </c>
      <c r="CG38" s="234"/>
      <c r="CH38" s="234"/>
      <c r="CI38" s="234" t="s">
        <v>0</v>
      </c>
      <c r="CJ38" s="234" t="s">
        <v>1551</v>
      </c>
      <c r="CK38" s="234" t="s">
        <v>1552</v>
      </c>
      <c r="CL38" s="234" t="s">
        <v>1553</v>
      </c>
      <c r="CM38" s="234" t="s">
        <v>1554</v>
      </c>
      <c r="CN38" s="234" t="s">
        <v>1549</v>
      </c>
      <c r="CO38" s="234" t="s">
        <v>1555</v>
      </c>
      <c r="CP38" s="234" t="s">
        <v>1556</v>
      </c>
      <c r="CQ38" s="234" t="s">
        <v>1557</v>
      </c>
      <c r="CR38" s="234" t="s">
        <v>1530</v>
      </c>
      <c r="CS38" s="234" t="s">
        <v>1530</v>
      </c>
      <c r="CT38" s="234" t="s">
        <v>1558</v>
      </c>
      <c r="CU38" s="234" t="s">
        <v>1530</v>
      </c>
      <c r="CV38" s="234" t="s">
        <v>1530</v>
      </c>
      <c r="CW38" s="234" t="s">
        <v>1530</v>
      </c>
      <c r="CX38" s="234" t="s">
        <v>1806</v>
      </c>
      <c r="CY38" s="234" t="s">
        <v>1530</v>
      </c>
      <c r="CZ38" s="234" t="s">
        <v>1530</v>
      </c>
      <c r="DA38" s="234" t="s">
        <v>1530</v>
      </c>
      <c r="DB38" s="234" t="s">
        <v>1806</v>
      </c>
      <c r="DC38" s="234" t="s">
        <v>1530</v>
      </c>
      <c r="DD38" s="234"/>
      <c r="DE38" s="234"/>
      <c r="DF38" s="234"/>
      <c r="DG38" s="234"/>
      <c r="DH38" s="234"/>
      <c r="DI38" s="234" t="s">
        <v>1572</v>
      </c>
      <c r="DJ38" s="234"/>
      <c r="DK38" s="234"/>
      <c r="DL38" s="234" t="s">
        <v>1839</v>
      </c>
      <c r="DM38" s="234"/>
      <c r="DN38" s="234"/>
      <c r="DO38" s="234"/>
      <c r="DP38" s="234" t="s">
        <v>1560</v>
      </c>
      <c r="DQ38" s="234" t="n">
        <v>0</v>
      </c>
      <c r="DR38" s="234"/>
      <c r="DS38" s="234"/>
      <c r="DT38" s="234"/>
      <c r="DU38" s="234"/>
      <c r="DV38" s="234"/>
      <c r="DW38" s="234"/>
      <c r="DX38" s="234" t="s">
        <v>1561</v>
      </c>
      <c r="DY38" s="234"/>
      <c r="DZ38" s="234"/>
      <c r="EA38" s="234"/>
      <c r="EB38" s="234"/>
      <c r="EC38" s="234"/>
      <c r="ED38" s="234"/>
      <c r="EE38" s="234"/>
      <c r="EF38" s="234"/>
      <c r="EG38" s="234"/>
      <c r="EH38" s="234" t="s">
        <v>1562</v>
      </c>
      <c r="EI38" s="234"/>
      <c r="EJ38" s="234"/>
      <c r="EK38" s="234" t="s">
        <v>1563</v>
      </c>
      <c r="EL38" s="234"/>
      <c r="EM38" s="234" t="s">
        <v>1564</v>
      </c>
      <c r="EN38" s="234" t="s">
        <v>1565</v>
      </c>
      <c r="EO38" s="234" t="s">
        <v>1566</v>
      </c>
      <c r="EP38" s="234" t="s">
        <v>1558</v>
      </c>
      <c r="EQ38" s="234" t="n">
        <v>3600</v>
      </c>
      <c r="ER38" s="234" t="s">
        <v>1567</v>
      </c>
      <c r="ES38" s="234"/>
      <c r="ET38" s="234"/>
    </row>
    <row r="39" customFormat="false" ht="13.5" hidden="false" customHeight="false" outlineLevel="0" collapsed="false">
      <c r="A39" s="233" t="n">
        <v>45769</v>
      </c>
      <c r="B39" s="234" t="s">
        <v>1840</v>
      </c>
      <c r="C39" s="234" t="s">
        <v>198</v>
      </c>
      <c r="D39" s="234" t="s">
        <v>897</v>
      </c>
      <c r="E39" s="234" t="s">
        <v>1841</v>
      </c>
      <c r="F39" s="234" t="s">
        <v>197</v>
      </c>
      <c r="G39" s="234" t="s">
        <v>1522</v>
      </c>
      <c r="H39" s="234" t="s">
        <v>1523</v>
      </c>
      <c r="I39" s="234" t="s">
        <v>1524</v>
      </c>
      <c r="J39" s="234" t="s">
        <v>1525</v>
      </c>
      <c r="K39" s="233" t="n">
        <v>45769</v>
      </c>
      <c r="L39" s="234"/>
      <c r="M39" s="234" t="s">
        <v>1526</v>
      </c>
      <c r="N39" s="234" t="n">
        <v>1</v>
      </c>
      <c r="O39" s="234" t="s">
        <v>1527</v>
      </c>
      <c r="P39" s="234" t="s">
        <v>1528</v>
      </c>
      <c r="Q39" s="234" t="s">
        <v>1529</v>
      </c>
      <c r="R39" s="234" t="s">
        <v>1530</v>
      </c>
      <c r="S39" s="234"/>
      <c r="T39" s="234"/>
      <c r="U39" s="234" t="s">
        <v>1531</v>
      </c>
      <c r="V39" s="234" t="s">
        <v>1532</v>
      </c>
      <c r="W39" s="234" t="s">
        <v>1533</v>
      </c>
      <c r="X39" s="234" t="s">
        <v>1534</v>
      </c>
      <c r="Y39" s="234" t="s">
        <v>1535</v>
      </c>
      <c r="Z39" s="234" t="s">
        <v>1842</v>
      </c>
      <c r="AA39" s="234" t="n">
        <v>148305</v>
      </c>
      <c r="AB39" s="234" t="n">
        <v>172034</v>
      </c>
      <c r="AC39" s="234" t="n">
        <v>0</v>
      </c>
      <c r="AD39" s="234" t="n">
        <v>0.2</v>
      </c>
      <c r="AE39" s="234" t="s">
        <v>1399</v>
      </c>
      <c r="AF39" s="234"/>
      <c r="AG39" s="233" t="n">
        <v>45778</v>
      </c>
      <c r="AH39" s="234" t="s">
        <v>1537</v>
      </c>
      <c r="AI39" s="234" t="s">
        <v>1538</v>
      </c>
      <c r="AJ39" s="234" t="s">
        <v>1539</v>
      </c>
      <c r="AK39" s="234"/>
      <c r="AL39" s="234"/>
      <c r="AM39" s="234"/>
      <c r="AN39" s="234"/>
      <c r="AO39" s="234"/>
      <c r="AP39" s="234"/>
      <c r="AQ39" s="234"/>
      <c r="AR39" s="234"/>
      <c r="AS39" s="234"/>
      <c r="AT39" s="234" t="s">
        <v>89</v>
      </c>
      <c r="AU39" s="234" t="s">
        <v>1540</v>
      </c>
      <c r="AV39" s="234" t="n">
        <v>0</v>
      </c>
      <c r="AW39" s="234"/>
      <c r="AX39" s="234"/>
      <c r="AY39" s="234"/>
      <c r="AZ39" s="234"/>
      <c r="BA39" s="234"/>
      <c r="BB39" s="234"/>
      <c r="BC39" s="234"/>
      <c r="BD39" s="234" t="s">
        <v>1541</v>
      </c>
      <c r="BE39" s="235" t="s">
        <v>1843</v>
      </c>
      <c r="BF39" s="234" t="n">
        <v>1</v>
      </c>
      <c r="BG39" s="234" t="s">
        <v>1530</v>
      </c>
      <c r="BH39" s="234" t="s">
        <v>1530</v>
      </c>
      <c r="BI39" s="234" t="n">
        <v>148305</v>
      </c>
      <c r="BJ39" s="234" t="s">
        <v>1543</v>
      </c>
      <c r="BK39" s="234" t="n">
        <v>148305</v>
      </c>
      <c r="BL39" s="234" t="s">
        <v>1544</v>
      </c>
      <c r="BM39" s="234"/>
      <c r="BN39" s="234"/>
      <c r="BO39" s="234"/>
      <c r="BP39" s="234"/>
      <c r="BQ39" s="234"/>
      <c r="BR39" s="235" t="s">
        <v>1844</v>
      </c>
      <c r="BS39" s="234" t="s">
        <v>1845</v>
      </c>
      <c r="BT39" s="234" t="s">
        <v>1547</v>
      </c>
      <c r="BU39" s="234" t="s">
        <v>1548</v>
      </c>
      <c r="BV39" s="234" t="s">
        <v>1549</v>
      </c>
      <c r="BW39" s="234" t="s">
        <v>1846</v>
      </c>
      <c r="BX39" s="234"/>
      <c r="BY39" s="234"/>
      <c r="BZ39" s="234"/>
      <c r="CA39" s="235" t="s">
        <v>1844</v>
      </c>
      <c r="CB39" s="234" t="s">
        <v>1845</v>
      </c>
      <c r="CC39" s="234" t="s">
        <v>1547</v>
      </c>
      <c r="CD39" s="234" t="s">
        <v>1548</v>
      </c>
      <c r="CE39" s="234" t="s">
        <v>1549</v>
      </c>
      <c r="CF39" s="234" t="s">
        <v>1846</v>
      </c>
      <c r="CG39" s="234"/>
      <c r="CH39" s="234"/>
      <c r="CI39" s="234" t="s">
        <v>0</v>
      </c>
      <c r="CJ39" s="234" t="s">
        <v>1551</v>
      </c>
      <c r="CK39" s="234" t="s">
        <v>1552</v>
      </c>
      <c r="CL39" s="234" t="s">
        <v>1553</v>
      </c>
      <c r="CM39" s="234" t="s">
        <v>1554</v>
      </c>
      <c r="CN39" s="234" t="s">
        <v>1549</v>
      </c>
      <c r="CO39" s="234" t="s">
        <v>1555</v>
      </c>
      <c r="CP39" s="234" t="s">
        <v>1556</v>
      </c>
      <c r="CQ39" s="234" t="s">
        <v>1557</v>
      </c>
      <c r="CR39" s="234" t="s">
        <v>1530</v>
      </c>
      <c r="CS39" s="234" t="s">
        <v>1530</v>
      </c>
      <c r="CT39" s="234" t="s">
        <v>1558</v>
      </c>
      <c r="CU39" s="234" t="s">
        <v>1530</v>
      </c>
      <c r="CV39" s="234" t="s">
        <v>1530</v>
      </c>
      <c r="CW39" s="234" t="s">
        <v>1530</v>
      </c>
      <c r="CX39" s="234" t="s">
        <v>1847</v>
      </c>
      <c r="CY39" s="234" t="s">
        <v>1530</v>
      </c>
      <c r="CZ39" s="234" t="s">
        <v>1530</v>
      </c>
      <c r="DA39" s="234" t="s">
        <v>1530</v>
      </c>
      <c r="DB39" s="234" t="s">
        <v>1847</v>
      </c>
      <c r="DC39" s="234" t="s">
        <v>1530</v>
      </c>
      <c r="DD39" s="234"/>
      <c r="DE39" s="234"/>
      <c r="DF39" s="234"/>
      <c r="DG39" s="234"/>
      <c r="DH39" s="234"/>
      <c r="DI39" s="234"/>
      <c r="DJ39" s="234"/>
      <c r="DK39" s="234"/>
      <c r="DL39" s="234"/>
      <c r="DM39" s="234"/>
      <c r="DN39" s="234"/>
      <c r="DO39" s="234"/>
      <c r="DP39" s="234" t="s">
        <v>1560</v>
      </c>
      <c r="DQ39" s="234" t="n">
        <v>0</v>
      </c>
      <c r="DR39" s="234"/>
      <c r="DS39" s="234"/>
      <c r="DT39" s="234"/>
      <c r="DU39" s="234"/>
      <c r="DV39" s="234"/>
      <c r="DW39" s="234"/>
      <c r="DX39" s="234" t="s">
        <v>1561</v>
      </c>
      <c r="DY39" s="234"/>
      <c r="DZ39" s="234"/>
      <c r="EA39" s="234"/>
      <c r="EB39" s="234"/>
      <c r="EC39" s="234"/>
      <c r="ED39" s="234"/>
      <c r="EE39" s="234"/>
      <c r="EF39" s="234"/>
      <c r="EG39" s="234"/>
      <c r="EH39" s="234" t="s">
        <v>1562</v>
      </c>
      <c r="EI39" s="234"/>
      <c r="EJ39" s="234"/>
      <c r="EK39" s="234" t="s">
        <v>1563</v>
      </c>
      <c r="EL39" s="234"/>
      <c r="EM39" s="234" t="s">
        <v>1564</v>
      </c>
      <c r="EN39" s="234" t="s">
        <v>1565</v>
      </c>
      <c r="EO39" s="234" t="s">
        <v>1566</v>
      </c>
      <c r="EP39" s="234" t="s">
        <v>1558</v>
      </c>
      <c r="EQ39" s="234" t="n">
        <v>26694.9</v>
      </c>
      <c r="ER39" s="234" t="s">
        <v>1567</v>
      </c>
      <c r="ES39" s="234"/>
      <c r="ET39" s="234"/>
    </row>
    <row r="40" customFormat="false" ht="13.5" hidden="false" customHeight="false" outlineLevel="0" collapsed="false">
      <c r="A40" s="233" t="n">
        <v>45770</v>
      </c>
      <c r="B40" s="234" t="s">
        <v>1848</v>
      </c>
      <c r="C40" s="234" t="s">
        <v>200</v>
      </c>
      <c r="D40" s="234" t="s">
        <v>947</v>
      </c>
      <c r="E40" s="234" t="s">
        <v>1849</v>
      </c>
      <c r="F40" s="234" t="s">
        <v>199</v>
      </c>
      <c r="G40" s="234" t="s">
        <v>1522</v>
      </c>
      <c r="H40" s="234" t="s">
        <v>1523</v>
      </c>
      <c r="I40" s="234" t="s">
        <v>1595</v>
      </c>
      <c r="J40" s="234" t="s">
        <v>1525</v>
      </c>
      <c r="K40" s="233" t="n">
        <v>45770</v>
      </c>
      <c r="L40" s="234"/>
      <c r="M40" s="234" t="s">
        <v>1526</v>
      </c>
      <c r="N40" s="234" t="n">
        <v>1</v>
      </c>
      <c r="O40" s="234" t="s">
        <v>1527</v>
      </c>
      <c r="P40" s="234" t="s">
        <v>1528</v>
      </c>
      <c r="Q40" s="234" t="s">
        <v>1529</v>
      </c>
      <c r="R40" s="234" t="s">
        <v>1530</v>
      </c>
      <c r="S40" s="234"/>
      <c r="T40" s="234"/>
      <c r="U40" s="234" t="s">
        <v>1527</v>
      </c>
      <c r="V40" s="234"/>
      <c r="W40" s="234" t="s">
        <v>1530</v>
      </c>
      <c r="X40" s="234"/>
      <c r="Y40" s="234"/>
      <c r="Z40" s="234" t="s">
        <v>1572</v>
      </c>
      <c r="AA40" s="234" t="n">
        <v>24000</v>
      </c>
      <c r="AB40" s="234" t="n">
        <v>28320</v>
      </c>
      <c r="AC40" s="234" t="n">
        <v>28320</v>
      </c>
      <c r="AD40" s="234" t="n">
        <v>0</v>
      </c>
      <c r="AE40" s="234" t="s">
        <v>1399</v>
      </c>
      <c r="AF40" s="234"/>
      <c r="AG40" s="234"/>
      <c r="AH40" s="234" t="s">
        <v>1537</v>
      </c>
      <c r="AI40" s="234" t="s">
        <v>1538</v>
      </c>
      <c r="AJ40" s="234" t="s">
        <v>1539</v>
      </c>
      <c r="AK40" s="234"/>
      <c r="AL40" s="234"/>
      <c r="AM40" s="234"/>
      <c r="AN40" s="234"/>
      <c r="AO40" s="234"/>
      <c r="AP40" s="234"/>
      <c r="AQ40" s="234"/>
      <c r="AR40" s="234"/>
      <c r="AS40" s="234"/>
      <c r="AT40" s="234" t="s">
        <v>89</v>
      </c>
      <c r="AU40" s="234" t="s">
        <v>1540</v>
      </c>
      <c r="AV40" s="234" t="n">
        <v>0</v>
      </c>
      <c r="AW40" s="234"/>
      <c r="AX40" s="234"/>
      <c r="AY40" s="234"/>
      <c r="AZ40" s="234"/>
      <c r="BA40" s="234"/>
      <c r="BB40" s="234"/>
      <c r="BC40" s="234"/>
      <c r="BD40" s="234" t="s">
        <v>1541</v>
      </c>
      <c r="BE40" s="235" t="s">
        <v>1850</v>
      </c>
      <c r="BF40" s="234" t="n">
        <v>1</v>
      </c>
      <c r="BG40" s="234" t="s">
        <v>1530</v>
      </c>
      <c r="BH40" s="234" t="s">
        <v>1530</v>
      </c>
      <c r="BI40" s="234" t="n">
        <v>24000</v>
      </c>
      <c r="BJ40" s="234" t="s">
        <v>1543</v>
      </c>
      <c r="BK40" s="234" t="n">
        <v>24000</v>
      </c>
      <c r="BL40" s="234" t="s">
        <v>1544</v>
      </c>
      <c r="BM40" s="234"/>
      <c r="BN40" s="234"/>
      <c r="BO40" s="234"/>
      <c r="BP40" s="234"/>
      <c r="BQ40" s="234"/>
      <c r="BR40" s="234" t="s">
        <v>1851</v>
      </c>
      <c r="BS40" s="234" t="s">
        <v>1852</v>
      </c>
      <c r="BT40" s="234" t="s">
        <v>1547</v>
      </c>
      <c r="BU40" s="234" t="s">
        <v>1548</v>
      </c>
      <c r="BV40" s="234" t="s">
        <v>1549</v>
      </c>
      <c r="BW40" s="234" t="s">
        <v>1853</v>
      </c>
      <c r="BX40" s="234"/>
      <c r="BY40" s="234"/>
      <c r="BZ40" s="234"/>
      <c r="CA40" s="234" t="s">
        <v>1851</v>
      </c>
      <c r="CB40" s="234" t="s">
        <v>1852</v>
      </c>
      <c r="CC40" s="234" t="s">
        <v>1547</v>
      </c>
      <c r="CD40" s="234" t="s">
        <v>1548</v>
      </c>
      <c r="CE40" s="234" t="s">
        <v>1549</v>
      </c>
      <c r="CF40" s="234" t="s">
        <v>1853</v>
      </c>
      <c r="CG40" s="234"/>
      <c r="CH40" s="234"/>
      <c r="CI40" s="234" t="s">
        <v>0</v>
      </c>
      <c r="CJ40" s="234" t="s">
        <v>1551</v>
      </c>
      <c r="CK40" s="234" t="s">
        <v>1552</v>
      </c>
      <c r="CL40" s="234" t="s">
        <v>1553</v>
      </c>
      <c r="CM40" s="234" t="s">
        <v>1554</v>
      </c>
      <c r="CN40" s="234" t="s">
        <v>1549</v>
      </c>
      <c r="CO40" s="234" t="s">
        <v>1555</v>
      </c>
      <c r="CP40" s="234" t="s">
        <v>1556</v>
      </c>
      <c r="CQ40" s="234" t="s">
        <v>1557</v>
      </c>
      <c r="CR40" s="234" t="s">
        <v>1530</v>
      </c>
      <c r="CS40" s="234" t="s">
        <v>1530</v>
      </c>
      <c r="CT40" s="234" t="s">
        <v>1558</v>
      </c>
      <c r="CU40" s="234" t="s">
        <v>1530</v>
      </c>
      <c r="CV40" s="234" t="s">
        <v>1530</v>
      </c>
      <c r="CW40" s="234" t="s">
        <v>1530</v>
      </c>
      <c r="CX40" s="234" t="s">
        <v>1854</v>
      </c>
      <c r="CY40" s="234" t="s">
        <v>1530</v>
      </c>
      <c r="CZ40" s="234" t="s">
        <v>1530</v>
      </c>
      <c r="DA40" s="234" t="s">
        <v>1530</v>
      </c>
      <c r="DB40" s="234" t="s">
        <v>1854</v>
      </c>
      <c r="DC40" s="234" t="s">
        <v>1530</v>
      </c>
      <c r="DD40" s="234"/>
      <c r="DE40" s="234"/>
      <c r="DF40" s="234"/>
      <c r="DG40" s="234"/>
      <c r="DH40" s="234"/>
      <c r="DI40" s="234" t="s">
        <v>1572</v>
      </c>
      <c r="DJ40" s="234"/>
      <c r="DK40" s="234"/>
      <c r="DL40" s="234" t="s">
        <v>1855</v>
      </c>
      <c r="DM40" s="234"/>
      <c r="DN40" s="234"/>
      <c r="DO40" s="234"/>
      <c r="DP40" s="234" t="s">
        <v>1560</v>
      </c>
      <c r="DQ40" s="234" t="n">
        <v>0</v>
      </c>
      <c r="DR40" s="234"/>
      <c r="DS40" s="234"/>
      <c r="DT40" s="234"/>
      <c r="DU40" s="234"/>
      <c r="DV40" s="234"/>
      <c r="DW40" s="234"/>
      <c r="DX40" s="234" t="s">
        <v>1561</v>
      </c>
      <c r="DY40" s="234"/>
      <c r="DZ40" s="234"/>
      <c r="EA40" s="234"/>
      <c r="EB40" s="234"/>
      <c r="EC40" s="234"/>
      <c r="ED40" s="234"/>
      <c r="EE40" s="234"/>
      <c r="EF40" s="234"/>
      <c r="EG40" s="234"/>
      <c r="EH40" s="234" t="s">
        <v>1562</v>
      </c>
      <c r="EI40" s="234"/>
      <c r="EJ40" s="234"/>
      <c r="EK40" s="234" t="s">
        <v>1563</v>
      </c>
      <c r="EL40" s="234"/>
      <c r="EM40" s="234" t="s">
        <v>1564</v>
      </c>
      <c r="EN40" s="234" t="s">
        <v>1565</v>
      </c>
      <c r="EO40" s="234" t="s">
        <v>1566</v>
      </c>
      <c r="EP40" s="234" t="s">
        <v>1558</v>
      </c>
      <c r="EQ40" s="234" t="n">
        <v>4320</v>
      </c>
      <c r="ER40" s="234" t="s">
        <v>1567</v>
      </c>
      <c r="ES40" s="234"/>
      <c r="ET40" s="234"/>
    </row>
    <row r="41" customFormat="false" ht="13.5" hidden="false" customHeight="false" outlineLevel="0" collapsed="false">
      <c r="A41" s="233" t="n">
        <v>45770</v>
      </c>
      <c r="B41" s="234" t="s">
        <v>1856</v>
      </c>
      <c r="C41" s="234" t="s">
        <v>1005</v>
      </c>
      <c r="D41" s="234" t="s">
        <v>897</v>
      </c>
      <c r="E41" s="234" t="s">
        <v>1857</v>
      </c>
      <c r="F41" s="234" t="s">
        <v>201</v>
      </c>
      <c r="G41" s="234" t="s">
        <v>1522</v>
      </c>
      <c r="H41" s="234" t="s">
        <v>1523</v>
      </c>
      <c r="I41" s="234" t="s">
        <v>1524</v>
      </c>
      <c r="J41" s="234" t="s">
        <v>1525</v>
      </c>
      <c r="K41" s="233" t="n">
        <v>45770</v>
      </c>
      <c r="L41" s="234"/>
      <c r="M41" s="234" t="s">
        <v>1526</v>
      </c>
      <c r="N41" s="234" t="n">
        <v>1</v>
      </c>
      <c r="O41" s="234" t="s">
        <v>1527</v>
      </c>
      <c r="P41" s="234" t="s">
        <v>1528</v>
      </c>
      <c r="Q41" s="234" t="s">
        <v>1529</v>
      </c>
      <c r="R41" s="234" t="s">
        <v>1530</v>
      </c>
      <c r="S41" s="234"/>
      <c r="T41" s="234"/>
      <c r="U41" s="234" t="s">
        <v>1527</v>
      </c>
      <c r="V41" s="234"/>
      <c r="W41" s="234" t="s">
        <v>1530</v>
      </c>
      <c r="X41" s="234"/>
      <c r="Y41" s="234"/>
      <c r="Z41" s="234" t="s">
        <v>1572</v>
      </c>
      <c r="AA41" s="234" t="n">
        <v>15000</v>
      </c>
      <c r="AB41" s="234" t="n">
        <v>17700</v>
      </c>
      <c r="AC41" s="234" t="n">
        <v>0</v>
      </c>
      <c r="AD41" s="234" t="n">
        <v>0</v>
      </c>
      <c r="AE41" s="234" t="s">
        <v>1399</v>
      </c>
      <c r="AF41" s="234"/>
      <c r="AG41" s="233" t="n">
        <v>45774</v>
      </c>
      <c r="AH41" s="234" t="s">
        <v>1537</v>
      </c>
      <c r="AI41" s="234" t="s">
        <v>1538</v>
      </c>
      <c r="AJ41" s="234" t="s">
        <v>1539</v>
      </c>
      <c r="AK41" s="234"/>
      <c r="AL41" s="234"/>
      <c r="AM41" s="234"/>
      <c r="AN41" s="234"/>
      <c r="AO41" s="234"/>
      <c r="AP41" s="234"/>
      <c r="AQ41" s="234"/>
      <c r="AR41" s="234"/>
      <c r="AS41" s="234"/>
      <c r="AT41" s="234" t="s">
        <v>89</v>
      </c>
      <c r="AU41" s="234" t="s">
        <v>1540</v>
      </c>
      <c r="AV41" s="234" t="n">
        <v>0</v>
      </c>
      <c r="AW41" s="234"/>
      <c r="AX41" s="234"/>
      <c r="AY41" s="234"/>
      <c r="AZ41" s="234"/>
      <c r="BA41" s="234"/>
      <c r="BB41" s="234"/>
      <c r="BC41" s="234"/>
      <c r="BD41" s="234" t="s">
        <v>1541</v>
      </c>
      <c r="BE41" s="235" t="s">
        <v>1858</v>
      </c>
      <c r="BF41" s="234" t="n">
        <v>1</v>
      </c>
      <c r="BG41" s="234" t="s">
        <v>1530</v>
      </c>
      <c r="BH41" s="234" t="s">
        <v>1530</v>
      </c>
      <c r="BI41" s="234" t="n">
        <v>15000</v>
      </c>
      <c r="BJ41" s="234" t="s">
        <v>1543</v>
      </c>
      <c r="BK41" s="234" t="n">
        <v>15000</v>
      </c>
      <c r="BL41" s="234" t="s">
        <v>1544</v>
      </c>
      <c r="BM41" s="234"/>
      <c r="BN41" s="234"/>
      <c r="BO41" s="234"/>
      <c r="BP41" s="234"/>
      <c r="BQ41" s="234"/>
      <c r="BR41" s="234" t="s">
        <v>1859</v>
      </c>
      <c r="BS41" s="235" t="s">
        <v>1860</v>
      </c>
      <c r="BT41" s="234" t="s">
        <v>1547</v>
      </c>
      <c r="BU41" s="234" t="s">
        <v>1548</v>
      </c>
      <c r="BV41" s="234" t="s">
        <v>1549</v>
      </c>
      <c r="BW41" s="234" t="s">
        <v>1739</v>
      </c>
      <c r="BX41" s="234"/>
      <c r="BY41" s="234"/>
      <c r="BZ41" s="234"/>
      <c r="CA41" s="234" t="s">
        <v>1859</v>
      </c>
      <c r="CB41" s="235" t="s">
        <v>1860</v>
      </c>
      <c r="CC41" s="234" t="s">
        <v>1547</v>
      </c>
      <c r="CD41" s="234" t="s">
        <v>1548</v>
      </c>
      <c r="CE41" s="234" t="s">
        <v>1549</v>
      </c>
      <c r="CF41" s="234" t="s">
        <v>1739</v>
      </c>
      <c r="CG41" s="234"/>
      <c r="CH41" s="234"/>
      <c r="CI41" s="234" t="s">
        <v>0</v>
      </c>
      <c r="CJ41" s="234" t="s">
        <v>1551</v>
      </c>
      <c r="CK41" s="234" t="s">
        <v>1552</v>
      </c>
      <c r="CL41" s="234" t="s">
        <v>1553</v>
      </c>
      <c r="CM41" s="234" t="s">
        <v>1554</v>
      </c>
      <c r="CN41" s="234" t="s">
        <v>1549</v>
      </c>
      <c r="CO41" s="234" t="s">
        <v>1555</v>
      </c>
      <c r="CP41" s="234" t="s">
        <v>1556</v>
      </c>
      <c r="CQ41" s="234" t="s">
        <v>1557</v>
      </c>
      <c r="CR41" s="234" t="s">
        <v>1530</v>
      </c>
      <c r="CS41" s="234" t="s">
        <v>1530</v>
      </c>
      <c r="CT41" s="234" t="s">
        <v>1558</v>
      </c>
      <c r="CU41" s="234" t="s">
        <v>1530</v>
      </c>
      <c r="CV41" s="234" t="s">
        <v>1530</v>
      </c>
      <c r="CW41" s="234" t="s">
        <v>1530</v>
      </c>
      <c r="CX41" s="234" t="s">
        <v>1740</v>
      </c>
      <c r="CY41" s="234" t="s">
        <v>1530</v>
      </c>
      <c r="CZ41" s="234" t="s">
        <v>1530</v>
      </c>
      <c r="DA41" s="234" t="s">
        <v>1530</v>
      </c>
      <c r="DB41" s="234" t="s">
        <v>1740</v>
      </c>
      <c r="DC41" s="234" t="s">
        <v>1530</v>
      </c>
      <c r="DD41" s="234"/>
      <c r="DE41" s="234"/>
      <c r="DF41" s="234"/>
      <c r="DG41" s="234"/>
      <c r="DH41" s="234"/>
      <c r="DI41" s="234" t="s">
        <v>1572</v>
      </c>
      <c r="DJ41" s="234"/>
      <c r="DK41" s="234"/>
      <c r="DL41" s="234"/>
      <c r="DM41" s="234"/>
      <c r="DN41" s="234"/>
      <c r="DO41" s="234"/>
      <c r="DP41" s="234" t="s">
        <v>1560</v>
      </c>
      <c r="DQ41" s="234" t="n">
        <v>0</v>
      </c>
      <c r="DR41" s="234"/>
      <c r="DS41" s="234"/>
      <c r="DT41" s="234" t="s">
        <v>1861</v>
      </c>
      <c r="DU41" s="234"/>
      <c r="DV41" s="234"/>
      <c r="DW41" s="234"/>
      <c r="DX41" s="234" t="s">
        <v>1561</v>
      </c>
      <c r="DY41" s="234"/>
      <c r="DZ41" s="234"/>
      <c r="EA41" s="234"/>
      <c r="EB41" s="234"/>
      <c r="EC41" s="234"/>
      <c r="ED41" s="234"/>
      <c r="EE41" s="234"/>
      <c r="EF41" s="234"/>
      <c r="EG41" s="234"/>
      <c r="EH41" s="234" t="s">
        <v>1562</v>
      </c>
      <c r="EI41" s="234"/>
      <c r="EJ41" s="234"/>
      <c r="EK41" s="234" t="s">
        <v>1563</v>
      </c>
      <c r="EL41" s="234"/>
      <c r="EM41" s="234" t="s">
        <v>1564</v>
      </c>
      <c r="EN41" s="234" t="s">
        <v>1565</v>
      </c>
      <c r="EO41" s="234" t="s">
        <v>1566</v>
      </c>
      <c r="EP41" s="234" t="s">
        <v>1558</v>
      </c>
      <c r="EQ41" s="234" t="n">
        <v>2700</v>
      </c>
      <c r="ER41" s="234" t="s">
        <v>1567</v>
      </c>
      <c r="ES41" s="234"/>
      <c r="ET41" s="234"/>
    </row>
    <row r="42" customFormat="false" ht="13.5" hidden="false" customHeight="false" outlineLevel="0" collapsed="false">
      <c r="A42" s="233" t="n">
        <v>45771</v>
      </c>
      <c r="B42" s="234" t="s">
        <v>1862</v>
      </c>
      <c r="C42" s="234" t="s">
        <v>204</v>
      </c>
      <c r="D42" s="234" t="s">
        <v>947</v>
      </c>
      <c r="E42" s="234" t="s">
        <v>1863</v>
      </c>
      <c r="F42" s="234" t="s">
        <v>203</v>
      </c>
      <c r="G42" s="234" t="s">
        <v>1570</v>
      </c>
      <c r="H42" s="234" t="s">
        <v>1571</v>
      </c>
      <c r="I42" s="234" t="s">
        <v>1524</v>
      </c>
      <c r="J42" s="234" t="s">
        <v>1525</v>
      </c>
      <c r="K42" s="233" t="n">
        <v>45771</v>
      </c>
      <c r="L42" s="234"/>
      <c r="M42" s="234" t="s">
        <v>1526</v>
      </c>
      <c r="N42" s="234" t="n">
        <v>1</v>
      </c>
      <c r="O42" s="234" t="s">
        <v>1527</v>
      </c>
      <c r="P42" s="234" t="s">
        <v>1528</v>
      </c>
      <c r="Q42" s="234" t="s">
        <v>1529</v>
      </c>
      <c r="R42" s="234" t="s">
        <v>1530</v>
      </c>
      <c r="S42" s="234"/>
      <c r="T42" s="234"/>
      <c r="U42" s="234" t="s">
        <v>1527</v>
      </c>
      <c r="V42" s="234"/>
      <c r="W42" s="234" t="s">
        <v>1530</v>
      </c>
      <c r="X42" s="234"/>
      <c r="Y42" s="234"/>
      <c r="Z42" s="234" t="s">
        <v>1572</v>
      </c>
      <c r="AA42" s="234" t="n">
        <v>10000</v>
      </c>
      <c r="AB42" s="234" t="n">
        <v>11800</v>
      </c>
      <c r="AC42" s="234" t="n">
        <v>11800</v>
      </c>
      <c r="AD42" s="234" t="n">
        <v>0</v>
      </c>
      <c r="AE42" s="234" t="s">
        <v>1399</v>
      </c>
      <c r="AF42" s="234"/>
      <c r="AG42" s="234"/>
      <c r="AH42" s="234" t="s">
        <v>1537</v>
      </c>
      <c r="AI42" s="234" t="s">
        <v>1538</v>
      </c>
      <c r="AJ42" s="234" t="s">
        <v>1539</v>
      </c>
      <c r="AK42" s="234"/>
      <c r="AL42" s="234"/>
      <c r="AM42" s="234"/>
      <c r="AN42" s="234"/>
      <c r="AO42" s="234"/>
      <c r="AP42" s="234"/>
      <c r="AQ42" s="234"/>
      <c r="AR42" s="234"/>
      <c r="AS42" s="234"/>
      <c r="AT42" s="234" t="s">
        <v>89</v>
      </c>
      <c r="AU42" s="234" t="s">
        <v>1540</v>
      </c>
      <c r="AV42" s="234" t="n">
        <v>0</v>
      </c>
      <c r="AW42" s="234"/>
      <c r="AX42" s="234"/>
      <c r="AY42" s="234"/>
      <c r="AZ42" s="234"/>
      <c r="BA42" s="234"/>
      <c r="BB42" s="234"/>
      <c r="BC42" s="234"/>
      <c r="BD42" s="234" t="s">
        <v>1541</v>
      </c>
      <c r="BE42" s="235" t="s">
        <v>1864</v>
      </c>
      <c r="BF42" s="234" t="n">
        <v>1</v>
      </c>
      <c r="BG42" s="234" t="s">
        <v>1530</v>
      </c>
      <c r="BH42" s="234" t="s">
        <v>1530</v>
      </c>
      <c r="BI42" s="234" t="n">
        <v>10000</v>
      </c>
      <c r="BJ42" s="234" t="s">
        <v>1543</v>
      </c>
      <c r="BK42" s="234" t="n">
        <v>10000</v>
      </c>
      <c r="BL42" s="234" t="s">
        <v>1544</v>
      </c>
      <c r="BM42" s="234"/>
      <c r="BN42" s="234"/>
      <c r="BO42" s="234"/>
      <c r="BP42" s="234"/>
      <c r="BQ42" s="234"/>
      <c r="BR42" s="235" t="s">
        <v>1865</v>
      </c>
      <c r="BS42" s="234" t="s">
        <v>1866</v>
      </c>
      <c r="BT42" s="234" t="s">
        <v>1586</v>
      </c>
      <c r="BU42" s="234" t="s">
        <v>1587</v>
      </c>
      <c r="BV42" s="234" t="s">
        <v>1549</v>
      </c>
      <c r="BW42" s="234" t="s">
        <v>1867</v>
      </c>
      <c r="BX42" s="234"/>
      <c r="BY42" s="234"/>
      <c r="BZ42" s="234"/>
      <c r="CA42" s="235" t="s">
        <v>1865</v>
      </c>
      <c r="CB42" s="234" t="s">
        <v>1866</v>
      </c>
      <c r="CC42" s="234" t="s">
        <v>1586</v>
      </c>
      <c r="CD42" s="234" t="s">
        <v>1587</v>
      </c>
      <c r="CE42" s="234" t="s">
        <v>1549</v>
      </c>
      <c r="CF42" s="234" t="s">
        <v>1867</v>
      </c>
      <c r="CG42" s="234"/>
      <c r="CH42" s="234"/>
      <c r="CI42" s="234" t="s">
        <v>0</v>
      </c>
      <c r="CJ42" s="234" t="s">
        <v>1551</v>
      </c>
      <c r="CK42" s="234" t="s">
        <v>1552</v>
      </c>
      <c r="CL42" s="234" t="s">
        <v>1553</v>
      </c>
      <c r="CM42" s="234" t="s">
        <v>1554</v>
      </c>
      <c r="CN42" s="234" t="s">
        <v>1549</v>
      </c>
      <c r="CO42" s="234" t="s">
        <v>1555</v>
      </c>
      <c r="CP42" s="234" t="s">
        <v>1556</v>
      </c>
      <c r="CQ42" s="234" t="s">
        <v>1557</v>
      </c>
      <c r="CR42" s="234" t="s">
        <v>1530</v>
      </c>
      <c r="CS42" s="234" t="s">
        <v>1530</v>
      </c>
      <c r="CT42" s="234" t="s">
        <v>1558</v>
      </c>
      <c r="CU42" s="234" t="s">
        <v>1530</v>
      </c>
      <c r="CV42" s="234" t="s">
        <v>1530</v>
      </c>
      <c r="CW42" s="234" t="s">
        <v>1530</v>
      </c>
      <c r="CX42" s="234" t="s">
        <v>1701</v>
      </c>
      <c r="CY42" s="234" t="s">
        <v>1530</v>
      </c>
      <c r="CZ42" s="234" t="s">
        <v>1530</v>
      </c>
      <c r="DA42" s="234" t="s">
        <v>1530</v>
      </c>
      <c r="DB42" s="234" t="s">
        <v>1701</v>
      </c>
      <c r="DC42" s="234" t="s">
        <v>1530</v>
      </c>
      <c r="DD42" s="234"/>
      <c r="DE42" s="234"/>
      <c r="DF42" s="234"/>
      <c r="DG42" s="234"/>
      <c r="DH42" s="234"/>
      <c r="DI42" s="234" t="s">
        <v>1572</v>
      </c>
      <c r="DJ42" s="234"/>
      <c r="DK42" s="234"/>
      <c r="DL42" s="234"/>
      <c r="DM42" s="234"/>
      <c r="DN42" s="234"/>
      <c r="DO42" s="234"/>
      <c r="DP42" s="234" t="s">
        <v>1560</v>
      </c>
      <c r="DQ42" s="234" t="n">
        <v>0</v>
      </c>
      <c r="DR42" s="234"/>
      <c r="DS42" s="234"/>
      <c r="DT42" s="234"/>
      <c r="DU42" s="234"/>
      <c r="DV42" s="234"/>
      <c r="DW42" s="234"/>
      <c r="DX42" s="234" t="s">
        <v>1561</v>
      </c>
      <c r="DY42" s="234"/>
      <c r="DZ42" s="234"/>
      <c r="EA42" s="234"/>
      <c r="EB42" s="234"/>
      <c r="EC42" s="234"/>
      <c r="ED42" s="234"/>
      <c r="EE42" s="234"/>
      <c r="EF42" s="234"/>
      <c r="EG42" s="234"/>
      <c r="EH42" s="234" t="s">
        <v>1562</v>
      </c>
      <c r="EI42" s="234"/>
      <c r="EJ42" s="234"/>
      <c r="EK42" s="234" t="s">
        <v>1563</v>
      </c>
      <c r="EL42" s="234"/>
      <c r="EM42" s="234" t="s">
        <v>1564</v>
      </c>
      <c r="EN42" s="234" t="s">
        <v>1565</v>
      </c>
      <c r="EO42" s="234" t="s">
        <v>1566</v>
      </c>
      <c r="EP42" s="234" t="s">
        <v>1558</v>
      </c>
      <c r="EQ42" s="234" t="n">
        <v>1800</v>
      </c>
      <c r="ER42" s="234" t="s">
        <v>1567</v>
      </c>
      <c r="ES42" s="234"/>
      <c r="ET42" s="234"/>
    </row>
    <row r="43" customFormat="false" ht="13.5" hidden="false" customHeight="false" outlineLevel="0" collapsed="false">
      <c r="A43" s="233" t="n">
        <v>45771</v>
      </c>
      <c r="B43" s="234" t="s">
        <v>1868</v>
      </c>
      <c r="C43" s="234" t="s">
        <v>206</v>
      </c>
      <c r="D43" s="234" t="s">
        <v>947</v>
      </c>
      <c r="E43" s="234" t="s">
        <v>1869</v>
      </c>
      <c r="F43" s="234" t="s">
        <v>205</v>
      </c>
      <c r="G43" s="234" t="s">
        <v>1570</v>
      </c>
      <c r="H43" s="234" t="s">
        <v>1571</v>
      </c>
      <c r="I43" s="234" t="s">
        <v>1524</v>
      </c>
      <c r="J43" s="234" t="s">
        <v>1525</v>
      </c>
      <c r="K43" s="233" t="n">
        <v>45771</v>
      </c>
      <c r="L43" s="234"/>
      <c r="M43" s="234" t="s">
        <v>1526</v>
      </c>
      <c r="N43" s="234" t="n">
        <v>1</v>
      </c>
      <c r="O43" s="234" t="s">
        <v>1527</v>
      </c>
      <c r="P43" s="234" t="s">
        <v>1528</v>
      </c>
      <c r="Q43" s="234" t="s">
        <v>1529</v>
      </c>
      <c r="R43" s="234" t="s">
        <v>1530</v>
      </c>
      <c r="S43" s="234"/>
      <c r="T43" s="234"/>
      <c r="U43" s="234" t="s">
        <v>1527</v>
      </c>
      <c r="V43" s="234"/>
      <c r="W43" s="234" t="s">
        <v>1530</v>
      </c>
      <c r="X43" s="234"/>
      <c r="Y43" s="234"/>
      <c r="Z43" s="234" t="s">
        <v>1572</v>
      </c>
      <c r="AA43" s="234" t="n">
        <v>30000</v>
      </c>
      <c r="AB43" s="234" t="n">
        <v>35400</v>
      </c>
      <c r="AC43" s="234" t="n">
        <v>35400</v>
      </c>
      <c r="AD43" s="234" t="n">
        <v>0</v>
      </c>
      <c r="AE43" s="234" t="s">
        <v>1399</v>
      </c>
      <c r="AF43" s="234"/>
      <c r="AG43" s="234"/>
      <c r="AH43" s="234" t="s">
        <v>1537</v>
      </c>
      <c r="AI43" s="234" t="s">
        <v>1870</v>
      </c>
      <c r="AJ43" s="234" t="s">
        <v>1539</v>
      </c>
      <c r="AK43" s="234"/>
      <c r="AL43" s="234"/>
      <c r="AM43" s="234"/>
      <c r="AN43" s="234"/>
      <c r="AO43" s="234"/>
      <c r="AP43" s="234"/>
      <c r="AQ43" s="234"/>
      <c r="AR43" s="234"/>
      <c r="AS43" s="234"/>
      <c r="AT43" s="234" t="s">
        <v>89</v>
      </c>
      <c r="AU43" s="234" t="s">
        <v>1540</v>
      </c>
      <c r="AV43" s="234" t="n">
        <v>0</v>
      </c>
      <c r="AW43" s="234"/>
      <c r="AX43" s="234"/>
      <c r="AY43" s="234"/>
      <c r="AZ43" s="234"/>
      <c r="BA43" s="234"/>
      <c r="BB43" s="234"/>
      <c r="BC43" s="234"/>
      <c r="BD43" s="234" t="s">
        <v>1541</v>
      </c>
      <c r="BE43" s="235" t="s">
        <v>1871</v>
      </c>
      <c r="BF43" s="234" t="n">
        <v>1</v>
      </c>
      <c r="BG43" s="234" t="s">
        <v>1530</v>
      </c>
      <c r="BH43" s="234" t="s">
        <v>1530</v>
      </c>
      <c r="BI43" s="234" t="n">
        <v>30000</v>
      </c>
      <c r="BJ43" s="234" t="s">
        <v>1543</v>
      </c>
      <c r="BK43" s="234" t="n">
        <v>30000</v>
      </c>
      <c r="BL43" s="234" t="s">
        <v>1544</v>
      </c>
      <c r="BM43" s="234"/>
      <c r="BN43" s="234"/>
      <c r="BO43" s="234"/>
      <c r="BP43" s="234"/>
      <c r="BQ43" s="234"/>
      <c r="BR43" s="234" t="s">
        <v>1872</v>
      </c>
      <c r="BS43" s="234" t="s">
        <v>1873</v>
      </c>
      <c r="BT43" s="234" t="s">
        <v>1586</v>
      </c>
      <c r="BU43" s="234" t="s">
        <v>1587</v>
      </c>
      <c r="BV43" s="234" t="s">
        <v>1549</v>
      </c>
      <c r="BW43" s="234" t="s">
        <v>1874</v>
      </c>
      <c r="BX43" s="234"/>
      <c r="BY43" s="234"/>
      <c r="BZ43" s="234"/>
      <c r="CA43" s="234" t="s">
        <v>1872</v>
      </c>
      <c r="CB43" s="234" t="s">
        <v>1873</v>
      </c>
      <c r="CC43" s="234" t="s">
        <v>1586</v>
      </c>
      <c r="CD43" s="234" t="s">
        <v>1587</v>
      </c>
      <c r="CE43" s="234" t="s">
        <v>1549</v>
      </c>
      <c r="CF43" s="234" t="s">
        <v>1874</v>
      </c>
      <c r="CG43" s="234"/>
      <c r="CH43" s="234"/>
      <c r="CI43" s="234" t="s">
        <v>0</v>
      </c>
      <c r="CJ43" s="234" t="s">
        <v>1551</v>
      </c>
      <c r="CK43" s="234" t="s">
        <v>1552</v>
      </c>
      <c r="CL43" s="234" t="s">
        <v>1553</v>
      </c>
      <c r="CM43" s="234" t="s">
        <v>1554</v>
      </c>
      <c r="CN43" s="234" t="s">
        <v>1549</v>
      </c>
      <c r="CO43" s="234" t="s">
        <v>1555</v>
      </c>
      <c r="CP43" s="234" t="s">
        <v>1556</v>
      </c>
      <c r="CQ43" s="234" t="s">
        <v>1557</v>
      </c>
      <c r="CR43" s="234" t="s">
        <v>1530</v>
      </c>
      <c r="CS43" s="234" t="s">
        <v>1530</v>
      </c>
      <c r="CT43" s="234" t="s">
        <v>1558</v>
      </c>
      <c r="CU43" s="234" t="s">
        <v>1530</v>
      </c>
      <c r="CV43" s="234" t="s">
        <v>1530</v>
      </c>
      <c r="CW43" s="234" t="s">
        <v>1530</v>
      </c>
      <c r="CX43" s="234" t="s">
        <v>1575</v>
      </c>
      <c r="CY43" s="234" t="s">
        <v>1530</v>
      </c>
      <c r="CZ43" s="234" t="s">
        <v>1530</v>
      </c>
      <c r="DA43" s="234" t="s">
        <v>1530</v>
      </c>
      <c r="DB43" s="234" t="s">
        <v>1575</v>
      </c>
      <c r="DC43" s="234" t="s">
        <v>1530</v>
      </c>
      <c r="DD43" s="234"/>
      <c r="DE43" s="234"/>
      <c r="DF43" s="234"/>
      <c r="DG43" s="234"/>
      <c r="DH43" s="234"/>
      <c r="DI43" s="234" t="s">
        <v>1572</v>
      </c>
      <c r="DJ43" s="234"/>
      <c r="DK43" s="234"/>
      <c r="DL43" s="234"/>
      <c r="DM43" s="234"/>
      <c r="DN43" s="234"/>
      <c r="DO43" s="234"/>
      <c r="DP43" s="234" t="s">
        <v>1560</v>
      </c>
      <c r="DQ43" s="234" t="n">
        <v>0</v>
      </c>
      <c r="DR43" s="234"/>
      <c r="DS43" s="234"/>
      <c r="DT43" s="234"/>
      <c r="DU43" s="234"/>
      <c r="DV43" s="234"/>
      <c r="DW43" s="234"/>
      <c r="DX43" s="234" t="s">
        <v>1561</v>
      </c>
      <c r="DY43" s="234"/>
      <c r="DZ43" s="234"/>
      <c r="EA43" s="234"/>
      <c r="EB43" s="234"/>
      <c r="EC43" s="234"/>
      <c r="ED43" s="234"/>
      <c r="EE43" s="234"/>
      <c r="EF43" s="234"/>
      <c r="EG43" s="234"/>
      <c r="EH43" s="234" t="s">
        <v>1562</v>
      </c>
      <c r="EI43" s="234"/>
      <c r="EJ43" s="234"/>
      <c r="EK43" s="234" t="s">
        <v>1563</v>
      </c>
      <c r="EL43" s="234"/>
      <c r="EM43" s="234" t="s">
        <v>1564</v>
      </c>
      <c r="EN43" s="234" t="s">
        <v>1565</v>
      </c>
      <c r="EO43" s="234" t="s">
        <v>1566</v>
      </c>
      <c r="EP43" s="234" t="s">
        <v>1558</v>
      </c>
      <c r="EQ43" s="234" t="n">
        <v>5400</v>
      </c>
      <c r="ER43" s="234" t="s">
        <v>1567</v>
      </c>
      <c r="ES43" s="234"/>
      <c r="ET43" s="234"/>
    </row>
    <row r="44" customFormat="false" ht="13.5" hidden="false" customHeight="false" outlineLevel="0" collapsed="false">
      <c r="A44" s="233" t="n">
        <v>45771</v>
      </c>
      <c r="B44" s="234" t="s">
        <v>1875</v>
      </c>
      <c r="C44" s="234" t="s">
        <v>208</v>
      </c>
      <c r="D44" s="234" t="s">
        <v>897</v>
      </c>
      <c r="E44" s="234" t="s">
        <v>1876</v>
      </c>
      <c r="F44" s="234" t="s">
        <v>207</v>
      </c>
      <c r="G44" s="234" t="s">
        <v>1522</v>
      </c>
      <c r="H44" s="234" t="s">
        <v>1523</v>
      </c>
      <c r="I44" s="234" t="s">
        <v>1524</v>
      </c>
      <c r="J44" s="234" t="s">
        <v>1525</v>
      </c>
      <c r="K44" s="233" t="n">
        <v>45771</v>
      </c>
      <c r="L44" s="234"/>
      <c r="M44" s="234" t="s">
        <v>1526</v>
      </c>
      <c r="N44" s="234" t="n">
        <v>1</v>
      </c>
      <c r="O44" s="234" t="s">
        <v>1527</v>
      </c>
      <c r="P44" s="234" t="s">
        <v>1528</v>
      </c>
      <c r="Q44" s="234" t="s">
        <v>1529</v>
      </c>
      <c r="R44" s="234" t="s">
        <v>1530</v>
      </c>
      <c r="S44" s="234"/>
      <c r="T44" s="234"/>
      <c r="U44" s="234" t="s">
        <v>1527</v>
      </c>
      <c r="V44" s="234"/>
      <c r="W44" s="234" t="s">
        <v>1530</v>
      </c>
      <c r="X44" s="234"/>
      <c r="Y44" s="234"/>
      <c r="Z44" s="234" t="s">
        <v>1572</v>
      </c>
      <c r="AA44" s="234" t="n">
        <v>150000</v>
      </c>
      <c r="AB44" s="234" t="n">
        <v>177000</v>
      </c>
      <c r="AC44" s="234" t="n">
        <v>0</v>
      </c>
      <c r="AD44" s="234" t="n">
        <v>0</v>
      </c>
      <c r="AE44" s="234" t="s">
        <v>1399</v>
      </c>
      <c r="AF44" s="234"/>
      <c r="AG44" s="233" t="n">
        <v>45776</v>
      </c>
      <c r="AH44" s="234" t="s">
        <v>1537</v>
      </c>
      <c r="AI44" s="234" t="s">
        <v>1870</v>
      </c>
      <c r="AJ44" s="234" t="s">
        <v>1539</v>
      </c>
      <c r="AK44" s="234"/>
      <c r="AL44" s="234"/>
      <c r="AM44" s="234"/>
      <c r="AN44" s="234"/>
      <c r="AO44" s="234"/>
      <c r="AP44" s="234"/>
      <c r="AQ44" s="234"/>
      <c r="AR44" s="234"/>
      <c r="AS44" s="234"/>
      <c r="AT44" s="234" t="s">
        <v>89</v>
      </c>
      <c r="AU44" s="234" t="s">
        <v>1540</v>
      </c>
      <c r="AV44" s="234" t="n">
        <v>0</v>
      </c>
      <c r="AW44" s="234"/>
      <c r="AX44" s="234"/>
      <c r="AY44" s="234"/>
      <c r="AZ44" s="234"/>
      <c r="BA44" s="234"/>
      <c r="BB44" s="234"/>
      <c r="BC44" s="234"/>
      <c r="BD44" s="234" t="s">
        <v>1541</v>
      </c>
      <c r="BE44" s="235" t="s">
        <v>1877</v>
      </c>
      <c r="BF44" s="234" t="n">
        <v>1</v>
      </c>
      <c r="BG44" s="234" t="s">
        <v>1878</v>
      </c>
      <c r="BH44" s="234" t="s">
        <v>1879</v>
      </c>
      <c r="BI44" s="234" t="n">
        <v>150000</v>
      </c>
      <c r="BJ44" s="234" t="s">
        <v>1543</v>
      </c>
      <c r="BK44" s="234" t="n">
        <v>300000</v>
      </c>
      <c r="BL44" s="234" t="s">
        <v>1544</v>
      </c>
      <c r="BM44" s="234"/>
      <c r="BN44" s="234"/>
      <c r="BO44" s="234"/>
      <c r="BP44" s="234"/>
      <c r="BQ44" s="234"/>
      <c r="BR44" s="234" t="s">
        <v>1880</v>
      </c>
      <c r="BS44" s="234" t="s">
        <v>1852</v>
      </c>
      <c r="BT44" s="234" t="s">
        <v>1547</v>
      </c>
      <c r="BU44" s="234" t="s">
        <v>1548</v>
      </c>
      <c r="BV44" s="234" t="s">
        <v>1549</v>
      </c>
      <c r="BW44" s="234" t="s">
        <v>1853</v>
      </c>
      <c r="BX44" s="234"/>
      <c r="BY44" s="234"/>
      <c r="BZ44" s="234"/>
      <c r="CA44" s="234" t="s">
        <v>1880</v>
      </c>
      <c r="CB44" s="234" t="s">
        <v>1852</v>
      </c>
      <c r="CC44" s="234" t="s">
        <v>1547</v>
      </c>
      <c r="CD44" s="234" t="s">
        <v>1548</v>
      </c>
      <c r="CE44" s="234" t="s">
        <v>1549</v>
      </c>
      <c r="CF44" s="234" t="s">
        <v>1853</v>
      </c>
      <c r="CG44" s="234"/>
      <c r="CH44" s="234"/>
      <c r="CI44" s="234" t="s">
        <v>0</v>
      </c>
      <c r="CJ44" s="234" t="s">
        <v>1551</v>
      </c>
      <c r="CK44" s="234" t="s">
        <v>1552</v>
      </c>
      <c r="CL44" s="234" t="s">
        <v>1553</v>
      </c>
      <c r="CM44" s="234" t="s">
        <v>1554</v>
      </c>
      <c r="CN44" s="234" t="s">
        <v>1549</v>
      </c>
      <c r="CO44" s="234" t="s">
        <v>1555</v>
      </c>
      <c r="CP44" s="234" t="s">
        <v>1556</v>
      </c>
      <c r="CQ44" s="234" t="s">
        <v>1557</v>
      </c>
      <c r="CR44" s="234" t="s">
        <v>1530</v>
      </c>
      <c r="CS44" s="234" t="s">
        <v>1530</v>
      </c>
      <c r="CT44" s="234" t="s">
        <v>1558</v>
      </c>
      <c r="CU44" s="234" t="s">
        <v>1530</v>
      </c>
      <c r="CV44" s="234" t="s">
        <v>1530</v>
      </c>
      <c r="CW44" s="234" t="s">
        <v>1530</v>
      </c>
      <c r="CX44" s="234" t="s">
        <v>1789</v>
      </c>
      <c r="CY44" s="234" t="s">
        <v>1530</v>
      </c>
      <c r="CZ44" s="234" t="s">
        <v>1530</v>
      </c>
      <c r="DA44" s="234" t="s">
        <v>1530</v>
      </c>
      <c r="DB44" s="234" t="s">
        <v>1789</v>
      </c>
      <c r="DC44" s="234" t="s">
        <v>1530</v>
      </c>
      <c r="DD44" s="234"/>
      <c r="DE44" s="234"/>
      <c r="DF44" s="234"/>
      <c r="DG44" s="234"/>
      <c r="DH44" s="234"/>
      <c r="DI44" s="234" t="s">
        <v>1572</v>
      </c>
      <c r="DJ44" s="234"/>
      <c r="DK44" s="234"/>
      <c r="DL44" s="234"/>
      <c r="DM44" s="234"/>
      <c r="DN44" s="234"/>
      <c r="DO44" s="234"/>
      <c r="DP44" s="234" t="s">
        <v>1560</v>
      </c>
      <c r="DQ44" s="234" t="n">
        <v>0</v>
      </c>
      <c r="DR44" s="234"/>
      <c r="DS44" s="234"/>
      <c r="DT44" s="234"/>
      <c r="DU44" s="234"/>
      <c r="DV44" s="234"/>
      <c r="DW44" s="234"/>
      <c r="DX44" s="234" t="s">
        <v>1561</v>
      </c>
      <c r="DY44" s="234"/>
      <c r="DZ44" s="234"/>
      <c r="EA44" s="234"/>
      <c r="EB44" s="234"/>
      <c r="EC44" s="234"/>
      <c r="ED44" s="234"/>
      <c r="EE44" s="234"/>
      <c r="EF44" s="234"/>
      <c r="EG44" s="234"/>
      <c r="EH44" s="234" t="s">
        <v>1562</v>
      </c>
      <c r="EI44" s="234"/>
      <c r="EJ44" s="234"/>
      <c r="EK44" s="234" t="s">
        <v>1563</v>
      </c>
      <c r="EL44" s="234"/>
      <c r="EM44" s="234" t="s">
        <v>1564</v>
      </c>
      <c r="EN44" s="234" t="s">
        <v>1565</v>
      </c>
      <c r="EO44" s="234" t="s">
        <v>1566</v>
      </c>
      <c r="EP44" s="234" t="s">
        <v>1558</v>
      </c>
      <c r="EQ44" s="234" t="n">
        <v>27000</v>
      </c>
      <c r="ER44" s="234" t="s">
        <v>1567</v>
      </c>
      <c r="ES44" s="234"/>
      <c r="ET44" s="234"/>
    </row>
    <row r="45" customFormat="false" ht="13.5" hidden="false" customHeight="false" outlineLevel="0" collapsed="false">
      <c r="A45" s="233" t="n">
        <v>45771</v>
      </c>
      <c r="B45" s="234" t="s">
        <v>1881</v>
      </c>
      <c r="C45" s="234" t="s">
        <v>210</v>
      </c>
      <c r="D45" s="234" t="s">
        <v>897</v>
      </c>
      <c r="E45" s="234" t="s">
        <v>1882</v>
      </c>
      <c r="F45" s="234" t="s">
        <v>1006</v>
      </c>
      <c r="G45" s="234" t="s">
        <v>1606</v>
      </c>
      <c r="H45" s="234" t="s">
        <v>1607</v>
      </c>
      <c r="I45" s="234" t="s">
        <v>1524</v>
      </c>
      <c r="J45" s="234" t="s">
        <v>1525</v>
      </c>
      <c r="K45" s="233" t="n">
        <v>45771</v>
      </c>
      <c r="L45" s="234"/>
      <c r="M45" s="234" t="s">
        <v>1526</v>
      </c>
      <c r="N45" s="234" t="n">
        <v>1</v>
      </c>
      <c r="O45" s="234" t="s">
        <v>1527</v>
      </c>
      <c r="P45" s="234" t="s">
        <v>1528</v>
      </c>
      <c r="Q45" s="234" t="s">
        <v>1529</v>
      </c>
      <c r="R45" s="234" t="s">
        <v>1530</v>
      </c>
      <c r="S45" s="234"/>
      <c r="T45" s="234"/>
      <c r="U45" s="234" t="s">
        <v>1531</v>
      </c>
      <c r="V45" s="234" t="s">
        <v>1532</v>
      </c>
      <c r="W45" s="234" t="s">
        <v>1533</v>
      </c>
      <c r="X45" s="234" t="s">
        <v>1534</v>
      </c>
      <c r="Y45" s="234" t="s">
        <v>1535</v>
      </c>
      <c r="Z45" s="234" t="s">
        <v>1883</v>
      </c>
      <c r="AA45" s="234" t="n">
        <v>172800</v>
      </c>
      <c r="AB45" s="234" t="n">
        <v>200448</v>
      </c>
      <c r="AC45" s="234" t="n">
        <v>0</v>
      </c>
      <c r="AD45" s="234" t="n">
        <v>0</v>
      </c>
      <c r="AE45" s="234" t="s">
        <v>1399</v>
      </c>
      <c r="AF45" s="234"/>
      <c r="AG45" s="233" t="n">
        <v>45777</v>
      </c>
      <c r="AH45" s="234" t="s">
        <v>1537</v>
      </c>
      <c r="AI45" s="234" t="s">
        <v>1870</v>
      </c>
      <c r="AJ45" s="234" t="s">
        <v>1539</v>
      </c>
      <c r="AK45" s="234"/>
      <c r="AL45" s="234"/>
      <c r="AM45" s="234"/>
      <c r="AN45" s="234"/>
      <c r="AO45" s="234"/>
      <c r="AP45" s="234"/>
      <c r="AQ45" s="234"/>
      <c r="AR45" s="234"/>
      <c r="AS45" s="234"/>
      <c r="AT45" s="234" t="s">
        <v>89</v>
      </c>
      <c r="AU45" s="234" t="s">
        <v>1540</v>
      </c>
      <c r="AV45" s="234" t="n">
        <v>0</v>
      </c>
      <c r="AW45" s="234"/>
      <c r="AX45" s="234"/>
      <c r="AY45" s="234"/>
      <c r="AZ45" s="234"/>
      <c r="BA45" s="234"/>
      <c r="BB45" s="234"/>
      <c r="BC45" s="234"/>
      <c r="BD45" s="234" t="s">
        <v>1541</v>
      </c>
      <c r="BE45" s="235" t="s">
        <v>1884</v>
      </c>
      <c r="BF45" s="234" t="n">
        <v>1</v>
      </c>
      <c r="BG45" s="234" t="s">
        <v>1530</v>
      </c>
      <c r="BH45" s="234" t="s">
        <v>1530</v>
      </c>
      <c r="BI45" s="234" t="n">
        <v>172800</v>
      </c>
      <c r="BJ45" s="234" t="s">
        <v>1543</v>
      </c>
      <c r="BK45" s="234" t="n">
        <v>172800</v>
      </c>
      <c r="BL45" s="234" t="s">
        <v>1544</v>
      </c>
      <c r="BM45" s="234"/>
      <c r="BN45" s="234"/>
      <c r="BO45" s="234"/>
      <c r="BP45" s="234"/>
      <c r="BQ45" s="234"/>
      <c r="BR45" s="234" t="s">
        <v>1885</v>
      </c>
      <c r="BS45" s="234" t="s">
        <v>1886</v>
      </c>
      <c r="BT45" s="234" t="s">
        <v>1887</v>
      </c>
      <c r="BU45" s="234" t="s">
        <v>1611</v>
      </c>
      <c r="BV45" s="234" t="s">
        <v>1549</v>
      </c>
      <c r="BW45" s="234" t="s">
        <v>1612</v>
      </c>
      <c r="BX45" s="234"/>
      <c r="BY45" s="234"/>
      <c r="BZ45" s="234"/>
      <c r="CA45" s="234" t="s">
        <v>1885</v>
      </c>
      <c r="CB45" s="234" t="s">
        <v>1886</v>
      </c>
      <c r="CC45" s="234" t="s">
        <v>1887</v>
      </c>
      <c r="CD45" s="234" t="s">
        <v>1611</v>
      </c>
      <c r="CE45" s="234" t="s">
        <v>1549</v>
      </c>
      <c r="CF45" s="234" t="s">
        <v>1612</v>
      </c>
      <c r="CG45" s="234"/>
      <c r="CH45" s="234"/>
      <c r="CI45" s="234" t="s">
        <v>0</v>
      </c>
      <c r="CJ45" s="234" t="s">
        <v>1551</v>
      </c>
      <c r="CK45" s="234" t="s">
        <v>1552</v>
      </c>
      <c r="CL45" s="234" t="s">
        <v>1553</v>
      </c>
      <c r="CM45" s="234" t="s">
        <v>1554</v>
      </c>
      <c r="CN45" s="234" t="s">
        <v>1549</v>
      </c>
      <c r="CO45" s="234" t="s">
        <v>1555</v>
      </c>
      <c r="CP45" s="234" t="s">
        <v>1556</v>
      </c>
      <c r="CQ45" s="234" t="s">
        <v>1557</v>
      </c>
      <c r="CR45" s="234" t="s">
        <v>1530</v>
      </c>
      <c r="CS45" s="234" t="s">
        <v>1530</v>
      </c>
      <c r="CT45" s="234" t="s">
        <v>1558</v>
      </c>
      <c r="CU45" s="234" t="s">
        <v>1530</v>
      </c>
      <c r="CV45" s="234" t="s">
        <v>1530</v>
      </c>
      <c r="CW45" s="234" t="s">
        <v>1530</v>
      </c>
      <c r="CX45" s="234" t="s">
        <v>1888</v>
      </c>
      <c r="CY45" s="234" t="s">
        <v>1530</v>
      </c>
      <c r="CZ45" s="234" t="s">
        <v>1530</v>
      </c>
      <c r="DA45" s="234" t="s">
        <v>1530</v>
      </c>
      <c r="DB45" s="234" t="s">
        <v>1888</v>
      </c>
      <c r="DC45" s="234" t="s">
        <v>1530</v>
      </c>
      <c r="DD45" s="234"/>
      <c r="DE45" s="234"/>
      <c r="DF45" s="234"/>
      <c r="DG45" s="234"/>
      <c r="DH45" s="234"/>
      <c r="DI45" s="234"/>
      <c r="DJ45" s="234"/>
      <c r="DK45" s="234"/>
      <c r="DL45" s="234"/>
      <c r="DM45" s="234"/>
      <c r="DN45" s="234"/>
      <c r="DO45" s="234"/>
      <c r="DP45" s="234" t="s">
        <v>1560</v>
      </c>
      <c r="DQ45" s="234" t="n">
        <v>0</v>
      </c>
      <c r="DR45" s="234"/>
      <c r="DS45" s="234"/>
      <c r="DT45" s="234"/>
      <c r="DU45" s="234"/>
      <c r="DV45" s="234"/>
      <c r="DW45" s="234"/>
      <c r="DX45" s="234" t="s">
        <v>1561</v>
      </c>
      <c r="DY45" s="234"/>
      <c r="DZ45" s="234"/>
      <c r="EA45" s="234"/>
      <c r="EB45" s="234"/>
      <c r="EC45" s="234"/>
      <c r="ED45" s="234"/>
      <c r="EE45" s="234"/>
      <c r="EF45" s="234"/>
      <c r="EG45" s="234"/>
      <c r="EH45" s="234" t="s">
        <v>1562</v>
      </c>
      <c r="EI45" s="234"/>
      <c r="EJ45" s="234"/>
      <c r="EK45" s="234" t="s">
        <v>1563</v>
      </c>
      <c r="EL45" s="234"/>
      <c r="EM45" s="234" t="s">
        <v>1564</v>
      </c>
      <c r="EN45" s="234" t="s">
        <v>1565</v>
      </c>
      <c r="EO45" s="234" t="s">
        <v>1566</v>
      </c>
      <c r="EP45" s="234" t="s">
        <v>1558</v>
      </c>
      <c r="EQ45" s="234" t="n">
        <v>31104</v>
      </c>
      <c r="ER45" s="234" t="s">
        <v>1567</v>
      </c>
      <c r="ES45" s="234"/>
      <c r="ET45" s="234"/>
    </row>
    <row r="46" customFormat="false" ht="13.5" hidden="false" customHeight="false" outlineLevel="0" collapsed="false">
      <c r="A46" s="233" t="n">
        <v>45772</v>
      </c>
      <c r="B46" s="234" t="s">
        <v>1889</v>
      </c>
      <c r="C46" s="234" t="s">
        <v>212</v>
      </c>
      <c r="D46" s="234" t="s">
        <v>897</v>
      </c>
      <c r="E46" s="234" t="s">
        <v>1890</v>
      </c>
      <c r="F46" s="234" t="s">
        <v>211</v>
      </c>
      <c r="G46" s="234" t="s">
        <v>1570</v>
      </c>
      <c r="H46" s="234" t="s">
        <v>1571</v>
      </c>
      <c r="I46" s="234" t="s">
        <v>1524</v>
      </c>
      <c r="J46" s="234" t="s">
        <v>1525</v>
      </c>
      <c r="K46" s="233" t="n">
        <v>45772</v>
      </c>
      <c r="L46" s="234"/>
      <c r="M46" s="234" t="s">
        <v>1526</v>
      </c>
      <c r="N46" s="234" t="n">
        <v>1</v>
      </c>
      <c r="O46" s="234" t="s">
        <v>1527</v>
      </c>
      <c r="P46" s="234" t="s">
        <v>1528</v>
      </c>
      <c r="Q46" s="234" t="s">
        <v>1529</v>
      </c>
      <c r="R46" s="234" t="s">
        <v>1530</v>
      </c>
      <c r="S46" s="234"/>
      <c r="T46" s="234"/>
      <c r="U46" s="234" t="s">
        <v>1527</v>
      </c>
      <c r="V46" s="234"/>
      <c r="W46" s="234" t="s">
        <v>1530</v>
      </c>
      <c r="X46" s="234"/>
      <c r="Y46" s="234"/>
      <c r="Z46" s="234" t="s">
        <v>1572</v>
      </c>
      <c r="AA46" s="234" t="n">
        <v>21600</v>
      </c>
      <c r="AB46" s="234" t="n">
        <v>25488</v>
      </c>
      <c r="AC46" s="234" t="n">
        <v>0</v>
      </c>
      <c r="AD46" s="234" t="n">
        <v>0</v>
      </c>
      <c r="AE46" s="234" t="s">
        <v>1399</v>
      </c>
      <c r="AF46" s="234"/>
      <c r="AG46" s="233" t="n">
        <v>45772</v>
      </c>
      <c r="AH46" s="234" t="s">
        <v>1537</v>
      </c>
      <c r="AI46" s="234" t="s">
        <v>1870</v>
      </c>
      <c r="AJ46" s="234" t="s">
        <v>1539</v>
      </c>
      <c r="AK46" s="234"/>
      <c r="AL46" s="234"/>
      <c r="AM46" s="234"/>
      <c r="AN46" s="234"/>
      <c r="AO46" s="234"/>
      <c r="AP46" s="234"/>
      <c r="AQ46" s="234"/>
      <c r="AR46" s="234"/>
      <c r="AS46" s="234"/>
      <c r="AT46" s="234" t="s">
        <v>89</v>
      </c>
      <c r="AU46" s="234" t="s">
        <v>1540</v>
      </c>
      <c r="AV46" s="234" t="n">
        <v>0</v>
      </c>
      <c r="AW46" s="234"/>
      <c r="AX46" s="234"/>
      <c r="AY46" s="234"/>
      <c r="AZ46" s="234"/>
      <c r="BA46" s="234"/>
      <c r="BB46" s="234"/>
      <c r="BC46" s="234"/>
      <c r="BD46" s="234" t="s">
        <v>1541</v>
      </c>
      <c r="BE46" s="235" t="s">
        <v>1891</v>
      </c>
      <c r="BF46" s="234" t="n">
        <v>1</v>
      </c>
      <c r="BG46" s="234" t="s">
        <v>1530</v>
      </c>
      <c r="BH46" s="234" t="s">
        <v>1530</v>
      </c>
      <c r="BI46" s="234" t="n">
        <v>21600</v>
      </c>
      <c r="BJ46" s="234" t="s">
        <v>1543</v>
      </c>
      <c r="BK46" s="234" t="n">
        <v>21600</v>
      </c>
      <c r="BL46" s="234" t="s">
        <v>1544</v>
      </c>
      <c r="BM46" s="234"/>
      <c r="BN46" s="234"/>
      <c r="BO46" s="234"/>
      <c r="BP46" s="234"/>
      <c r="BQ46" s="234"/>
      <c r="BR46" s="234"/>
      <c r="BS46" s="234"/>
      <c r="BT46" s="234" t="s">
        <v>1586</v>
      </c>
      <c r="BU46" s="234" t="s">
        <v>1587</v>
      </c>
      <c r="BV46" s="234" t="s">
        <v>1549</v>
      </c>
      <c r="BW46" s="234"/>
      <c r="BX46" s="234"/>
      <c r="BY46" s="234"/>
      <c r="BZ46" s="234"/>
      <c r="CA46" s="234"/>
      <c r="CB46" s="234"/>
      <c r="CC46" s="234" t="s">
        <v>1586</v>
      </c>
      <c r="CD46" s="234" t="s">
        <v>1587</v>
      </c>
      <c r="CE46" s="234" t="s">
        <v>1549</v>
      </c>
      <c r="CF46" s="234"/>
      <c r="CG46" s="234"/>
      <c r="CH46" s="234"/>
      <c r="CI46" s="234" t="s">
        <v>0</v>
      </c>
      <c r="CJ46" s="234" t="s">
        <v>1551</v>
      </c>
      <c r="CK46" s="234" t="s">
        <v>1552</v>
      </c>
      <c r="CL46" s="234" t="s">
        <v>1553</v>
      </c>
      <c r="CM46" s="234" t="s">
        <v>1554</v>
      </c>
      <c r="CN46" s="234" t="s">
        <v>1549</v>
      </c>
      <c r="CO46" s="234" t="s">
        <v>1555</v>
      </c>
      <c r="CP46" s="234" t="s">
        <v>1556</v>
      </c>
      <c r="CQ46" s="234" t="s">
        <v>1557</v>
      </c>
      <c r="CR46" s="234" t="s">
        <v>1530</v>
      </c>
      <c r="CS46" s="234" t="s">
        <v>1530</v>
      </c>
      <c r="CT46" s="234" t="s">
        <v>1558</v>
      </c>
      <c r="CU46" s="234" t="s">
        <v>1530</v>
      </c>
      <c r="CV46" s="234" t="s">
        <v>1530</v>
      </c>
      <c r="CW46" s="234" t="s">
        <v>1530</v>
      </c>
      <c r="CX46" s="234" t="s">
        <v>1892</v>
      </c>
      <c r="CY46" s="234" t="s">
        <v>1530</v>
      </c>
      <c r="CZ46" s="234" t="s">
        <v>1530</v>
      </c>
      <c r="DA46" s="234" t="s">
        <v>1530</v>
      </c>
      <c r="DB46" s="234" t="s">
        <v>1892</v>
      </c>
      <c r="DC46" s="234" t="s">
        <v>1530</v>
      </c>
      <c r="DD46" s="234"/>
      <c r="DE46" s="234"/>
      <c r="DF46" s="234"/>
      <c r="DG46" s="234"/>
      <c r="DH46" s="234"/>
      <c r="DI46" s="234" t="s">
        <v>1572</v>
      </c>
      <c r="DJ46" s="234"/>
      <c r="DK46" s="234"/>
      <c r="DL46" s="234"/>
      <c r="DM46" s="234"/>
      <c r="DN46" s="234"/>
      <c r="DO46" s="234"/>
      <c r="DP46" s="234" t="s">
        <v>1560</v>
      </c>
      <c r="DQ46" s="234" t="n">
        <v>0</v>
      </c>
      <c r="DR46" s="234"/>
      <c r="DS46" s="234"/>
      <c r="DT46" s="234"/>
      <c r="DU46" s="234"/>
      <c r="DV46" s="234"/>
      <c r="DW46" s="234"/>
      <c r="DX46" s="234" t="s">
        <v>1561</v>
      </c>
      <c r="DY46" s="234"/>
      <c r="DZ46" s="234"/>
      <c r="EA46" s="234"/>
      <c r="EB46" s="234"/>
      <c r="EC46" s="234"/>
      <c r="ED46" s="234"/>
      <c r="EE46" s="234"/>
      <c r="EF46" s="234"/>
      <c r="EG46" s="234"/>
      <c r="EH46" s="234" t="s">
        <v>1562</v>
      </c>
      <c r="EI46" s="234"/>
      <c r="EJ46" s="234"/>
      <c r="EK46" s="234" t="s">
        <v>1563</v>
      </c>
      <c r="EL46" s="234"/>
      <c r="EM46" s="234" t="s">
        <v>1564</v>
      </c>
      <c r="EN46" s="234" t="s">
        <v>1565</v>
      </c>
      <c r="EO46" s="234" t="s">
        <v>1566</v>
      </c>
      <c r="EP46" s="234" t="s">
        <v>1558</v>
      </c>
      <c r="EQ46" s="234" t="n">
        <v>3888</v>
      </c>
      <c r="ER46" s="234" t="s">
        <v>1567</v>
      </c>
      <c r="ES46" s="234"/>
      <c r="ET46" s="234"/>
    </row>
    <row r="47" customFormat="false" ht="13.5" hidden="false" customHeight="false" outlineLevel="0" collapsed="false">
      <c r="A47" s="233" t="n">
        <v>45772</v>
      </c>
      <c r="B47" s="234" t="s">
        <v>1893</v>
      </c>
      <c r="C47" s="234" t="s">
        <v>214</v>
      </c>
      <c r="D47" s="234" t="s">
        <v>897</v>
      </c>
      <c r="E47" s="234" t="s">
        <v>1894</v>
      </c>
      <c r="F47" s="234" t="s">
        <v>213</v>
      </c>
      <c r="G47" s="234" t="s">
        <v>1570</v>
      </c>
      <c r="H47" s="234" t="s">
        <v>1571</v>
      </c>
      <c r="I47" s="234" t="s">
        <v>1524</v>
      </c>
      <c r="J47" s="234" t="s">
        <v>1525</v>
      </c>
      <c r="K47" s="233" t="n">
        <v>45772</v>
      </c>
      <c r="L47" s="234"/>
      <c r="M47" s="234" t="s">
        <v>1526</v>
      </c>
      <c r="N47" s="234" t="n">
        <v>1</v>
      </c>
      <c r="O47" s="234" t="s">
        <v>1527</v>
      </c>
      <c r="P47" s="234" t="s">
        <v>1528</v>
      </c>
      <c r="Q47" s="234" t="s">
        <v>1529</v>
      </c>
      <c r="R47" s="234" t="s">
        <v>1530</v>
      </c>
      <c r="S47" s="234"/>
      <c r="T47" s="234"/>
      <c r="U47" s="234" t="s">
        <v>1527</v>
      </c>
      <c r="V47" s="234"/>
      <c r="W47" s="234" t="s">
        <v>1530</v>
      </c>
      <c r="X47" s="234"/>
      <c r="Y47" s="234"/>
      <c r="Z47" s="234" t="s">
        <v>1572</v>
      </c>
      <c r="AA47" s="234" t="n">
        <v>21600</v>
      </c>
      <c r="AB47" s="234" t="n">
        <v>25488</v>
      </c>
      <c r="AC47" s="234" t="n">
        <v>0</v>
      </c>
      <c r="AD47" s="234" t="n">
        <v>0</v>
      </c>
      <c r="AE47" s="234" t="s">
        <v>1399</v>
      </c>
      <c r="AF47" s="234"/>
      <c r="AG47" s="233" t="n">
        <v>45772</v>
      </c>
      <c r="AH47" s="234" t="s">
        <v>1537</v>
      </c>
      <c r="AI47" s="234" t="s">
        <v>1870</v>
      </c>
      <c r="AJ47" s="234" t="s">
        <v>1539</v>
      </c>
      <c r="AK47" s="234"/>
      <c r="AL47" s="234"/>
      <c r="AM47" s="234"/>
      <c r="AN47" s="234"/>
      <c r="AO47" s="234"/>
      <c r="AP47" s="234"/>
      <c r="AQ47" s="234"/>
      <c r="AR47" s="234"/>
      <c r="AS47" s="234"/>
      <c r="AT47" s="234" t="s">
        <v>89</v>
      </c>
      <c r="AU47" s="234" t="s">
        <v>1540</v>
      </c>
      <c r="AV47" s="234" t="n">
        <v>0</v>
      </c>
      <c r="AW47" s="234"/>
      <c r="AX47" s="234"/>
      <c r="AY47" s="234"/>
      <c r="AZ47" s="234"/>
      <c r="BA47" s="234"/>
      <c r="BB47" s="234"/>
      <c r="BC47" s="234"/>
      <c r="BD47" s="234" t="s">
        <v>1541</v>
      </c>
      <c r="BE47" s="235" t="s">
        <v>1891</v>
      </c>
      <c r="BF47" s="234" t="n">
        <v>1</v>
      </c>
      <c r="BG47" s="234" t="s">
        <v>1530</v>
      </c>
      <c r="BH47" s="234" t="s">
        <v>1530</v>
      </c>
      <c r="BI47" s="234" t="n">
        <v>21600</v>
      </c>
      <c r="BJ47" s="234" t="s">
        <v>1543</v>
      </c>
      <c r="BK47" s="234" t="n">
        <v>21600</v>
      </c>
      <c r="BL47" s="234" t="s">
        <v>1544</v>
      </c>
      <c r="BM47" s="234"/>
      <c r="BN47" s="234"/>
      <c r="BO47" s="234"/>
      <c r="BP47" s="234"/>
      <c r="BQ47" s="234"/>
      <c r="BR47" s="234"/>
      <c r="BS47" s="234"/>
      <c r="BT47" s="234" t="s">
        <v>1586</v>
      </c>
      <c r="BU47" s="234" t="s">
        <v>1587</v>
      </c>
      <c r="BV47" s="234" t="s">
        <v>1549</v>
      </c>
      <c r="BW47" s="234"/>
      <c r="BX47" s="234"/>
      <c r="BY47" s="234"/>
      <c r="BZ47" s="234"/>
      <c r="CA47" s="234"/>
      <c r="CB47" s="234"/>
      <c r="CC47" s="234" t="s">
        <v>1586</v>
      </c>
      <c r="CD47" s="234" t="s">
        <v>1587</v>
      </c>
      <c r="CE47" s="234" t="s">
        <v>1549</v>
      </c>
      <c r="CF47" s="234"/>
      <c r="CG47" s="234"/>
      <c r="CH47" s="234"/>
      <c r="CI47" s="234" t="s">
        <v>0</v>
      </c>
      <c r="CJ47" s="234" t="s">
        <v>1551</v>
      </c>
      <c r="CK47" s="234" t="s">
        <v>1552</v>
      </c>
      <c r="CL47" s="234" t="s">
        <v>1553</v>
      </c>
      <c r="CM47" s="234" t="s">
        <v>1554</v>
      </c>
      <c r="CN47" s="234" t="s">
        <v>1549</v>
      </c>
      <c r="CO47" s="234" t="s">
        <v>1555</v>
      </c>
      <c r="CP47" s="234" t="s">
        <v>1556</v>
      </c>
      <c r="CQ47" s="234" t="s">
        <v>1557</v>
      </c>
      <c r="CR47" s="234" t="s">
        <v>1530</v>
      </c>
      <c r="CS47" s="234" t="s">
        <v>1530</v>
      </c>
      <c r="CT47" s="234" t="s">
        <v>1558</v>
      </c>
      <c r="CU47" s="234" t="s">
        <v>1530</v>
      </c>
      <c r="CV47" s="234" t="s">
        <v>1530</v>
      </c>
      <c r="CW47" s="234" t="s">
        <v>1530</v>
      </c>
      <c r="CX47" s="234" t="s">
        <v>1892</v>
      </c>
      <c r="CY47" s="234" t="s">
        <v>1530</v>
      </c>
      <c r="CZ47" s="234" t="s">
        <v>1530</v>
      </c>
      <c r="DA47" s="234" t="s">
        <v>1530</v>
      </c>
      <c r="DB47" s="234" t="s">
        <v>1892</v>
      </c>
      <c r="DC47" s="234" t="s">
        <v>1530</v>
      </c>
      <c r="DD47" s="234"/>
      <c r="DE47" s="234"/>
      <c r="DF47" s="234"/>
      <c r="DG47" s="234"/>
      <c r="DH47" s="234"/>
      <c r="DI47" s="234" t="s">
        <v>1572</v>
      </c>
      <c r="DJ47" s="234"/>
      <c r="DK47" s="234"/>
      <c r="DL47" s="234"/>
      <c r="DM47" s="234"/>
      <c r="DN47" s="234"/>
      <c r="DO47" s="234"/>
      <c r="DP47" s="234" t="s">
        <v>1560</v>
      </c>
      <c r="DQ47" s="234" t="n">
        <v>0</v>
      </c>
      <c r="DR47" s="234"/>
      <c r="DS47" s="234"/>
      <c r="DT47" s="234"/>
      <c r="DU47" s="234"/>
      <c r="DV47" s="234"/>
      <c r="DW47" s="234"/>
      <c r="DX47" s="234" t="s">
        <v>1561</v>
      </c>
      <c r="DY47" s="234"/>
      <c r="DZ47" s="234"/>
      <c r="EA47" s="234"/>
      <c r="EB47" s="234"/>
      <c r="EC47" s="234"/>
      <c r="ED47" s="234"/>
      <c r="EE47" s="234"/>
      <c r="EF47" s="234"/>
      <c r="EG47" s="234"/>
      <c r="EH47" s="234" t="s">
        <v>1562</v>
      </c>
      <c r="EI47" s="234"/>
      <c r="EJ47" s="234"/>
      <c r="EK47" s="234" t="s">
        <v>1563</v>
      </c>
      <c r="EL47" s="234"/>
      <c r="EM47" s="234" t="s">
        <v>1564</v>
      </c>
      <c r="EN47" s="234" t="s">
        <v>1565</v>
      </c>
      <c r="EO47" s="234" t="s">
        <v>1566</v>
      </c>
      <c r="EP47" s="234" t="s">
        <v>1558</v>
      </c>
      <c r="EQ47" s="234" t="n">
        <v>3888</v>
      </c>
      <c r="ER47" s="234" t="s">
        <v>1567</v>
      </c>
      <c r="ES47" s="234"/>
      <c r="ET47" s="234"/>
    </row>
    <row r="48" customFormat="false" ht="13.5" hidden="false" customHeight="false" outlineLevel="0" collapsed="false">
      <c r="A48" s="233" t="n">
        <v>45772</v>
      </c>
      <c r="B48" s="234" t="s">
        <v>1895</v>
      </c>
      <c r="C48" s="234" t="s">
        <v>216</v>
      </c>
      <c r="D48" s="234" t="s">
        <v>897</v>
      </c>
      <c r="E48" s="234" t="s">
        <v>1896</v>
      </c>
      <c r="F48" s="234" t="s">
        <v>215</v>
      </c>
      <c r="G48" s="234" t="s">
        <v>1570</v>
      </c>
      <c r="H48" s="234" t="s">
        <v>1571</v>
      </c>
      <c r="I48" s="234" t="s">
        <v>1524</v>
      </c>
      <c r="J48" s="234" t="s">
        <v>1525</v>
      </c>
      <c r="K48" s="233" t="n">
        <v>45772</v>
      </c>
      <c r="L48" s="234"/>
      <c r="M48" s="234" t="s">
        <v>1526</v>
      </c>
      <c r="N48" s="234" t="n">
        <v>1</v>
      </c>
      <c r="O48" s="234" t="s">
        <v>1527</v>
      </c>
      <c r="P48" s="234" t="s">
        <v>1528</v>
      </c>
      <c r="Q48" s="234" t="s">
        <v>1529</v>
      </c>
      <c r="R48" s="234" t="s">
        <v>1530</v>
      </c>
      <c r="S48" s="234"/>
      <c r="T48" s="234"/>
      <c r="U48" s="234" t="s">
        <v>1527</v>
      </c>
      <c r="V48" s="234"/>
      <c r="W48" s="234" t="s">
        <v>1530</v>
      </c>
      <c r="X48" s="234"/>
      <c r="Y48" s="234"/>
      <c r="Z48" s="234" t="s">
        <v>1572</v>
      </c>
      <c r="AA48" s="234" t="n">
        <v>21600</v>
      </c>
      <c r="AB48" s="234" t="n">
        <v>25488</v>
      </c>
      <c r="AC48" s="234" t="n">
        <v>0</v>
      </c>
      <c r="AD48" s="234" t="n">
        <v>0</v>
      </c>
      <c r="AE48" s="234" t="s">
        <v>1399</v>
      </c>
      <c r="AF48" s="234"/>
      <c r="AG48" s="233" t="n">
        <v>45772</v>
      </c>
      <c r="AH48" s="234" t="s">
        <v>1537</v>
      </c>
      <c r="AI48" s="234" t="s">
        <v>1870</v>
      </c>
      <c r="AJ48" s="234" t="s">
        <v>1539</v>
      </c>
      <c r="AK48" s="234"/>
      <c r="AL48" s="234"/>
      <c r="AM48" s="234"/>
      <c r="AN48" s="234"/>
      <c r="AO48" s="234"/>
      <c r="AP48" s="234"/>
      <c r="AQ48" s="234"/>
      <c r="AR48" s="234"/>
      <c r="AS48" s="234"/>
      <c r="AT48" s="234" t="s">
        <v>89</v>
      </c>
      <c r="AU48" s="234" t="s">
        <v>1540</v>
      </c>
      <c r="AV48" s="234" t="n">
        <v>0</v>
      </c>
      <c r="AW48" s="234"/>
      <c r="AX48" s="234"/>
      <c r="AY48" s="234"/>
      <c r="AZ48" s="234"/>
      <c r="BA48" s="234"/>
      <c r="BB48" s="234"/>
      <c r="BC48" s="234"/>
      <c r="BD48" s="234" t="s">
        <v>1541</v>
      </c>
      <c r="BE48" s="235" t="s">
        <v>1891</v>
      </c>
      <c r="BF48" s="234" t="n">
        <v>1</v>
      </c>
      <c r="BG48" s="234" t="s">
        <v>1530</v>
      </c>
      <c r="BH48" s="234" t="s">
        <v>1530</v>
      </c>
      <c r="BI48" s="234" t="n">
        <v>21600</v>
      </c>
      <c r="BJ48" s="234" t="s">
        <v>1543</v>
      </c>
      <c r="BK48" s="234" t="n">
        <v>21600</v>
      </c>
      <c r="BL48" s="234" t="s">
        <v>1544</v>
      </c>
      <c r="BM48" s="234"/>
      <c r="BN48" s="234"/>
      <c r="BO48" s="234"/>
      <c r="BP48" s="234"/>
      <c r="BQ48" s="234"/>
      <c r="BR48" s="234"/>
      <c r="BS48" s="234"/>
      <c r="BT48" s="234" t="s">
        <v>1586</v>
      </c>
      <c r="BU48" s="234" t="s">
        <v>1587</v>
      </c>
      <c r="BV48" s="234" t="s">
        <v>1549</v>
      </c>
      <c r="BW48" s="234"/>
      <c r="BX48" s="234"/>
      <c r="BY48" s="234"/>
      <c r="BZ48" s="234"/>
      <c r="CA48" s="234"/>
      <c r="CB48" s="234"/>
      <c r="CC48" s="234" t="s">
        <v>1586</v>
      </c>
      <c r="CD48" s="234" t="s">
        <v>1587</v>
      </c>
      <c r="CE48" s="234" t="s">
        <v>1549</v>
      </c>
      <c r="CF48" s="234"/>
      <c r="CG48" s="234"/>
      <c r="CH48" s="234"/>
      <c r="CI48" s="234" t="s">
        <v>0</v>
      </c>
      <c r="CJ48" s="234" t="s">
        <v>1551</v>
      </c>
      <c r="CK48" s="234" t="s">
        <v>1552</v>
      </c>
      <c r="CL48" s="234" t="s">
        <v>1553</v>
      </c>
      <c r="CM48" s="234" t="s">
        <v>1554</v>
      </c>
      <c r="CN48" s="234" t="s">
        <v>1549</v>
      </c>
      <c r="CO48" s="234" t="s">
        <v>1555</v>
      </c>
      <c r="CP48" s="234" t="s">
        <v>1556</v>
      </c>
      <c r="CQ48" s="234" t="s">
        <v>1557</v>
      </c>
      <c r="CR48" s="234" t="s">
        <v>1530</v>
      </c>
      <c r="CS48" s="234" t="s">
        <v>1530</v>
      </c>
      <c r="CT48" s="234" t="s">
        <v>1558</v>
      </c>
      <c r="CU48" s="234" t="s">
        <v>1530</v>
      </c>
      <c r="CV48" s="234" t="s">
        <v>1530</v>
      </c>
      <c r="CW48" s="234" t="s">
        <v>1530</v>
      </c>
      <c r="CX48" s="234" t="s">
        <v>1892</v>
      </c>
      <c r="CY48" s="234" t="s">
        <v>1530</v>
      </c>
      <c r="CZ48" s="234" t="s">
        <v>1530</v>
      </c>
      <c r="DA48" s="234" t="s">
        <v>1530</v>
      </c>
      <c r="DB48" s="234" t="s">
        <v>1892</v>
      </c>
      <c r="DC48" s="234" t="s">
        <v>1530</v>
      </c>
      <c r="DD48" s="234"/>
      <c r="DE48" s="234"/>
      <c r="DF48" s="234"/>
      <c r="DG48" s="234"/>
      <c r="DH48" s="234"/>
      <c r="DI48" s="234" t="s">
        <v>1572</v>
      </c>
      <c r="DJ48" s="234"/>
      <c r="DK48" s="234"/>
      <c r="DL48" s="234"/>
      <c r="DM48" s="234"/>
      <c r="DN48" s="234"/>
      <c r="DO48" s="234"/>
      <c r="DP48" s="234" t="s">
        <v>1560</v>
      </c>
      <c r="DQ48" s="234" t="n">
        <v>0</v>
      </c>
      <c r="DR48" s="234"/>
      <c r="DS48" s="234"/>
      <c r="DT48" s="234"/>
      <c r="DU48" s="234"/>
      <c r="DV48" s="234"/>
      <c r="DW48" s="234"/>
      <c r="DX48" s="234" t="s">
        <v>1561</v>
      </c>
      <c r="DY48" s="234"/>
      <c r="DZ48" s="234"/>
      <c r="EA48" s="234"/>
      <c r="EB48" s="234"/>
      <c r="EC48" s="234"/>
      <c r="ED48" s="234"/>
      <c r="EE48" s="234"/>
      <c r="EF48" s="234"/>
      <c r="EG48" s="234"/>
      <c r="EH48" s="234" t="s">
        <v>1562</v>
      </c>
      <c r="EI48" s="234"/>
      <c r="EJ48" s="234"/>
      <c r="EK48" s="234" t="s">
        <v>1563</v>
      </c>
      <c r="EL48" s="234"/>
      <c r="EM48" s="234" t="s">
        <v>1564</v>
      </c>
      <c r="EN48" s="234" t="s">
        <v>1565</v>
      </c>
      <c r="EO48" s="234" t="s">
        <v>1566</v>
      </c>
      <c r="EP48" s="234" t="s">
        <v>1558</v>
      </c>
      <c r="EQ48" s="234" t="n">
        <v>3888</v>
      </c>
      <c r="ER48" s="234" t="s">
        <v>1567</v>
      </c>
      <c r="ES48" s="234"/>
      <c r="ET48" s="234"/>
    </row>
    <row r="49" customFormat="false" ht="13.5" hidden="false" customHeight="false" outlineLevel="0" collapsed="false">
      <c r="A49" s="233" t="n">
        <v>45772</v>
      </c>
      <c r="B49" s="234" t="s">
        <v>1897</v>
      </c>
      <c r="C49" s="234" t="s">
        <v>218</v>
      </c>
      <c r="D49" s="234" t="s">
        <v>897</v>
      </c>
      <c r="E49" s="234" t="s">
        <v>1898</v>
      </c>
      <c r="F49" s="234" t="s">
        <v>217</v>
      </c>
      <c r="G49" s="234" t="s">
        <v>1570</v>
      </c>
      <c r="H49" s="234" t="s">
        <v>1571</v>
      </c>
      <c r="I49" s="234" t="s">
        <v>1524</v>
      </c>
      <c r="J49" s="234" t="s">
        <v>1525</v>
      </c>
      <c r="K49" s="233" t="n">
        <v>45772</v>
      </c>
      <c r="L49" s="234"/>
      <c r="M49" s="234" t="s">
        <v>1526</v>
      </c>
      <c r="N49" s="234" t="n">
        <v>1</v>
      </c>
      <c r="O49" s="234" t="s">
        <v>1527</v>
      </c>
      <c r="P49" s="234" t="s">
        <v>1528</v>
      </c>
      <c r="Q49" s="234" t="s">
        <v>1529</v>
      </c>
      <c r="R49" s="234" t="s">
        <v>1530</v>
      </c>
      <c r="S49" s="234"/>
      <c r="T49" s="234"/>
      <c r="U49" s="234" t="s">
        <v>1527</v>
      </c>
      <c r="V49" s="234"/>
      <c r="W49" s="234" t="s">
        <v>1530</v>
      </c>
      <c r="X49" s="234"/>
      <c r="Y49" s="234"/>
      <c r="Z49" s="234" t="s">
        <v>1572</v>
      </c>
      <c r="AA49" s="234" t="n">
        <v>21600</v>
      </c>
      <c r="AB49" s="234" t="n">
        <v>25488</v>
      </c>
      <c r="AC49" s="234" t="n">
        <v>0</v>
      </c>
      <c r="AD49" s="234" t="n">
        <v>0</v>
      </c>
      <c r="AE49" s="234" t="s">
        <v>1399</v>
      </c>
      <c r="AF49" s="234"/>
      <c r="AG49" s="233" t="n">
        <v>45772</v>
      </c>
      <c r="AH49" s="234" t="s">
        <v>1537</v>
      </c>
      <c r="AI49" s="234" t="s">
        <v>1870</v>
      </c>
      <c r="AJ49" s="234" t="s">
        <v>1539</v>
      </c>
      <c r="AK49" s="234"/>
      <c r="AL49" s="234"/>
      <c r="AM49" s="234"/>
      <c r="AN49" s="234"/>
      <c r="AO49" s="234"/>
      <c r="AP49" s="234"/>
      <c r="AQ49" s="234"/>
      <c r="AR49" s="234"/>
      <c r="AS49" s="234"/>
      <c r="AT49" s="234" t="s">
        <v>89</v>
      </c>
      <c r="AU49" s="234" t="s">
        <v>1540</v>
      </c>
      <c r="AV49" s="234" t="n">
        <v>0</v>
      </c>
      <c r="AW49" s="234"/>
      <c r="AX49" s="234"/>
      <c r="AY49" s="234"/>
      <c r="AZ49" s="234"/>
      <c r="BA49" s="234"/>
      <c r="BB49" s="234"/>
      <c r="BC49" s="234"/>
      <c r="BD49" s="234" t="s">
        <v>1541</v>
      </c>
      <c r="BE49" s="235" t="s">
        <v>1891</v>
      </c>
      <c r="BF49" s="234" t="n">
        <v>1</v>
      </c>
      <c r="BG49" s="234" t="s">
        <v>1530</v>
      </c>
      <c r="BH49" s="234" t="s">
        <v>1530</v>
      </c>
      <c r="BI49" s="234" t="n">
        <v>21600</v>
      </c>
      <c r="BJ49" s="234" t="s">
        <v>1543</v>
      </c>
      <c r="BK49" s="234" t="n">
        <v>21600</v>
      </c>
      <c r="BL49" s="234" t="s">
        <v>1544</v>
      </c>
      <c r="BM49" s="234"/>
      <c r="BN49" s="234"/>
      <c r="BO49" s="234"/>
      <c r="BP49" s="234"/>
      <c r="BQ49" s="234"/>
      <c r="BR49" s="234"/>
      <c r="BS49" s="234"/>
      <c r="BT49" s="234" t="s">
        <v>1586</v>
      </c>
      <c r="BU49" s="234" t="s">
        <v>1587</v>
      </c>
      <c r="BV49" s="234" t="s">
        <v>1549</v>
      </c>
      <c r="BW49" s="234"/>
      <c r="BX49" s="234"/>
      <c r="BY49" s="234"/>
      <c r="BZ49" s="234"/>
      <c r="CA49" s="234"/>
      <c r="CB49" s="234"/>
      <c r="CC49" s="234" t="s">
        <v>1586</v>
      </c>
      <c r="CD49" s="234" t="s">
        <v>1587</v>
      </c>
      <c r="CE49" s="234" t="s">
        <v>1549</v>
      </c>
      <c r="CF49" s="234"/>
      <c r="CG49" s="234"/>
      <c r="CH49" s="234"/>
      <c r="CI49" s="234" t="s">
        <v>0</v>
      </c>
      <c r="CJ49" s="234" t="s">
        <v>1551</v>
      </c>
      <c r="CK49" s="234" t="s">
        <v>1552</v>
      </c>
      <c r="CL49" s="234" t="s">
        <v>1553</v>
      </c>
      <c r="CM49" s="234" t="s">
        <v>1554</v>
      </c>
      <c r="CN49" s="234" t="s">
        <v>1549</v>
      </c>
      <c r="CO49" s="234" t="s">
        <v>1555</v>
      </c>
      <c r="CP49" s="234" t="s">
        <v>1556</v>
      </c>
      <c r="CQ49" s="234" t="s">
        <v>1557</v>
      </c>
      <c r="CR49" s="234" t="s">
        <v>1530</v>
      </c>
      <c r="CS49" s="234" t="s">
        <v>1530</v>
      </c>
      <c r="CT49" s="234" t="s">
        <v>1558</v>
      </c>
      <c r="CU49" s="234" t="s">
        <v>1530</v>
      </c>
      <c r="CV49" s="234" t="s">
        <v>1530</v>
      </c>
      <c r="CW49" s="234" t="s">
        <v>1530</v>
      </c>
      <c r="CX49" s="234" t="s">
        <v>1892</v>
      </c>
      <c r="CY49" s="234" t="s">
        <v>1530</v>
      </c>
      <c r="CZ49" s="234" t="s">
        <v>1530</v>
      </c>
      <c r="DA49" s="234" t="s">
        <v>1530</v>
      </c>
      <c r="DB49" s="234" t="s">
        <v>1892</v>
      </c>
      <c r="DC49" s="234" t="s">
        <v>1530</v>
      </c>
      <c r="DD49" s="234"/>
      <c r="DE49" s="234"/>
      <c r="DF49" s="234"/>
      <c r="DG49" s="234"/>
      <c r="DH49" s="234"/>
      <c r="DI49" s="234" t="s">
        <v>1572</v>
      </c>
      <c r="DJ49" s="234"/>
      <c r="DK49" s="234"/>
      <c r="DL49" s="234"/>
      <c r="DM49" s="234"/>
      <c r="DN49" s="234"/>
      <c r="DO49" s="234"/>
      <c r="DP49" s="234" t="s">
        <v>1560</v>
      </c>
      <c r="DQ49" s="234" t="n">
        <v>0</v>
      </c>
      <c r="DR49" s="234"/>
      <c r="DS49" s="234"/>
      <c r="DT49" s="234"/>
      <c r="DU49" s="234"/>
      <c r="DV49" s="234"/>
      <c r="DW49" s="234"/>
      <c r="DX49" s="234" t="s">
        <v>1561</v>
      </c>
      <c r="DY49" s="234"/>
      <c r="DZ49" s="234"/>
      <c r="EA49" s="234"/>
      <c r="EB49" s="234"/>
      <c r="EC49" s="234"/>
      <c r="ED49" s="234"/>
      <c r="EE49" s="234"/>
      <c r="EF49" s="234"/>
      <c r="EG49" s="234"/>
      <c r="EH49" s="234" t="s">
        <v>1562</v>
      </c>
      <c r="EI49" s="234"/>
      <c r="EJ49" s="234"/>
      <c r="EK49" s="234" t="s">
        <v>1563</v>
      </c>
      <c r="EL49" s="234"/>
      <c r="EM49" s="234" t="s">
        <v>1564</v>
      </c>
      <c r="EN49" s="234" t="s">
        <v>1565</v>
      </c>
      <c r="EO49" s="234" t="s">
        <v>1566</v>
      </c>
      <c r="EP49" s="234" t="s">
        <v>1558</v>
      </c>
      <c r="EQ49" s="234" t="n">
        <v>3888</v>
      </c>
      <c r="ER49" s="234" t="s">
        <v>1567</v>
      </c>
      <c r="ES49" s="234"/>
      <c r="ET49" s="234"/>
    </row>
    <row r="50" customFormat="false" ht="13.5" hidden="false" customHeight="false" outlineLevel="0" collapsed="false">
      <c r="A50" s="233" t="n">
        <v>45772</v>
      </c>
      <c r="B50" s="234" t="s">
        <v>1899</v>
      </c>
      <c r="C50" s="234" t="s">
        <v>220</v>
      </c>
      <c r="D50" s="234" t="s">
        <v>897</v>
      </c>
      <c r="E50" s="234" t="s">
        <v>1900</v>
      </c>
      <c r="F50" s="234" t="s">
        <v>219</v>
      </c>
      <c r="G50" s="234" t="s">
        <v>1570</v>
      </c>
      <c r="H50" s="234" t="s">
        <v>1571</v>
      </c>
      <c r="I50" s="234" t="s">
        <v>1524</v>
      </c>
      <c r="J50" s="234" t="s">
        <v>1525</v>
      </c>
      <c r="K50" s="233" t="n">
        <v>45772</v>
      </c>
      <c r="L50" s="234"/>
      <c r="M50" s="234" t="s">
        <v>1526</v>
      </c>
      <c r="N50" s="234" t="n">
        <v>1</v>
      </c>
      <c r="O50" s="234" t="s">
        <v>1527</v>
      </c>
      <c r="P50" s="234" t="s">
        <v>1528</v>
      </c>
      <c r="Q50" s="234" t="s">
        <v>1529</v>
      </c>
      <c r="R50" s="234" t="s">
        <v>1530</v>
      </c>
      <c r="S50" s="234"/>
      <c r="T50" s="234"/>
      <c r="U50" s="234" t="s">
        <v>1527</v>
      </c>
      <c r="V50" s="234"/>
      <c r="W50" s="234" t="s">
        <v>1530</v>
      </c>
      <c r="X50" s="234"/>
      <c r="Y50" s="234"/>
      <c r="Z50" s="234" t="s">
        <v>1572</v>
      </c>
      <c r="AA50" s="234" t="n">
        <v>21600</v>
      </c>
      <c r="AB50" s="234" t="n">
        <v>25488</v>
      </c>
      <c r="AC50" s="234" t="n">
        <v>0</v>
      </c>
      <c r="AD50" s="234" t="n">
        <v>0</v>
      </c>
      <c r="AE50" s="234" t="s">
        <v>1399</v>
      </c>
      <c r="AF50" s="234"/>
      <c r="AG50" s="233" t="n">
        <v>45773</v>
      </c>
      <c r="AH50" s="234" t="s">
        <v>1537</v>
      </c>
      <c r="AI50" s="234" t="s">
        <v>1870</v>
      </c>
      <c r="AJ50" s="234" t="s">
        <v>1539</v>
      </c>
      <c r="AK50" s="234"/>
      <c r="AL50" s="234"/>
      <c r="AM50" s="234"/>
      <c r="AN50" s="234"/>
      <c r="AO50" s="234"/>
      <c r="AP50" s="234"/>
      <c r="AQ50" s="234"/>
      <c r="AR50" s="234"/>
      <c r="AS50" s="234"/>
      <c r="AT50" s="234" t="s">
        <v>89</v>
      </c>
      <c r="AU50" s="234" t="s">
        <v>1540</v>
      </c>
      <c r="AV50" s="234" t="n">
        <v>0</v>
      </c>
      <c r="AW50" s="234"/>
      <c r="AX50" s="234"/>
      <c r="AY50" s="234"/>
      <c r="AZ50" s="234"/>
      <c r="BA50" s="234"/>
      <c r="BB50" s="234"/>
      <c r="BC50" s="234"/>
      <c r="BD50" s="234" t="s">
        <v>1541</v>
      </c>
      <c r="BE50" s="235" t="s">
        <v>1891</v>
      </c>
      <c r="BF50" s="234" t="n">
        <v>1</v>
      </c>
      <c r="BG50" s="234" t="s">
        <v>1530</v>
      </c>
      <c r="BH50" s="234" t="s">
        <v>1530</v>
      </c>
      <c r="BI50" s="234" t="n">
        <v>21600</v>
      </c>
      <c r="BJ50" s="234" t="s">
        <v>1543</v>
      </c>
      <c r="BK50" s="234" t="n">
        <v>21600</v>
      </c>
      <c r="BL50" s="234" t="s">
        <v>1544</v>
      </c>
      <c r="BM50" s="234"/>
      <c r="BN50" s="234"/>
      <c r="BO50" s="234"/>
      <c r="BP50" s="234"/>
      <c r="BQ50" s="234"/>
      <c r="BR50" s="234"/>
      <c r="BS50" s="234"/>
      <c r="BT50" s="234" t="s">
        <v>1586</v>
      </c>
      <c r="BU50" s="234" t="s">
        <v>1587</v>
      </c>
      <c r="BV50" s="234" t="s">
        <v>1549</v>
      </c>
      <c r="BW50" s="234"/>
      <c r="BX50" s="234"/>
      <c r="BY50" s="234"/>
      <c r="BZ50" s="234"/>
      <c r="CA50" s="234"/>
      <c r="CB50" s="234"/>
      <c r="CC50" s="234" t="s">
        <v>1586</v>
      </c>
      <c r="CD50" s="234" t="s">
        <v>1587</v>
      </c>
      <c r="CE50" s="234" t="s">
        <v>1549</v>
      </c>
      <c r="CF50" s="234"/>
      <c r="CG50" s="234"/>
      <c r="CH50" s="234"/>
      <c r="CI50" s="234" t="s">
        <v>0</v>
      </c>
      <c r="CJ50" s="234" t="s">
        <v>1551</v>
      </c>
      <c r="CK50" s="234" t="s">
        <v>1552</v>
      </c>
      <c r="CL50" s="234" t="s">
        <v>1553</v>
      </c>
      <c r="CM50" s="234" t="s">
        <v>1554</v>
      </c>
      <c r="CN50" s="234" t="s">
        <v>1549</v>
      </c>
      <c r="CO50" s="234" t="s">
        <v>1555</v>
      </c>
      <c r="CP50" s="234" t="s">
        <v>1556</v>
      </c>
      <c r="CQ50" s="234" t="s">
        <v>1557</v>
      </c>
      <c r="CR50" s="234" t="s">
        <v>1530</v>
      </c>
      <c r="CS50" s="234" t="s">
        <v>1530</v>
      </c>
      <c r="CT50" s="234" t="s">
        <v>1558</v>
      </c>
      <c r="CU50" s="234" t="s">
        <v>1530</v>
      </c>
      <c r="CV50" s="234" t="s">
        <v>1530</v>
      </c>
      <c r="CW50" s="234" t="s">
        <v>1530</v>
      </c>
      <c r="CX50" s="234" t="s">
        <v>1892</v>
      </c>
      <c r="CY50" s="234" t="s">
        <v>1530</v>
      </c>
      <c r="CZ50" s="234" t="s">
        <v>1530</v>
      </c>
      <c r="DA50" s="234" t="s">
        <v>1530</v>
      </c>
      <c r="DB50" s="234" t="s">
        <v>1892</v>
      </c>
      <c r="DC50" s="234" t="s">
        <v>1530</v>
      </c>
      <c r="DD50" s="234"/>
      <c r="DE50" s="234"/>
      <c r="DF50" s="234"/>
      <c r="DG50" s="234"/>
      <c r="DH50" s="234"/>
      <c r="DI50" s="234" t="s">
        <v>1572</v>
      </c>
      <c r="DJ50" s="234"/>
      <c r="DK50" s="234"/>
      <c r="DL50" s="234"/>
      <c r="DM50" s="234"/>
      <c r="DN50" s="234"/>
      <c r="DO50" s="234"/>
      <c r="DP50" s="234" t="s">
        <v>1560</v>
      </c>
      <c r="DQ50" s="234" t="n">
        <v>0</v>
      </c>
      <c r="DR50" s="234"/>
      <c r="DS50" s="234"/>
      <c r="DT50" s="234"/>
      <c r="DU50" s="234"/>
      <c r="DV50" s="234"/>
      <c r="DW50" s="234"/>
      <c r="DX50" s="234" t="s">
        <v>1561</v>
      </c>
      <c r="DY50" s="234"/>
      <c r="DZ50" s="234"/>
      <c r="EA50" s="234"/>
      <c r="EB50" s="234"/>
      <c r="EC50" s="234"/>
      <c r="ED50" s="234"/>
      <c r="EE50" s="234"/>
      <c r="EF50" s="234"/>
      <c r="EG50" s="234"/>
      <c r="EH50" s="234" t="s">
        <v>1562</v>
      </c>
      <c r="EI50" s="234"/>
      <c r="EJ50" s="234"/>
      <c r="EK50" s="234" t="s">
        <v>1563</v>
      </c>
      <c r="EL50" s="234"/>
      <c r="EM50" s="234" t="s">
        <v>1564</v>
      </c>
      <c r="EN50" s="234" t="s">
        <v>1565</v>
      </c>
      <c r="EO50" s="234" t="s">
        <v>1566</v>
      </c>
      <c r="EP50" s="234" t="s">
        <v>1558</v>
      </c>
      <c r="EQ50" s="234" t="n">
        <v>3888</v>
      </c>
      <c r="ER50" s="234" t="s">
        <v>1567</v>
      </c>
      <c r="ES50" s="234"/>
      <c r="ET50" s="234"/>
    </row>
    <row r="51" customFormat="false" ht="13.5" hidden="false" customHeight="false" outlineLevel="0" collapsed="false">
      <c r="A51" s="233" t="n">
        <v>45772</v>
      </c>
      <c r="B51" s="234" t="s">
        <v>1901</v>
      </c>
      <c r="C51" s="234" t="s">
        <v>222</v>
      </c>
      <c r="D51" s="234" t="s">
        <v>897</v>
      </c>
      <c r="E51" s="234" t="s">
        <v>1902</v>
      </c>
      <c r="F51" s="234" t="s">
        <v>221</v>
      </c>
      <c r="G51" s="234" t="s">
        <v>1570</v>
      </c>
      <c r="H51" s="234" t="s">
        <v>1571</v>
      </c>
      <c r="I51" s="234" t="s">
        <v>1524</v>
      </c>
      <c r="J51" s="234" t="s">
        <v>1525</v>
      </c>
      <c r="K51" s="233" t="n">
        <v>45772</v>
      </c>
      <c r="L51" s="234"/>
      <c r="M51" s="234" t="s">
        <v>1526</v>
      </c>
      <c r="N51" s="234" t="n">
        <v>1</v>
      </c>
      <c r="O51" s="234" t="s">
        <v>1527</v>
      </c>
      <c r="P51" s="234" t="s">
        <v>1528</v>
      </c>
      <c r="Q51" s="234" t="s">
        <v>1529</v>
      </c>
      <c r="R51" s="234" t="s">
        <v>1530</v>
      </c>
      <c r="S51" s="234"/>
      <c r="T51" s="234"/>
      <c r="U51" s="234" t="s">
        <v>1527</v>
      </c>
      <c r="V51" s="234"/>
      <c r="W51" s="234" t="s">
        <v>1530</v>
      </c>
      <c r="X51" s="234"/>
      <c r="Y51" s="234"/>
      <c r="Z51" s="234" t="s">
        <v>1572</v>
      </c>
      <c r="AA51" s="234" t="n">
        <v>21600</v>
      </c>
      <c r="AB51" s="234" t="n">
        <v>25488</v>
      </c>
      <c r="AC51" s="234" t="n">
        <v>0</v>
      </c>
      <c r="AD51" s="234" t="n">
        <v>0</v>
      </c>
      <c r="AE51" s="234" t="s">
        <v>1399</v>
      </c>
      <c r="AF51" s="234"/>
      <c r="AG51" s="233" t="n">
        <v>45773</v>
      </c>
      <c r="AH51" s="234" t="s">
        <v>1537</v>
      </c>
      <c r="AI51" s="234" t="s">
        <v>1870</v>
      </c>
      <c r="AJ51" s="234" t="s">
        <v>1539</v>
      </c>
      <c r="AK51" s="234"/>
      <c r="AL51" s="234"/>
      <c r="AM51" s="234"/>
      <c r="AN51" s="234"/>
      <c r="AO51" s="234"/>
      <c r="AP51" s="234"/>
      <c r="AQ51" s="234"/>
      <c r="AR51" s="234"/>
      <c r="AS51" s="234"/>
      <c r="AT51" s="234" t="s">
        <v>89</v>
      </c>
      <c r="AU51" s="234" t="s">
        <v>1540</v>
      </c>
      <c r="AV51" s="234" t="n">
        <v>0</v>
      </c>
      <c r="AW51" s="234"/>
      <c r="AX51" s="234"/>
      <c r="AY51" s="234"/>
      <c r="AZ51" s="234"/>
      <c r="BA51" s="234"/>
      <c r="BB51" s="234"/>
      <c r="BC51" s="234"/>
      <c r="BD51" s="234" t="s">
        <v>1541</v>
      </c>
      <c r="BE51" s="235" t="s">
        <v>1891</v>
      </c>
      <c r="BF51" s="234" t="n">
        <v>1</v>
      </c>
      <c r="BG51" s="234" t="s">
        <v>1530</v>
      </c>
      <c r="BH51" s="234" t="s">
        <v>1530</v>
      </c>
      <c r="BI51" s="234" t="n">
        <v>21600</v>
      </c>
      <c r="BJ51" s="234" t="s">
        <v>1543</v>
      </c>
      <c r="BK51" s="234" t="n">
        <v>21600</v>
      </c>
      <c r="BL51" s="234" t="s">
        <v>1544</v>
      </c>
      <c r="BM51" s="234"/>
      <c r="BN51" s="234"/>
      <c r="BO51" s="234"/>
      <c r="BP51" s="234"/>
      <c r="BQ51" s="234"/>
      <c r="BR51" s="234"/>
      <c r="BS51" s="234"/>
      <c r="BT51" s="234" t="s">
        <v>1586</v>
      </c>
      <c r="BU51" s="234" t="s">
        <v>1587</v>
      </c>
      <c r="BV51" s="234" t="s">
        <v>1549</v>
      </c>
      <c r="BW51" s="234"/>
      <c r="BX51" s="234"/>
      <c r="BY51" s="234"/>
      <c r="BZ51" s="234"/>
      <c r="CA51" s="234"/>
      <c r="CB51" s="234"/>
      <c r="CC51" s="234" t="s">
        <v>1586</v>
      </c>
      <c r="CD51" s="234" t="s">
        <v>1587</v>
      </c>
      <c r="CE51" s="234" t="s">
        <v>1549</v>
      </c>
      <c r="CF51" s="234"/>
      <c r="CG51" s="234"/>
      <c r="CH51" s="234"/>
      <c r="CI51" s="234" t="s">
        <v>0</v>
      </c>
      <c r="CJ51" s="234" t="s">
        <v>1551</v>
      </c>
      <c r="CK51" s="234" t="s">
        <v>1552</v>
      </c>
      <c r="CL51" s="234" t="s">
        <v>1553</v>
      </c>
      <c r="CM51" s="234" t="s">
        <v>1554</v>
      </c>
      <c r="CN51" s="234" t="s">
        <v>1549</v>
      </c>
      <c r="CO51" s="234" t="s">
        <v>1555</v>
      </c>
      <c r="CP51" s="234" t="s">
        <v>1556</v>
      </c>
      <c r="CQ51" s="234" t="s">
        <v>1557</v>
      </c>
      <c r="CR51" s="234" t="s">
        <v>1530</v>
      </c>
      <c r="CS51" s="234" t="s">
        <v>1530</v>
      </c>
      <c r="CT51" s="234" t="s">
        <v>1558</v>
      </c>
      <c r="CU51" s="234" t="s">
        <v>1530</v>
      </c>
      <c r="CV51" s="234" t="s">
        <v>1530</v>
      </c>
      <c r="CW51" s="234" t="s">
        <v>1530</v>
      </c>
      <c r="CX51" s="234" t="s">
        <v>1892</v>
      </c>
      <c r="CY51" s="234" t="s">
        <v>1530</v>
      </c>
      <c r="CZ51" s="234" t="s">
        <v>1530</v>
      </c>
      <c r="DA51" s="234" t="s">
        <v>1530</v>
      </c>
      <c r="DB51" s="234" t="s">
        <v>1892</v>
      </c>
      <c r="DC51" s="234" t="s">
        <v>1530</v>
      </c>
      <c r="DD51" s="234"/>
      <c r="DE51" s="234"/>
      <c r="DF51" s="234"/>
      <c r="DG51" s="234"/>
      <c r="DH51" s="234"/>
      <c r="DI51" s="234" t="s">
        <v>1572</v>
      </c>
      <c r="DJ51" s="234"/>
      <c r="DK51" s="234"/>
      <c r="DL51" s="234"/>
      <c r="DM51" s="234"/>
      <c r="DN51" s="234"/>
      <c r="DO51" s="234"/>
      <c r="DP51" s="234" t="s">
        <v>1560</v>
      </c>
      <c r="DQ51" s="234" t="n">
        <v>0</v>
      </c>
      <c r="DR51" s="234"/>
      <c r="DS51" s="234"/>
      <c r="DT51" s="234"/>
      <c r="DU51" s="234"/>
      <c r="DV51" s="234"/>
      <c r="DW51" s="234"/>
      <c r="DX51" s="234" t="s">
        <v>1561</v>
      </c>
      <c r="DY51" s="234"/>
      <c r="DZ51" s="234"/>
      <c r="EA51" s="234"/>
      <c r="EB51" s="234"/>
      <c r="EC51" s="234"/>
      <c r="ED51" s="234"/>
      <c r="EE51" s="234"/>
      <c r="EF51" s="234"/>
      <c r="EG51" s="234"/>
      <c r="EH51" s="234" t="s">
        <v>1562</v>
      </c>
      <c r="EI51" s="234"/>
      <c r="EJ51" s="234"/>
      <c r="EK51" s="234" t="s">
        <v>1563</v>
      </c>
      <c r="EL51" s="234"/>
      <c r="EM51" s="234" t="s">
        <v>1564</v>
      </c>
      <c r="EN51" s="234" t="s">
        <v>1565</v>
      </c>
      <c r="EO51" s="234" t="s">
        <v>1566</v>
      </c>
      <c r="EP51" s="234" t="s">
        <v>1558</v>
      </c>
      <c r="EQ51" s="234" t="n">
        <v>3888</v>
      </c>
      <c r="ER51" s="234" t="s">
        <v>1567</v>
      </c>
      <c r="ES51" s="234"/>
      <c r="ET51" s="234"/>
    </row>
    <row r="52" customFormat="false" ht="13.5" hidden="false" customHeight="false" outlineLevel="0" collapsed="false">
      <c r="A52" s="233" t="n">
        <v>45772</v>
      </c>
      <c r="B52" s="234" t="s">
        <v>1903</v>
      </c>
      <c r="C52" s="234" t="s">
        <v>224</v>
      </c>
      <c r="D52" s="234" t="s">
        <v>897</v>
      </c>
      <c r="E52" s="234" t="s">
        <v>1904</v>
      </c>
      <c r="F52" s="234" t="s">
        <v>223</v>
      </c>
      <c r="G52" s="234" t="s">
        <v>1570</v>
      </c>
      <c r="H52" s="234" t="s">
        <v>1571</v>
      </c>
      <c r="I52" s="234" t="s">
        <v>1524</v>
      </c>
      <c r="J52" s="234" t="s">
        <v>1525</v>
      </c>
      <c r="K52" s="233" t="n">
        <v>45772</v>
      </c>
      <c r="L52" s="234"/>
      <c r="M52" s="234" t="s">
        <v>1526</v>
      </c>
      <c r="N52" s="234" t="n">
        <v>1</v>
      </c>
      <c r="O52" s="234" t="s">
        <v>1527</v>
      </c>
      <c r="P52" s="234" t="s">
        <v>1528</v>
      </c>
      <c r="Q52" s="234" t="s">
        <v>1529</v>
      </c>
      <c r="R52" s="234" t="s">
        <v>1530</v>
      </c>
      <c r="S52" s="234"/>
      <c r="T52" s="234"/>
      <c r="U52" s="234" t="s">
        <v>1527</v>
      </c>
      <c r="V52" s="234"/>
      <c r="W52" s="234" t="s">
        <v>1530</v>
      </c>
      <c r="X52" s="234"/>
      <c r="Y52" s="234"/>
      <c r="Z52" s="234" t="s">
        <v>1572</v>
      </c>
      <c r="AA52" s="234" t="n">
        <v>21600</v>
      </c>
      <c r="AB52" s="234" t="n">
        <v>25488</v>
      </c>
      <c r="AC52" s="234" t="n">
        <v>0</v>
      </c>
      <c r="AD52" s="234" t="n">
        <v>0</v>
      </c>
      <c r="AE52" s="234" t="s">
        <v>1399</v>
      </c>
      <c r="AF52" s="234"/>
      <c r="AG52" s="233" t="n">
        <v>45772</v>
      </c>
      <c r="AH52" s="234" t="s">
        <v>1537</v>
      </c>
      <c r="AI52" s="234" t="s">
        <v>1870</v>
      </c>
      <c r="AJ52" s="234" t="s">
        <v>1539</v>
      </c>
      <c r="AK52" s="234"/>
      <c r="AL52" s="234"/>
      <c r="AM52" s="234"/>
      <c r="AN52" s="234"/>
      <c r="AO52" s="234"/>
      <c r="AP52" s="234"/>
      <c r="AQ52" s="234"/>
      <c r="AR52" s="234"/>
      <c r="AS52" s="234"/>
      <c r="AT52" s="234" t="s">
        <v>89</v>
      </c>
      <c r="AU52" s="234" t="s">
        <v>1540</v>
      </c>
      <c r="AV52" s="234" t="n">
        <v>0</v>
      </c>
      <c r="AW52" s="234"/>
      <c r="AX52" s="234"/>
      <c r="AY52" s="234"/>
      <c r="AZ52" s="234"/>
      <c r="BA52" s="234"/>
      <c r="BB52" s="234"/>
      <c r="BC52" s="234"/>
      <c r="BD52" s="234" t="s">
        <v>1541</v>
      </c>
      <c r="BE52" s="235" t="s">
        <v>1891</v>
      </c>
      <c r="BF52" s="234" t="n">
        <v>1</v>
      </c>
      <c r="BG52" s="234" t="s">
        <v>1530</v>
      </c>
      <c r="BH52" s="234" t="s">
        <v>1530</v>
      </c>
      <c r="BI52" s="234" t="n">
        <v>21600</v>
      </c>
      <c r="BJ52" s="234" t="s">
        <v>1543</v>
      </c>
      <c r="BK52" s="234" t="n">
        <v>21600</v>
      </c>
      <c r="BL52" s="234" t="s">
        <v>1544</v>
      </c>
      <c r="BM52" s="234"/>
      <c r="BN52" s="234"/>
      <c r="BO52" s="234"/>
      <c r="BP52" s="234"/>
      <c r="BQ52" s="234"/>
      <c r="BR52" s="234"/>
      <c r="BS52" s="234"/>
      <c r="BT52" s="234" t="s">
        <v>1586</v>
      </c>
      <c r="BU52" s="234" t="s">
        <v>1587</v>
      </c>
      <c r="BV52" s="234" t="s">
        <v>1549</v>
      </c>
      <c r="BW52" s="234"/>
      <c r="BX52" s="234"/>
      <c r="BY52" s="234"/>
      <c r="BZ52" s="234"/>
      <c r="CA52" s="234"/>
      <c r="CB52" s="234"/>
      <c r="CC52" s="234" t="s">
        <v>1586</v>
      </c>
      <c r="CD52" s="234" t="s">
        <v>1587</v>
      </c>
      <c r="CE52" s="234" t="s">
        <v>1549</v>
      </c>
      <c r="CF52" s="234"/>
      <c r="CG52" s="234"/>
      <c r="CH52" s="234"/>
      <c r="CI52" s="234" t="s">
        <v>0</v>
      </c>
      <c r="CJ52" s="234" t="s">
        <v>1551</v>
      </c>
      <c r="CK52" s="234" t="s">
        <v>1552</v>
      </c>
      <c r="CL52" s="234" t="s">
        <v>1553</v>
      </c>
      <c r="CM52" s="234" t="s">
        <v>1554</v>
      </c>
      <c r="CN52" s="234" t="s">
        <v>1549</v>
      </c>
      <c r="CO52" s="234" t="s">
        <v>1555</v>
      </c>
      <c r="CP52" s="234" t="s">
        <v>1556</v>
      </c>
      <c r="CQ52" s="234" t="s">
        <v>1557</v>
      </c>
      <c r="CR52" s="234" t="s">
        <v>1530</v>
      </c>
      <c r="CS52" s="234" t="s">
        <v>1530</v>
      </c>
      <c r="CT52" s="234" t="s">
        <v>1558</v>
      </c>
      <c r="CU52" s="234" t="s">
        <v>1530</v>
      </c>
      <c r="CV52" s="234" t="s">
        <v>1530</v>
      </c>
      <c r="CW52" s="234" t="s">
        <v>1530</v>
      </c>
      <c r="CX52" s="234" t="s">
        <v>1892</v>
      </c>
      <c r="CY52" s="234" t="s">
        <v>1530</v>
      </c>
      <c r="CZ52" s="234" t="s">
        <v>1530</v>
      </c>
      <c r="DA52" s="234" t="s">
        <v>1530</v>
      </c>
      <c r="DB52" s="234" t="s">
        <v>1892</v>
      </c>
      <c r="DC52" s="234" t="s">
        <v>1530</v>
      </c>
      <c r="DD52" s="234"/>
      <c r="DE52" s="234"/>
      <c r="DF52" s="234"/>
      <c r="DG52" s="234"/>
      <c r="DH52" s="234"/>
      <c r="DI52" s="234" t="s">
        <v>1572</v>
      </c>
      <c r="DJ52" s="234"/>
      <c r="DK52" s="234"/>
      <c r="DL52" s="234"/>
      <c r="DM52" s="234"/>
      <c r="DN52" s="234"/>
      <c r="DO52" s="234"/>
      <c r="DP52" s="234" t="s">
        <v>1560</v>
      </c>
      <c r="DQ52" s="234" t="n">
        <v>0</v>
      </c>
      <c r="DR52" s="234"/>
      <c r="DS52" s="234"/>
      <c r="DT52" s="234"/>
      <c r="DU52" s="234"/>
      <c r="DV52" s="234"/>
      <c r="DW52" s="234"/>
      <c r="DX52" s="234" t="s">
        <v>1561</v>
      </c>
      <c r="DY52" s="234"/>
      <c r="DZ52" s="234"/>
      <c r="EA52" s="234"/>
      <c r="EB52" s="234"/>
      <c r="EC52" s="234"/>
      <c r="ED52" s="234"/>
      <c r="EE52" s="234"/>
      <c r="EF52" s="234"/>
      <c r="EG52" s="234"/>
      <c r="EH52" s="234" t="s">
        <v>1562</v>
      </c>
      <c r="EI52" s="234"/>
      <c r="EJ52" s="234"/>
      <c r="EK52" s="234" t="s">
        <v>1563</v>
      </c>
      <c r="EL52" s="234"/>
      <c r="EM52" s="234" t="s">
        <v>1564</v>
      </c>
      <c r="EN52" s="234" t="s">
        <v>1565</v>
      </c>
      <c r="EO52" s="234" t="s">
        <v>1566</v>
      </c>
      <c r="EP52" s="234" t="s">
        <v>1558</v>
      </c>
      <c r="EQ52" s="234" t="n">
        <v>3888</v>
      </c>
      <c r="ER52" s="234" t="s">
        <v>1567</v>
      </c>
      <c r="ES52" s="234"/>
      <c r="ET52" s="234"/>
    </row>
    <row r="53" customFormat="false" ht="13.5" hidden="false" customHeight="false" outlineLevel="0" collapsed="false">
      <c r="A53" s="233" t="n">
        <v>45772</v>
      </c>
      <c r="B53" s="234" t="s">
        <v>1905</v>
      </c>
      <c r="C53" s="234" t="s">
        <v>226</v>
      </c>
      <c r="D53" s="234" t="s">
        <v>897</v>
      </c>
      <c r="E53" s="234" t="s">
        <v>1906</v>
      </c>
      <c r="F53" s="234" t="s">
        <v>225</v>
      </c>
      <c r="G53" s="234" t="s">
        <v>1570</v>
      </c>
      <c r="H53" s="234" t="s">
        <v>1571</v>
      </c>
      <c r="I53" s="234" t="s">
        <v>1524</v>
      </c>
      <c r="J53" s="234" t="s">
        <v>1525</v>
      </c>
      <c r="K53" s="233" t="n">
        <v>45772</v>
      </c>
      <c r="L53" s="234"/>
      <c r="M53" s="234" t="s">
        <v>1526</v>
      </c>
      <c r="N53" s="234" t="n">
        <v>1</v>
      </c>
      <c r="O53" s="234" t="s">
        <v>1527</v>
      </c>
      <c r="P53" s="234" t="s">
        <v>1528</v>
      </c>
      <c r="Q53" s="234" t="s">
        <v>1529</v>
      </c>
      <c r="R53" s="234" t="s">
        <v>1530</v>
      </c>
      <c r="S53" s="234"/>
      <c r="T53" s="234"/>
      <c r="U53" s="234" t="s">
        <v>1527</v>
      </c>
      <c r="V53" s="234"/>
      <c r="W53" s="234" t="s">
        <v>1530</v>
      </c>
      <c r="X53" s="234"/>
      <c r="Y53" s="234"/>
      <c r="Z53" s="234" t="s">
        <v>1572</v>
      </c>
      <c r="AA53" s="234" t="n">
        <v>21600</v>
      </c>
      <c r="AB53" s="234" t="n">
        <v>25488</v>
      </c>
      <c r="AC53" s="234" t="n">
        <v>0</v>
      </c>
      <c r="AD53" s="234" t="n">
        <v>0</v>
      </c>
      <c r="AE53" s="234" t="s">
        <v>1399</v>
      </c>
      <c r="AF53" s="234"/>
      <c r="AG53" s="233" t="n">
        <v>45772</v>
      </c>
      <c r="AH53" s="234" t="s">
        <v>1537</v>
      </c>
      <c r="AI53" s="234" t="s">
        <v>1870</v>
      </c>
      <c r="AJ53" s="234" t="s">
        <v>1539</v>
      </c>
      <c r="AK53" s="234"/>
      <c r="AL53" s="234"/>
      <c r="AM53" s="234"/>
      <c r="AN53" s="234"/>
      <c r="AO53" s="234"/>
      <c r="AP53" s="234"/>
      <c r="AQ53" s="234"/>
      <c r="AR53" s="234"/>
      <c r="AS53" s="234"/>
      <c r="AT53" s="234" t="s">
        <v>89</v>
      </c>
      <c r="AU53" s="234" t="s">
        <v>1540</v>
      </c>
      <c r="AV53" s="234" t="n">
        <v>0</v>
      </c>
      <c r="AW53" s="234"/>
      <c r="AX53" s="234"/>
      <c r="AY53" s="234"/>
      <c r="AZ53" s="234"/>
      <c r="BA53" s="234"/>
      <c r="BB53" s="234"/>
      <c r="BC53" s="234"/>
      <c r="BD53" s="234" t="s">
        <v>1541</v>
      </c>
      <c r="BE53" s="235" t="s">
        <v>1891</v>
      </c>
      <c r="BF53" s="234" t="n">
        <v>1</v>
      </c>
      <c r="BG53" s="234" t="s">
        <v>1530</v>
      </c>
      <c r="BH53" s="234" t="s">
        <v>1530</v>
      </c>
      <c r="BI53" s="234" t="n">
        <v>21600</v>
      </c>
      <c r="BJ53" s="234" t="s">
        <v>1543</v>
      </c>
      <c r="BK53" s="234" t="n">
        <v>21600</v>
      </c>
      <c r="BL53" s="234" t="s">
        <v>1544</v>
      </c>
      <c r="BM53" s="234"/>
      <c r="BN53" s="234"/>
      <c r="BO53" s="234"/>
      <c r="BP53" s="234"/>
      <c r="BQ53" s="234"/>
      <c r="BR53" s="234"/>
      <c r="BS53" s="234"/>
      <c r="BT53" s="234" t="s">
        <v>1586</v>
      </c>
      <c r="BU53" s="234" t="s">
        <v>1587</v>
      </c>
      <c r="BV53" s="234" t="s">
        <v>1549</v>
      </c>
      <c r="BW53" s="234"/>
      <c r="BX53" s="234"/>
      <c r="BY53" s="234"/>
      <c r="BZ53" s="234"/>
      <c r="CA53" s="234"/>
      <c r="CB53" s="234"/>
      <c r="CC53" s="234" t="s">
        <v>1586</v>
      </c>
      <c r="CD53" s="234" t="s">
        <v>1587</v>
      </c>
      <c r="CE53" s="234" t="s">
        <v>1549</v>
      </c>
      <c r="CF53" s="234"/>
      <c r="CG53" s="234"/>
      <c r="CH53" s="234"/>
      <c r="CI53" s="234" t="s">
        <v>0</v>
      </c>
      <c r="CJ53" s="234" t="s">
        <v>1551</v>
      </c>
      <c r="CK53" s="234" t="s">
        <v>1552</v>
      </c>
      <c r="CL53" s="234" t="s">
        <v>1553</v>
      </c>
      <c r="CM53" s="234" t="s">
        <v>1554</v>
      </c>
      <c r="CN53" s="234" t="s">
        <v>1549</v>
      </c>
      <c r="CO53" s="234" t="s">
        <v>1555</v>
      </c>
      <c r="CP53" s="234" t="s">
        <v>1556</v>
      </c>
      <c r="CQ53" s="234" t="s">
        <v>1557</v>
      </c>
      <c r="CR53" s="234" t="s">
        <v>1530</v>
      </c>
      <c r="CS53" s="234" t="s">
        <v>1530</v>
      </c>
      <c r="CT53" s="234" t="s">
        <v>1558</v>
      </c>
      <c r="CU53" s="234" t="s">
        <v>1530</v>
      </c>
      <c r="CV53" s="234" t="s">
        <v>1530</v>
      </c>
      <c r="CW53" s="234" t="s">
        <v>1530</v>
      </c>
      <c r="CX53" s="234" t="s">
        <v>1892</v>
      </c>
      <c r="CY53" s="234" t="s">
        <v>1530</v>
      </c>
      <c r="CZ53" s="234" t="s">
        <v>1530</v>
      </c>
      <c r="DA53" s="234" t="s">
        <v>1530</v>
      </c>
      <c r="DB53" s="234" t="s">
        <v>1892</v>
      </c>
      <c r="DC53" s="234" t="s">
        <v>1530</v>
      </c>
      <c r="DD53" s="234"/>
      <c r="DE53" s="234"/>
      <c r="DF53" s="234"/>
      <c r="DG53" s="234"/>
      <c r="DH53" s="234"/>
      <c r="DI53" s="234" t="s">
        <v>1572</v>
      </c>
      <c r="DJ53" s="234"/>
      <c r="DK53" s="234"/>
      <c r="DL53" s="234"/>
      <c r="DM53" s="234"/>
      <c r="DN53" s="234"/>
      <c r="DO53" s="234"/>
      <c r="DP53" s="234" t="s">
        <v>1560</v>
      </c>
      <c r="DQ53" s="234" t="n">
        <v>0</v>
      </c>
      <c r="DR53" s="234"/>
      <c r="DS53" s="234"/>
      <c r="DT53" s="234"/>
      <c r="DU53" s="234"/>
      <c r="DV53" s="234"/>
      <c r="DW53" s="234"/>
      <c r="DX53" s="234" t="s">
        <v>1561</v>
      </c>
      <c r="DY53" s="234"/>
      <c r="DZ53" s="234"/>
      <c r="EA53" s="234"/>
      <c r="EB53" s="234"/>
      <c r="EC53" s="234"/>
      <c r="ED53" s="234"/>
      <c r="EE53" s="234"/>
      <c r="EF53" s="234"/>
      <c r="EG53" s="234"/>
      <c r="EH53" s="234" t="s">
        <v>1562</v>
      </c>
      <c r="EI53" s="234"/>
      <c r="EJ53" s="234"/>
      <c r="EK53" s="234" t="s">
        <v>1563</v>
      </c>
      <c r="EL53" s="234"/>
      <c r="EM53" s="234" t="s">
        <v>1564</v>
      </c>
      <c r="EN53" s="234" t="s">
        <v>1565</v>
      </c>
      <c r="EO53" s="234" t="s">
        <v>1566</v>
      </c>
      <c r="EP53" s="234" t="s">
        <v>1558</v>
      </c>
      <c r="EQ53" s="234" t="n">
        <v>3888</v>
      </c>
      <c r="ER53" s="234" t="s">
        <v>1567</v>
      </c>
      <c r="ES53" s="234"/>
      <c r="ET53" s="234"/>
    </row>
    <row r="54" customFormat="false" ht="13.5" hidden="false" customHeight="false" outlineLevel="0" collapsed="false">
      <c r="A54" s="233" t="n">
        <v>45772</v>
      </c>
      <c r="B54" s="234" t="s">
        <v>1907</v>
      </c>
      <c r="C54" s="234" t="s">
        <v>228</v>
      </c>
      <c r="D54" s="234" t="s">
        <v>897</v>
      </c>
      <c r="E54" s="234" t="s">
        <v>1908</v>
      </c>
      <c r="F54" s="234" t="s">
        <v>227</v>
      </c>
      <c r="G54" s="234" t="s">
        <v>1570</v>
      </c>
      <c r="H54" s="234" t="s">
        <v>1571</v>
      </c>
      <c r="I54" s="234" t="s">
        <v>1524</v>
      </c>
      <c r="J54" s="234" t="s">
        <v>1525</v>
      </c>
      <c r="K54" s="233" t="n">
        <v>45772</v>
      </c>
      <c r="L54" s="234"/>
      <c r="M54" s="234" t="s">
        <v>1526</v>
      </c>
      <c r="N54" s="234" t="n">
        <v>1</v>
      </c>
      <c r="O54" s="234" t="s">
        <v>1527</v>
      </c>
      <c r="P54" s="234" t="s">
        <v>1528</v>
      </c>
      <c r="Q54" s="234" t="s">
        <v>1529</v>
      </c>
      <c r="R54" s="234" t="s">
        <v>1530</v>
      </c>
      <c r="S54" s="234"/>
      <c r="T54" s="234"/>
      <c r="U54" s="234" t="s">
        <v>1527</v>
      </c>
      <c r="V54" s="234"/>
      <c r="W54" s="234" t="s">
        <v>1530</v>
      </c>
      <c r="X54" s="234"/>
      <c r="Y54" s="234"/>
      <c r="Z54" s="234" t="s">
        <v>1572</v>
      </c>
      <c r="AA54" s="234" t="n">
        <v>21600</v>
      </c>
      <c r="AB54" s="234" t="n">
        <v>25488</v>
      </c>
      <c r="AC54" s="234" t="n">
        <v>0</v>
      </c>
      <c r="AD54" s="234" t="n">
        <v>0</v>
      </c>
      <c r="AE54" s="234" t="s">
        <v>1399</v>
      </c>
      <c r="AF54" s="234"/>
      <c r="AG54" s="233" t="n">
        <v>45772</v>
      </c>
      <c r="AH54" s="234" t="s">
        <v>1537</v>
      </c>
      <c r="AI54" s="234" t="s">
        <v>1870</v>
      </c>
      <c r="AJ54" s="234" t="s">
        <v>1539</v>
      </c>
      <c r="AK54" s="234"/>
      <c r="AL54" s="234"/>
      <c r="AM54" s="234"/>
      <c r="AN54" s="234"/>
      <c r="AO54" s="234"/>
      <c r="AP54" s="234"/>
      <c r="AQ54" s="234"/>
      <c r="AR54" s="234"/>
      <c r="AS54" s="234"/>
      <c r="AT54" s="234" t="s">
        <v>89</v>
      </c>
      <c r="AU54" s="234" t="s">
        <v>1540</v>
      </c>
      <c r="AV54" s="234" t="n">
        <v>0</v>
      </c>
      <c r="AW54" s="234"/>
      <c r="AX54" s="234"/>
      <c r="AY54" s="234"/>
      <c r="AZ54" s="234"/>
      <c r="BA54" s="234"/>
      <c r="BB54" s="234"/>
      <c r="BC54" s="234"/>
      <c r="BD54" s="234" t="s">
        <v>1541</v>
      </c>
      <c r="BE54" s="235" t="s">
        <v>1891</v>
      </c>
      <c r="BF54" s="234" t="n">
        <v>1</v>
      </c>
      <c r="BG54" s="234" t="s">
        <v>1530</v>
      </c>
      <c r="BH54" s="234" t="s">
        <v>1530</v>
      </c>
      <c r="BI54" s="234" t="n">
        <v>21600</v>
      </c>
      <c r="BJ54" s="234" t="s">
        <v>1543</v>
      </c>
      <c r="BK54" s="234" t="n">
        <v>21600</v>
      </c>
      <c r="BL54" s="234" t="s">
        <v>1544</v>
      </c>
      <c r="BM54" s="234"/>
      <c r="BN54" s="234"/>
      <c r="BO54" s="234"/>
      <c r="BP54" s="234"/>
      <c r="BQ54" s="234"/>
      <c r="BR54" s="234"/>
      <c r="BS54" s="234"/>
      <c r="BT54" s="234" t="s">
        <v>1586</v>
      </c>
      <c r="BU54" s="234" t="s">
        <v>1587</v>
      </c>
      <c r="BV54" s="234" t="s">
        <v>1549</v>
      </c>
      <c r="BW54" s="234"/>
      <c r="BX54" s="234"/>
      <c r="BY54" s="234"/>
      <c r="BZ54" s="234"/>
      <c r="CA54" s="234"/>
      <c r="CB54" s="234"/>
      <c r="CC54" s="234" t="s">
        <v>1586</v>
      </c>
      <c r="CD54" s="234" t="s">
        <v>1587</v>
      </c>
      <c r="CE54" s="234" t="s">
        <v>1549</v>
      </c>
      <c r="CF54" s="234"/>
      <c r="CG54" s="234"/>
      <c r="CH54" s="234"/>
      <c r="CI54" s="234" t="s">
        <v>0</v>
      </c>
      <c r="CJ54" s="234" t="s">
        <v>1551</v>
      </c>
      <c r="CK54" s="234" t="s">
        <v>1552</v>
      </c>
      <c r="CL54" s="234" t="s">
        <v>1553</v>
      </c>
      <c r="CM54" s="234" t="s">
        <v>1554</v>
      </c>
      <c r="CN54" s="234" t="s">
        <v>1549</v>
      </c>
      <c r="CO54" s="234" t="s">
        <v>1555</v>
      </c>
      <c r="CP54" s="234" t="s">
        <v>1556</v>
      </c>
      <c r="CQ54" s="234" t="s">
        <v>1557</v>
      </c>
      <c r="CR54" s="234" t="s">
        <v>1530</v>
      </c>
      <c r="CS54" s="234" t="s">
        <v>1530</v>
      </c>
      <c r="CT54" s="234" t="s">
        <v>1558</v>
      </c>
      <c r="CU54" s="234" t="s">
        <v>1530</v>
      </c>
      <c r="CV54" s="234" t="s">
        <v>1530</v>
      </c>
      <c r="CW54" s="234" t="s">
        <v>1530</v>
      </c>
      <c r="CX54" s="234" t="s">
        <v>1892</v>
      </c>
      <c r="CY54" s="234" t="s">
        <v>1530</v>
      </c>
      <c r="CZ54" s="234" t="s">
        <v>1530</v>
      </c>
      <c r="DA54" s="234" t="s">
        <v>1530</v>
      </c>
      <c r="DB54" s="234" t="s">
        <v>1892</v>
      </c>
      <c r="DC54" s="234" t="s">
        <v>1530</v>
      </c>
      <c r="DD54" s="234"/>
      <c r="DE54" s="234"/>
      <c r="DF54" s="234"/>
      <c r="DG54" s="234"/>
      <c r="DH54" s="234"/>
      <c r="DI54" s="234" t="s">
        <v>1572</v>
      </c>
      <c r="DJ54" s="234"/>
      <c r="DK54" s="234"/>
      <c r="DL54" s="234"/>
      <c r="DM54" s="234"/>
      <c r="DN54" s="234"/>
      <c r="DO54" s="234"/>
      <c r="DP54" s="234" t="s">
        <v>1560</v>
      </c>
      <c r="DQ54" s="234" t="n">
        <v>0</v>
      </c>
      <c r="DR54" s="234"/>
      <c r="DS54" s="234"/>
      <c r="DT54" s="234"/>
      <c r="DU54" s="234"/>
      <c r="DV54" s="234"/>
      <c r="DW54" s="234"/>
      <c r="DX54" s="234" t="s">
        <v>1561</v>
      </c>
      <c r="DY54" s="234"/>
      <c r="DZ54" s="234"/>
      <c r="EA54" s="234"/>
      <c r="EB54" s="234"/>
      <c r="EC54" s="234"/>
      <c r="ED54" s="234"/>
      <c r="EE54" s="234"/>
      <c r="EF54" s="234"/>
      <c r="EG54" s="234"/>
      <c r="EH54" s="234" t="s">
        <v>1562</v>
      </c>
      <c r="EI54" s="234"/>
      <c r="EJ54" s="234"/>
      <c r="EK54" s="234" t="s">
        <v>1563</v>
      </c>
      <c r="EL54" s="234"/>
      <c r="EM54" s="234" t="s">
        <v>1564</v>
      </c>
      <c r="EN54" s="234" t="s">
        <v>1565</v>
      </c>
      <c r="EO54" s="234" t="s">
        <v>1566</v>
      </c>
      <c r="EP54" s="234" t="s">
        <v>1558</v>
      </c>
      <c r="EQ54" s="234" t="n">
        <v>3888</v>
      </c>
      <c r="ER54" s="234" t="s">
        <v>1567</v>
      </c>
      <c r="ES54" s="234"/>
      <c r="ET54" s="234"/>
    </row>
    <row r="55" customFormat="false" ht="13.5" hidden="false" customHeight="false" outlineLevel="0" collapsed="false">
      <c r="A55" s="233" t="n">
        <v>45772</v>
      </c>
      <c r="B55" s="234" t="s">
        <v>1909</v>
      </c>
      <c r="C55" s="234" t="s">
        <v>1007</v>
      </c>
      <c r="D55" s="234" t="s">
        <v>947</v>
      </c>
      <c r="E55" s="234" t="s">
        <v>1910</v>
      </c>
      <c r="F55" s="234" t="s">
        <v>230</v>
      </c>
      <c r="G55" s="234" t="s">
        <v>1570</v>
      </c>
      <c r="H55" s="234" t="s">
        <v>1571</v>
      </c>
      <c r="I55" s="234" t="s">
        <v>1524</v>
      </c>
      <c r="J55" s="234" t="s">
        <v>1525</v>
      </c>
      <c r="K55" s="233" t="n">
        <v>45772</v>
      </c>
      <c r="L55" s="234"/>
      <c r="M55" s="234" t="s">
        <v>1526</v>
      </c>
      <c r="N55" s="234" t="n">
        <v>1</v>
      </c>
      <c r="O55" s="234" t="s">
        <v>1527</v>
      </c>
      <c r="P55" s="234" t="s">
        <v>1528</v>
      </c>
      <c r="Q55" s="234" t="s">
        <v>1529</v>
      </c>
      <c r="R55" s="234" t="s">
        <v>1530</v>
      </c>
      <c r="S55" s="234"/>
      <c r="T55" s="234"/>
      <c r="U55" s="234" t="s">
        <v>1527</v>
      </c>
      <c r="V55" s="234"/>
      <c r="W55" s="234" t="s">
        <v>1530</v>
      </c>
      <c r="X55" s="234"/>
      <c r="Y55" s="234"/>
      <c r="Z55" s="234" t="s">
        <v>1572</v>
      </c>
      <c r="AA55" s="234" t="n">
        <v>21600</v>
      </c>
      <c r="AB55" s="234" t="n">
        <v>25488</v>
      </c>
      <c r="AC55" s="234" t="n">
        <v>25488</v>
      </c>
      <c r="AD55" s="234" t="n">
        <v>0</v>
      </c>
      <c r="AE55" s="234" t="s">
        <v>1399</v>
      </c>
      <c r="AF55" s="234"/>
      <c r="AG55" s="234"/>
      <c r="AH55" s="234" t="s">
        <v>1537</v>
      </c>
      <c r="AI55" s="234" t="s">
        <v>1870</v>
      </c>
      <c r="AJ55" s="234" t="s">
        <v>1539</v>
      </c>
      <c r="AK55" s="234"/>
      <c r="AL55" s="234"/>
      <c r="AM55" s="234"/>
      <c r="AN55" s="234"/>
      <c r="AO55" s="234"/>
      <c r="AP55" s="234"/>
      <c r="AQ55" s="234"/>
      <c r="AR55" s="234"/>
      <c r="AS55" s="234"/>
      <c r="AT55" s="234" t="s">
        <v>89</v>
      </c>
      <c r="AU55" s="234" t="s">
        <v>1540</v>
      </c>
      <c r="AV55" s="234" t="n">
        <v>0</v>
      </c>
      <c r="AW55" s="234"/>
      <c r="AX55" s="234"/>
      <c r="AY55" s="234"/>
      <c r="AZ55" s="234"/>
      <c r="BA55" s="234"/>
      <c r="BB55" s="234"/>
      <c r="BC55" s="234"/>
      <c r="BD55" s="234" t="s">
        <v>1541</v>
      </c>
      <c r="BE55" s="235" t="s">
        <v>1891</v>
      </c>
      <c r="BF55" s="234" t="n">
        <v>1</v>
      </c>
      <c r="BG55" s="234" t="s">
        <v>1530</v>
      </c>
      <c r="BH55" s="234" t="s">
        <v>1530</v>
      </c>
      <c r="BI55" s="234" t="n">
        <v>21600</v>
      </c>
      <c r="BJ55" s="234" t="s">
        <v>1543</v>
      </c>
      <c r="BK55" s="234" t="n">
        <v>21600</v>
      </c>
      <c r="BL55" s="234" t="s">
        <v>1544</v>
      </c>
      <c r="BM55" s="234"/>
      <c r="BN55" s="234"/>
      <c r="BO55" s="234"/>
      <c r="BP55" s="234"/>
      <c r="BQ55" s="234"/>
      <c r="BR55" s="234"/>
      <c r="BS55" s="234"/>
      <c r="BT55" s="234" t="s">
        <v>1586</v>
      </c>
      <c r="BU55" s="234" t="s">
        <v>1587</v>
      </c>
      <c r="BV55" s="234" t="s">
        <v>1549</v>
      </c>
      <c r="BW55" s="234"/>
      <c r="BX55" s="234"/>
      <c r="BY55" s="234"/>
      <c r="BZ55" s="234"/>
      <c r="CA55" s="234"/>
      <c r="CB55" s="234"/>
      <c r="CC55" s="234" t="s">
        <v>1586</v>
      </c>
      <c r="CD55" s="234" t="s">
        <v>1587</v>
      </c>
      <c r="CE55" s="234" t="s">
        <v>1549</v>
      </c>
      <c r="CF55" s="234"/>
      <c r="CG55" s="234"/>
      <c r="CH55" s="234"/>
      <c r="CI55" s="234" t="s">
        <v>0</v>
      </c>
      <c r="CJ55" s="234" t="s">
        <v>1551</v>
      </c>
      <c r="CK55" s="234" t="s">
        <v>1552</v>
      </c>
      <c r="CL55" s="234" t="s">
        <v>1553</v>
      </c>
      <c r="CM55" s="234" t="s">
        <v>1554</v>
      </c>
      <c r="CN55" s="234" t="s">
        <v>1549</v>
      </c>
      <c r="CO55" s="234" t="s">
        <v>1555</v>
      </c>
      <c r="CP55" s="234" t="s">
        <v>1556</v>
      </c>
      <c r="CQ55" s="234" t="s">
        <v>1557</v>
      </c>
      <c r="CR55" s="234" t="s">
        <v>1530</v>
      </c>
      <c r="CS55" s="234" t="s">
        <v>1530</v>
      </c>
      <c r="CT55" s="234" t="s">
        <v>1558</v>
      </c>
      <c r="CU55" s="234" t="s">
        <v>1530</v>
      </c>
      <c r="CV55" s="234" t="s">
        <v>1530</v>
      </c>
      <c r="CW55" s="234" t="s">
        <v>1530</v>
      </c>
      <c r="CX55" s="234" t="s">
        <v>1892</v>
      </c>
      <c r="CY55" s="234" t="s">
        <v>1530</v>
      </c>
      <c r="CZ55" s="234" t="s">
        <v>1530</v>
      </c>
      <c r="DA55" s="234" t="s">
        <v>1530</v>
      </c>
      <c r="DB55" s="234" t="s">
        <v>1892</v>
      </c>
      <c r="DC55" s="234" t="s">
        <v>1530</v>
      </c>
      <c r="DD55" s="234"/>
      <c r="DE55" s="234"/>
      <c r="DF55" s="234"/>
      <c r="DG55" s="234"/>
      <c r="DH55" s="234"/>
      <c r="DI55" s="234" t="s">
        <v>1572</v>
      </c>
      <c r="DJ55" s="234"/>
      <c r="DK55" s="234"/>
      <c r="DL55" s="234"/>
      <c r="DM55" s="234"/>
      <c r="DN55" s="234"/>
      <c r="DO55" s="234"/>
      <c r="DP55" s="234" t="s">
        <v>1560</v>
      </c>
      <c r="DQ55" s="234" t="n">
        <v>0</v>
      </c>
      <c r="DR55" s="234"/>
      <c r="DS55" s="234"/>
      <c r="DT55" s="234"/>
      <c r="DU55" s="234"/>
      <c r="DV55" s="234"/>
      <c r="DW55" s="234"/>
      <c r="DX55" s="234" t="s">
        <v>1561</v>
      </c>
      <c r="DY55" s="234"/>
      <c r="DZ55" s="234"/>
      <c r="EA55" s="234"/>
      <c r="EB55" s="234"/>
      <c r="EC55" s="234"/>
      <c r="ED55" s="234"/>
      <c r="EE55" s="234"/>
      <c r="EF55" s="234"/>
      <c r="EG55" s="234"/>
      <c r="EH55" s="234" t="s">
        <v>1562</v>
      </c>
      <c r="EI55" s="234"/>
      <c r="EJ55" s="234"/>
      <c r="EK55" s="234" t="s">
        <v>1563</v>
      </c>
      <c r="EL55" s="234"/>
      <c r="EM55" s="234" t="s">
        <v>1564</v>
      </c>
      <c r="EN55" s="234" t="s">
        <v>1565</v>
      </c>
      <c r="EO55" s="234" t="s">
        <v>1566</v>
      </c>
      <c r="EP55" s="234" t="s">
        <v>1558</v>
      </c>
      <c r="EQ55" s="234" t="n">
        <v>3888</v>
      </c>
      <c r="ER55" s="234" t="s">
        <v>1567</v>
      </c>
      <c r="ES55" s="234"/>
      <c r="ET55" s="234"/>
    </row>
    <row r="56" customFormat="false" ht="13.5" hidden="false" customHeight="false" outlineLevel="0" collapsed="false">
      <c r="A56" s="233" t="n">
        <v>45772</v>
      </c>
      <c r="B56" s="234" t="s">
        <v>1911</v>
      </c>
      <c r="C56" s="234" t="s">
        <v>233</v>
      </c>
      <c r="D56" s="234" t="s">
        <v>897</v>
      </c>
      <c r="E56" s="234" t="s">
        <v>1912</v>
      </c>
      <c r="F56" s="234" t="s">
        <v>232</v>
      </c>
      <c r="G56" s="234" t="s">
        <v>1570</v>
      </c>
      <c r="H56" s="234" t="s">
        <v>1571</v>
      </c>
      <c r="I56" s="234" t="s">
        <v>1595</v>
      </c>
      <c r="J56" s="234" t="s">
        <v>1525</v>
      </c>
      <c r="K56" s="233" t="n">
        <v>45772</v>
      </c>
      <c r="L56" s="234"/>
      <c r="M56" s="234" t="s">
        <v>1526</v>
      </c>
      <c r="N56" s="234" t="n">
        <v>1</v>
      </c>
      <c r="O56" s="234" t="s">
        <v>1527</v>
      </c>
      <c r="P56" s="234" t="s">
        <v>1528</v>
      </c>
      <c r="Q56" s="234" t="s">
        <v>1529</v>
      </c>
      <c r="R56" s="234" t="s">
        <v>1530</v>
      </c>
      <c r="S56" s="234"/>
      <c r="T56" s="234"/>
      <c r="U56" s="234" t="s">
        <v>1531</v>
      </c>
      <c r="V56" s="234" t="s">
        <v>1532</v>
      </c>
      <c r="W56" s="234" t="s">
        <v>1533</v>
      </c>
      <c r="X56" s="234" t="s">
        <v>1534</v>
      </c>
      <c r="Y56" s="234" t="s">
        <v>1535</v>
      </c>
      <c r="Z56" s="234" t="s">
        <v>1913</v>
      </c>
      <c r="AA56" s="234" t="n">
        <v>75000</v>
      </c>
      <c r="AB56" s="234" t="n">
        <v>87000</v>
      </c>
      <c r="AC56" s="234" t="n">
        <v>0</v>
      </c>
      <c r="AD56" s="234" t="n">
        <v>0</v>
      </c>
      <c r="AE56" s="234" t="s">
        <v>1399</v>
      </c>
      <c r="AF56" s="234"/>
      <c r="AG56" s="233" t="n">
        <v>45773</v>
      </c>
      <c r="AH56" s="234" t="s">
        <v>1537</v>
      </c>
      <c r="AI56" s="234" t="s">
        <v>1870</v>
      </c>
      <c r="AJ56" s="234" t="s">
        <v>1539</v>
      </c>
      <c r="AK56" s="234"/>
      <c r="AL56" s="234"/>
      <c r="AM56" s="234"/>
      <c r="AN56" s="234"/>
      <c r="AO56" s="234"/>
      <c r="AP56" s="234"/>
      <c r="AQ56" s="234"/>
      <c r="AR56" s="234"/>
      <c r="AS56" s="234"/>
      <c r="AT56" s="234" t="s">
        <v>89</v>
      </c>
      <c r="AU56" s="234" t="s">
        <v>1540</v>
      </c>
      <c r="AV56" s="234" t="n">
        <v>0</v>
      </c>
      <c r="AW56" s="234"/>
      <c r="AX56" s="234"/>
      <c r="AY56" s="234"/>
      <c r="AZ56" s="234"/>
      <c r="BA56" s="234"/>
      <c r="BB56" s="234"/>
      <c r="BC56" s="234"/>
      <c r="BD56" s="234" t="s">
        <v>1541</v>
      </c>
      <c r="BE56" s="235" t="s">
        <v>1914</v>
      </c>
      <c r="BF56" s="234" t="n">
        <v>1</v>
      </c>
      <c r="BG56" s="234" t="s">
        <v>1530</v>
      </c>
      <c r="BH56" s="234" t="s">
        <v>1530</v>
      </c>
      <c r="BI56" s="234" t="n">
        <v>75000</v>
      </c>
      <c r="BJ56" s="234" t="s">
        <v>1543</v>
      </c>
      <c r="BK56" s="234" t="n">
        <v>75000</v>
      </c>
      <c r="BL56" s="234" t="s">
        <v>1544</v>
      </c>
      <c r="BM56" s="234"/>
      <c r="BN56" s="234"/>
      <c r="BO56" s="234"/>
      <c r="BP56" s="234"/>
      <c r="BQ56" s="234"/>
      <c r="BR56" s="235" t="s">
        <v>1915</v>
      </c>
      <c r="BS56" s="235" t="s">
        <v>1916</v>
      </c>
      <c r="BT56" s="234" t="s">
        <v>1601</v>
      </c>
      <c r="BU56" s="234" t="s">
        <v>1587</v>
      </c>
      <c r="BV56" s="234" t="s">
        <v>1549</v>
      </c>
      <c r="BW56" s="234" t="s">
        <v>1917</v>
      </c>
      <c r="BX56" s="234"/>
      <c r="BY56" s="234"/>
      <c r="BZ56" s="234"/>
      <c r="CA56" s="235" t="s">
        <v>1915</v>
      </c>
      <c r="CB56" s="235" t="s">
        <v>1916</v>
      </c>
      <c r="CC56" s="234" t="s">
        <v>1601</v>
      </c>
      <c r="CD56" s="234" t="s">
        <v>1587</v>
      </c>
      <c r="CE56" s="234" t="s">
        <v>1549</v>
      </c>
      <c r="CF56" s="234" t="s">
        <v>1917</v>
      </c>
      <c r="CG56" s="234"/>
      <c r="CH56" s="234"/>
      <c r="CI56" s="234" t="s">
        <v>0</v>
      </c>
      <c r="CJ56" s="234" t="s">
        <v>1551</v>
      </c>
      <c r="CK56" s="234" t="s">
        <v>1552</v>
      </c>
      <c r="CL56" s="234" t="s">
        <v>1553</v>
      </c>
      <c r="CM56" s="234" t="s">
        <v>1554</v>
      </c>
      <c r="CN56" s="234" t="s">
        <v>1549</v>
      </c>
      <c r="CO56" s="234" t="s">
        <v>1555</v>
      </c>
      <c r="CP56" s="234" t="s">
        <v>1556</v>
      </c>
      <c r="CQ56" s="234" t="s">
        <v>1557</v>
      </c>
      <c r="CR56" s="234" t="s">
        <v>1530</v>
      </c>
      <c r="CS56" s="234" t="s">
        <v>1530</v>
      </c>
      <c r="CT56" s="234" t="s">
        <v>1558</v>
      </c>
      <c r="CU56" s="234" t="s">
        <v>1530</v>
      </c>
      <c r="CV56" s="234" t="s">
        <v>1530</v>
      </c>
      <c r="CW56" s="234" t="s">
        <v>1530</v>
      </c>
      <c r="CX56" s="234" t="s">
        <v>1918</v>
      </c>
      <c r="CY56" s="234" t="s">
        <v>1530</v>
      </c>
      <c r="CZ56" s="234" t="s">
        <v>1530</v>
      </c>
      <c r="DA56" s="234" t="s">
        <v>1530</v>
      </c>
      <c r="DB56" s="234" t="s">
        <v>1918</v>
      </c>
      <c r="DC56" s="234" t="s">
        <v>1530</v>
      </c>
      <c r="DD56" s="234"/>
      <c r="DE56" s="234"/>
      <c r="DF56" s="234"/>
      <c r="DG56" s="234"/>
      <c r="DH56" s="234"/>
      <c r="DI56" s="234"/>
      <c r="DJ56" s="234"/>
      <c r="DK56" s="234"/>
      <c r="DL56" s="234" t="s">
        <v>1919</v>
      </c>
      <c r="DM56" s="234"/>
      <c r="DN56" s="234"/>
      <c r="DO56" s="234"/>
      <c r="DP56" s="234" t="s">
        <v>1560</v>
      </c>
      <c r="DQ56" s="234" t="n">
        <v>0</v>
      </c>
      <c r="DR56" s="234"/>
      <c r="DS56" s="234"/>
      <c r="DT56" s="234"/>
      <c r="DU56" s="234"/>
      <c r="DV56" s="234"/>
      <c r="DW56" s="234"/>
      <c r="DX56" s="234" t="s">
        <v>1561</v>
      </c>
      <c r="DY56" s="234"/>
      <c r="DZ56" s="234"/>
      <c r="EA56" s="234"/>
      <c r="EB56" s="234"/>
      <c r="EC56" s="234"/>
      <c r="ED56" s="234"/>
      <c r="EE56" s="234"/>
      <c r="EF56" s="234"/>
      <c r="EG56" s="234"/>
      <c r="EH56" s="234" t="s">
        <v>1562</v>
      </c>
      <c r="EI56" s="234"/>
      <c r="EJ56" s="234"/>
      <c r="EK56" s="234" t="s">
        <v>1563</v>
      </c>
      <c r="EL56" s="234"/>
      <c r="EM56" s="234" t="s">
        <v>1564</v>
      </c>
      <c r="EN56" s="234" t="s">
        <v>1565</v>
      </c>
      <c r="EO56" s="234" t="s">
        <v>1566</v>
      </c>
      <c r="EP56" s="234" t="s">
        <v>1558</v>
      </c>
      <c r="EQ56" s="234" t="n">
        <v>13500</v>
      </c>
      <c r="ER56" s="234" t="s">
        <v>1567</v>
      </c>
      <c r="ES56" s="234"/>
      <c r="ET56" s="234"/>
    </row>
    <row r="57" customFormat="false" ht="13.5" hidden="false" customHeight="false" outlineLevel="0" collapsed="false">
      <c r="A57" s="233" t="n">
        <v>45773</v>
      </c>
      <c r="B57" s="234" t="s">
        <v>1920</v>
      </c>
      <c r="C57" s="234" t="s">
        <v>235</v>
      </c>
      <c r="D57" s="234" t="s">
        <v>947</v>
      </c>
      <c r="E57" s="234" t="s">
        <v>1921</v>
      </c>
      <c r="F57" s="234" t="s">
        <v>1008</v>
      </c>
      <c r="G57" s="234" t="s">
        <v>1570</v>
      </c>
      <c r="H57" s="234" t="s">
        <v>1571</v>
      </c>
      <c r="I57" s="234" t="s">
        <v>1524</v>
      </c>
      <c r="J57" s="234" t="s">
        <v>1525</v>
      </c>
      <c r="K57" s="233" t="n">
        <v>45773</v>
      </c>
      <c r="L57" s="234"/>
      <c r="M57" s="234" t="s">
        <v>1526</v>
      </c>
      <c r="N57" s="234" t="n">
        <v>1</v>
      </c>
      <c r="O57" s="234" t="s">
        <v>1527</v>
      </c>
      <c r="P57" s="234" t="s">
        <v>1528</v>
      </c>
      <c r="Q57" s="234" t="s">
        <v>1529</v>
      </c>
      <c r="R57" s="234" t="s">
        <v>1530</v>
      </c>
      <c r="S57" s="234"/>
      <c r="T57" s="234"/>
      <c r="U57" s="234" t="s">
        <v>1531</v>
      </c>
      <c r="V57" s="234" t="s">
        <v>1532</v>
      </c>
      <c r="W57" s="234" t="s">
        <v>1533</v>
      </c>
      <c r="X57" s="234" t="s">
        <v>1534</v>
      </c>
      <c r="Y57" s="234" t="s">
        <v>1535</v>
      </c>
      <c r="Z57" s="234" t="s">
        <v>1922</v>
      </c>
      <c r="AA57" s="234" t="n">
        <v>40000</v>
      </c>
      <c r="AB57" s="234" t="n">
        <v>46400</v>
      </c>
      <c r="AC57" s="234" t="n">
        <v>46400</v>
      </c>
      <c r="AD57" s="234" t="n">
        <v>0</v>
      </c>
      <c r="AE57" s="234" t="s">
        <v>1399</v>
      </c>
      <c r="AF57" s="234"/>
      <c r="AG57" s="234"/>
      <c r="AH57" s="234" t="s">
        <v>1537</v>
      </c>
      <c r="AI57" s="234" t="s">
        <v>1870</v>
      </c>
      <c r="AJ57" s="234" t="s">
        <v>1539</v>
      </c>
      <c r="AK57" s="234"/>
      <c r="AL57" s="234"/>
      <c r="AM57" s="234"/>
      <c r="AN57" s="234"/>
      <c r="AO57" s="234"/>
      <c r="AP57" s="234"/>
      <c r="AQ57" s="234"/>
      <c r="AR57" s="234"/>
      <c r="AS57" s="234"/>
      <c r="AT57" s="234" t="s">
        <v>89</v>
      </c>
      <c r="AU57" s="234" t="s">
        <v>1540</v>
      </c>
      <c r="AV57" s="234" t="n">
        <v>0</v>
      </c>
      <c r="AW57" s="234"/>
      <c r="AX57" s="234"/>
      <c r="AY57" s="234"/>
      <c r="AZ57" s="234"/>
      <c r="BA57" s="234"/>
      <c r="BB57" s="234"/>
      <c r="BC57" s="234"/>
      <c r="BD57" s="234" t="s">
        <v>1541</v>
      </c>
      <c r="BE57" s="235" t="s">
        <v>1923</v>
      </c>
      <c r="BF57" s="234" t="n">
        <v>1</v>
      </c>
      <c r="BG57" s="234" t="s">
        <v>1530</v>
      </c>
      <c r="BH57" s="234" t="s">
        <v>1530</v>
      </c>
      <c r="BI57" s="234" t="n">
        <v>40000</v>
      </c>
      <c r="BJ57" s="234" t="s">
        <v>1543</v>
      </c>
      <c r="BK57" s="234" t="n">
        <v>40000</v>
      </c>
      <c r="BL57" s="234" t="s">
        <v>1544</v>
      </c>
      <c r="BM57" s="234"/>
      <c r="BN57" s="234"/>
      <c r="BO57" s="234"/>
      <c r="BP57" s="234"/>
      <c r="BQ57" s="234"/>
      <c r="BR57" s="234" t="s">
        <v>1924</v>
      </c>
      <c r="BS57" s="235" t="s">
        <v>1925</v>
      </c>
      <c r="BT57" s="234" t="s">
        <v>1586</v>
      </c>
      <c r="BU57" s="234" t="s">
        <v>1587</v>
      </c>
      <c r="BV57" s="234" t="s">
        <v>1549</v>
      </c>
      <c r="BW57" s="234" t="s">
        <v>1926</v>
      </c>
      <c r="BX57" s="234"/>
      <c r="BY57" s="234"/>
      <c r="BZ57" s="234"/>
      <c r="CA57" s="234" t="s">
        <v>1924</v>
      </c>
      <c r="CB57" s="235" t="s">
        <v>1925</v>
      </c>
      <c r="CC57" s="234" t="s">
        <v>1586</v>
      </c>
      <c r="CD57" s="234" t="s">
        <v>1587</v>
      </c>
      <c r="CE57" s="234" t="s">
        <v>1549</v>
      </c>
      <c r="CF57" s="234" t="s">
        <v>1926</v>
      </c>
      <c r="CG57" s="234"/>
      <c r="CH57" s="234"/>
      <c r="CI57" s="234" t="s">
        <v>0</v>
      </c>
      <c r="CJ57" s="234" t="s">
        <v>1551</v>
      </c>
      <c r="CK57" s="234" t="s">
        <v>1552</v>
      </c>
      <c r="CL57" s="234" t="s">
        <v>1553</v>
      </c>
      <c r="CM57" s="234" t="s">
        <v>1554</v>
      </c>
      <c r="CN57" s="234" t="s">
        <v>1549</v>
      </c>
      <c r="CO57" s="234" t="s">
        <v>1555</v>
      </c>
      <c r="CP57" s="234" t="s">
        <v>1556</v>
      </c>
      <c r="CQ57" s="234" t="s">
        <v>1557</v>
      </c>
      <c r="CR57" s="234" t="s">
        <v>1530</v>
      </c>
      <c r="CS57" s="234" t="s">
        <v>1530</v>
      </c>
      <c r="CT57" s="234" t="s">
        <v>1558</v>
      </c>
      <c r="CU57" s="234" t="s">
        <v>1530</v>
      </c>
      <c r="CV57" s="234" t="s">
        <v>1530</v>
      </c>
      <c r="CW57" s="234" t="s">
        <v>1530</v>
      </c>
      <c r="CX57" s="234" t="s">
        <v>1927</v>
      </c>
      <c r="CY57" s="234" t="s">
        <v>1530</v>
      </c>
      <c r="CZ57" s="234" t="s">
        <v>1530</v>
      </c>
      <c r="DA57" s="234" t="s">
        <v>1530</v>
      </c>
      <c r="DB57" s="234" t="s">
        <v>1927</v>
      </c>
      <c r="DC57" s="234" t="s">
        <v>1530</v>
      </c>
      <c r="DD57" s="234"/>
      <c r="DE57" s="234"/>
      <c r="DF57" s="234"/>
      <c r="DG57" s="234"/>
      <c r="DH57" s="234"/>
      <c r="DI57" s="234"/>
      <c r="DJ57" s="234"/>
      <c r="DK57" s="234"/>
      <c r="DL57" s="234"/>
      <c r="DM57" s="234"/>
      <c r="DN57" s="234"/>
      <c r="DO57" s="234"/>
      <c r="DP57" s="234" t="s">
        <v>1560</v>
      </c>
      <c r="DQ57" s="234" t="n">
        <v>0</v>
      </c>
      <c r="DR57" s="234"/>
      <c r="DS57" s="234"/>
      <c r="DT57" s="234"/>
      <c r="DU57" s="234"/>
      <c r="DV57" s="234"/>
      <c r="DW57" s="234"/>
      <c r="DX57" s="234" t="s">
        <v>1561</v>
      </c>
      <c r="DY57" s="234"/>
      <c r="DZ57" s="234"/>
      <c r="EA57" s="234"/>
      <c r="EB57" s="234"/>
      <c r="EC57" s="234"/>
      <c r="ED57" s="234"/>
      <c r="EE57" s="234"/>
      <c r="EF57" s="234"/>
      <c r="EG57" s="234"/>
      <c r="EH57" s="234" t="s">
        <v>1562</v>
      </c>
      <c r="EI57" s="234"/>
      <c r="EJ57" s="234"/>
      <c r="EK57" s="234" t="s">
        <v>1563</v>
      </c>
      <c r="EL57" s="234"/>
      <c r="EM57" s="234" t="s">
        <v>1564</v>
      </c>
      <c r="EN57" s="234" t="s">
        <v>1565</v>
      </c>
      <c r="EO57" s="234" t="s">
        <v>1566</v>
      </c>
      <c r="EP57" s="234" t="s">
        <v>1558</v>
      </c>
      <c r="EQ57" s="234" t="n">
        <v>7200</v>
      </c>
      <c r="ER57" s="234" t="s">
        <v>1567</v>
      </c>
      <c r="ES57" s="234"/>
      <c r="ET57" s="234"/>
    </row>
    <row r="58" customFormat="false" ht="13.5" hidden="false" customHeight="false" outlineLevel="0" collapsed="false">
      <c r="A58" s="233" t="n">
        <v>45773</v>
      </c>
      <c r="B58" s="234" t="s">
        <v>1928</v>
      </c>
      <c r="C58" s="234" t="s">
        <v>237</v>
      </c>
      <c r="D58" s="234" t="s">
        <v>947</v>
      </c>
      <c r="E58" s="234" t="s">
        <v>1929</v>
      </c>
      <c r="F58" s="234" t="s">
        <v>236</v>
      </c>
      <c r="G58" s="234" t="s">
        <v>1570</v>
      </c>
      <c r="H58" s="234" t="s">
        <v>1571</v>
      </c>
      <c r="I58" s="234" t="s">
        <v>1595</v>
      </c>
      <c r="J58" s="234" t="s">
        <v>1525</v>
      </c>
      <c r="K58" s="233" t="n">
        <v>45773</v>
      </c>
      <c r="L58" s="234"/>
      <c r="M58" s="234" t="s">
        <v>1526</v>
      </c>
      <c r="N58" s="234" t="n">
        <v>1</v>
      </c>
      <c r="O58" s="234" t="s">
        <v>1527</v>
      </c>
      <c r="P58" s="234" t="s">
        <v>1528</v>
      </c>
      <c r="Q58" s="234" t="s">
        <v>1529</v>
      </c>
      <c r="R58" s="234" t="s">
        <v>1530</v>
      </c>
      <c r="S58" s="234"/>
      <c r="T58" s="234"/>
      <c r="U58" s="234" t="s">
        <v>1527</v>
      </c>
      <c r="V58" s="234"/>
      <c r="W58" s="234" t="s">
        <v>1530</v>
      </c>
      <c r="X58" s="234"/>
      <c r="Y58" s="234"/>
      <c r="Z58" s="234" t="s">
        <v>1572</v>
      </c>
      <c r="AA58" s="234" t="n">
        <v>10000</v>
      </c>
      <c r="AB58" s="234" t="n">
        <v>11800</v>
      </c>
      <c r="AC58" s="234" t="n">
        <v>11800</v>
      </c>
      <c r="AD58" s="234" t="n">
        <v>0</v>
      </c>
      <c r="AE58" s="234" t="s">
        <v>1399</v>
      </c>
      <c r="AF58" s="234"/>
      <c r="AG58" s="234"/>
      <c r="AH58" s="234" t="s">
        <v>1537</v>
      </c>
      <c r="AI58" s="234" t="s">
        <v>1870</v>
      </c>
      <c r="AJ58" s="234" t="s">
        <v>1539</v>
      </c>
      <c r="AK58" s="234"/>
      <c r="AL58" s="234"/>
      <c r="AM58" s="234"/>
      <c r="AN58" s="234"/>
      <c r="AO58" s="234"/>
      <c r="AP58" s="234"/>
      <c r="AQ58" s="234"/>
      <c r="AR58" s="234"/>
      <c r="AS58" s="234"/>
      <c r="AT58" s="234" t="s">
        <v>89</v>
      </c>
      <c r="AU58" s="234" t="s">
        <v>1540</v>
      </c>
      <c r="AV58" s="234" t="n">
        <v>0</v>
      </c>
      <c r="AW58" s="234"/>
      <c r="AX58" s="234"/>
      <c r="AY58" s="234"/>
      <c r="AZ58" s="234"/>
      <c r="BA58" s="234"/>
      <c r="BB58" s="234"/>
      <c r="BC58" s="234"/>
      <c r="BD58" s="234" t="s">
        <v>1541</v>
      </c>
      <c r="BE58" s="235" t="s">
        <v>1930</v>
      </c>
      <c r="BF58" s="234" t="n">
        <v>1</v>
      </c>
      <c r="BG58" s="234" t="s">
        <v>1530</v>
      </c>
      <c r="BH58" s="234" t="s">
        <v>1530</v>
      </c>
      <c r="BI58" s="234" t="n">
        <v>10000</v>
      </c>
      <c r="BJ58" s="234" t="s">
        <v>1543</v>
      </c>
      <c r="BK58" s="234" t="n">
        <v>10000</v>
      </c>
      <c r="BL58" s="234" t="s">
        <v>1544</v>
      </c>
      <c r="BM58" s="234"/>
      <c r="BN58" s="234"/>
      <c r="BO58" s="234"/>
      <c r="BP58" s="234"/>
      <c r="BQ58" s="234"/>
      <c r="BR58" s="234" t="s">
        <v>1931</v>
      </c>
      <c r="BS58" s="234" t="s">
        <v>1932</v>
      </c>
      <c r="BT58" s="234" t="s">
        <v>1687</v>
      </c>
      <c r="BU58" s="234" t="s">
        <v>1587</v>
      </c>
      <c r="BV58" s="234" t="s">
        <v>1549</v>
      </c>
      <c r="BW58" s="234" t="s">
        <v>1805</v>
      </c>
      <c r="BX58" s="234"/>
      <c r="BY58" s="234"/>
      <c r="BZ58" s="234"/>
      <c r="CA58" s="234" t="s">
        <v>1931</v>
      </c>
      <c r="CB58" s="234" t="s">
        <v>1932</v>
      </c>
      <c r="CC58" s="234" t="s">
        <v>1687</v>
      </c>
      <c r="CD58" s="234" t="s">
        <v>1587</v>
      </c>
      <c r="CE58" s="234" t="s">
        <v>1549</v>
      </c>
      <c r="CF58" s="234" t="s">
        <v>1805</v>
      </c>
      <c r="CG58" s="234"/>
      <c r="CH58" s="234"/>
      <c r="CI58" s="234" t="s">
        <v>0</v>
      </c>
      <c r="CJ58" s="234" t="s">
        <v>1551</v>
      </c>
      <c r="CK58" s="234" t="s">
        <v>1552</v>
      </c>
      <c r="CL58" s="234" t="s">
        <v>1553</v>
      </c>
      <c r="CM58" s="234" t="s">
        <v>1554</v>
      </c>
      <c r="CN58" s="234" t="s">
        <v>1549</v>
      </c>
      <c r="CO58" s="234" t="s">
        <v>1555</v>
      </c>
      <c r="CP58" s="234" t="s">
        <v>1556</v>
      </c>
      <c r="CQ58" s="234" t="s">
        <v>1557</v>
      </c>
      <c r="CR58" s="234" t="s">
        <v>1530</v>
      </c>
      <c r="CS58" s="234" t="s">
        <v>1530</v>
      </c>
      <c r="CT58" s="234" t="s">
        <v>1558</v>
      </c>
      <c r="CU58" s="234" t="s">
        <v>1530</v>
      </c>
      <c r="CV58" s="234" t="s">
        <v>1530</v>
      </c>
      <c r="CW58" s="234" t="s">
        <v>1530</v>
      </c>
      <c r="CX58" s="234" t="s">
        <v>1701</v>
      </c>
      <c r="CY58" s="234" t="s">
        <v>1530</v>
      </c>
      <c r="CZ58" s="234" t="s">
        <v>1530</v>
      </c>
      <c r="DA58" s="234" t="s">
        <v>1530</v>
      </c>
      <c r="DB58" s="234" t="s">
        <v>1701</v>
      </c>
      <c r="DC58" s="234" t="s">
        <v>1530</v>
      </c>
      <c r="DD58" s="234"/>
      <c r="DE58" s="234"/>
      <c r="DF58" s="234"/>
      <c r="DG58" s="234"/>
      <c r="DH58" s="234"/>
      <c r="DI58" s="234" t="s">
        <v>1572</v>
      </c>
      <c r="DJ58" s="234"/>
      <c r="DK58" s="234"/>
      <c r="DL58" s="234" t="s">
        <v>1933</v>
      </c>
      <c r="DM58" s="234"/>
      <c r="DN58" s="234"/>
      <c r="DO58" s="234"/>
      <c r="DP58" s="234" t="s">
        <v>1560</v>
      </c>
      <c r="DQ58" s="234" t="n">
        <v>0</v>
      </c>
      <c r="DR58" s="234"/>
      <c r="DS58" s="234"/>
      <c r="DT58" s="234"/>
      <c r="DU58" s="234"/>
      <c r="DV58" s="234"/>
      <c r="DW58" s="234"/>
      <c r="DX58" s="234" t="s">
        <v>1561</v>
      </c>
      <c r="DY58" s="234"/>
      <c r="DZ58" s="234"/>
      <c r="EA58" s="234"/>
      <c r="EB58" s="234"/>
      <c r="EC58" s="234"/>
      <c r="ED58" s="234"/>
      <c r="EE58" s="234"/>
      <c r="EF58" s="234"/>
      <c r="EG58" s="234"/>
      <c r="EH58" s="234" t="s">
        <v>1562</v>
      </c>
      <c r="EI58" s="234"/>
      <c r="EJ58" s="234"/>
      <c r="EK58" s="234" t="s">
        <v>1563</v>
      </c>
      <c r="EL58" s="234"/>
      <c r="EM58" s="234" t="s">
        <v>1564</v>
      </c>
      <c r="EN58" s="234" t="s">
        <v>1565</v>
      </c>
      <c r="EO58" s="234" t="s">
        <v>1566</v>
      </c>
      <c r="EP58" s="234" t="s">
        <v>1558</v>
      </c>
      <c r="EQ58" s="234" t="n">
        <v>1800</v>
      </c>
      <c r="ER58" s="234" t="s">
        <v>1567</v>
      </c>
      <c r="ES58" s="234"/>
      <c r="ET58" s="234"/>
    </row>
    <row r="59" customFormat="false" ht="13.5" hidden="false" customHeight="false" outlineLevel="0" collapsed="false">
      <c r="A59" s="233" t="n">
        <v>45773</v>
      </c>
      <c r="B59" s="234" t="s">
        <v>1934</v>
      </c>
      <c r="C59" s="234" t="s">
        <v>1009</v>
      </c>
      <c r="D59" s="234" t="s">
        <v>897</v>
      </c>
      <c r="E59" s="234" t="s">
        <v>1935</v>
      </c>
      <c r="F59" s="234" t="s">
        <v>238</v>
      </c>
      <c r="G59" s="234" t="s">
        <v>1522</v>
      </c>
      <c r="H59" s="234" t="s">
        <v>1523</v>
      </c>
      <c r="I59" s="234" t="s">
        <v>1524</v>
      </c>
      <c r="J59" s="234" t="s">
        <v>1525</v>
      </c>
      <c r="K59" s="233" t="n">
        <v>45773</v>
      </c>
      <c r="L59" s="234"/>
      <c r="M59" s="234" t="s">
        <v>1526</v>
      </c>
      <c r="N59" s="234" t="n">
        <v>1</v>
      </c>
      <c r="O59" s="234" t="s">
        <v>1527</v>
      </c>
      <c r="P59" s="234" t="s">
        <v>1528</v>
      </c>
      <c r="Q59" s="234" t="s">
        <v>1529</v>
      </c>
      <c r="R59" s="234" t="s">
        <v>1530</v>
      </c>
      <c r="S59" s="234"/>
      <c r="T59" s="234"/>
      <c r="U59" s="234" t="s">
        <v>1527</v>
      </c>
      <c r="V59" s="234"/>
      <c r="W59" s="234" t="s">
        <v>1530</v>
      </c>
      <c r="X59" s="234"/>
      <c r="Y59" s="234"/>
      <c r="Z59" s="234" t="s">
        <v>1572</v>
      </c>
      <c r="AA59" s="234" t="n">
        <v>12000</v>
      </c>
      <c r="AB59" s="234" t="n">
        <v>14160</v>
      </c>
      <c r="AC59" s="234" t="n">
        <v>0</v>
      </c>
      <c r="AD59" s="234" t="n">
        <v>0</v>
      </c>
      <c r="AE59" s="234" t="s">
        <v>1399</v>
      </c>
      <c r="AF59" s="234"/>
      <c r="AG59" s="233" t="n">
        <v>45773</v>
      </c>
      <c r="AH59" s="234" t="s">
        <v>1537</v>
      </c>
      <c r="AI59" s="234" t="s">
        <v>1870</v>
      </c>
      <c r="AJ59" s="234" t="s">
        <v>1539</v>
      </c>
      <c r="AK59" s="234"/>
      <c r="AL59" s="234"/>
      <c r="AM59" s="234"/>
      <c r="AN59" s="234"/>
      <c r="AO59" s="234"/>
      <c r="AP59" s="234"/>
      <c r="AQ59" s="234"/>
      <c r="AR59" s="234"/>
      <c r="AS59" s="234"/>
      <c r="AT59" s="234" t="s">
        <v>89</v>
      </c>
      <c r="AU59" s="234" t="s">
        <v>1540</v>
      </c>
      <c r="AV59" s="234" t="n">
        <v>0</v>
      </c>
      <c r="AW59" s="234"/>
      <c r="AX59" s="234"/>
      <c r="AY59" s="234"/>
      <c r="AZ59" s="234"/>
      <c r="BA59" s="234"/>
      <c r="BB59" s="234"/>
      <c r="BC59" s="234"/>
      <c r="BD59" s="234" t="s">
        <v>1541</v>
      </c>
      <c r="BE59" s="235" t="s">
        <v>1936</v>
      </c>
      <c r="BF59" s="234" t="n">
        <v>1</v>
      </c>
      <c r="BG59" s="234" t="s">
        <v>1530</v>
      </c>
      <c r="BH59" s="234" t="s">
        <v>1530</v>
      </c>
      <c r="BI59" s="234" t="n">
        <v>12000</v>
      </c>
      <c r="BJ59" s="234" t="s">
        <v>1543</v>
      </c>
      <c r="BK59" s="234" t="n">
        <v>12000</v>
      </c>
      <c r="BL59" s="234" t="s">
        <v>1544</v>
      </c>
      <c r="BM59" s="234"/>
      <c r="BN59" s="234"/>
      <c r="BO59" s="234"/>
      <c r="BP59" s="234"/>
      <c r="BQ59" s="234"/>
      <c r="BR59" s="234" t="s">
        <v>1937</v>
      </c>
      <c r="BS59" s="234"/>
      <c r="BT59" s="234" t="s">
        <v>1547</v>
      </c>
      <c r="BU59" s="234" t="s">
        <v>1548</v>
      </c>
      <c r="BV59" s="234" t="s">
        <v>1549</v>
      </c>
      <c r="BW59" s="234"/>
      <c r="BX59" s="234"/>
      <c r="BY59" s="234"/>
      <c r="BZ59" s="234"/>
      <c r="CA59" s="234" t="s">
        <v>1937</v>
      </c>
      <c r="CB59" s="234"/>
      <c r="CC59" s="234" t="s">
        <v>1547</v>
      </c>
      <c r="CD59" s="234" t="s">
        <v>1548</v>
      </c>
      <c r="CE59" s="234" t="s">
        <v>1549</v>
      </c>
      <c r="CF59" s="234"/>
      <c r="CG59" s="234"/>
      <c r="CH59" s="234"/>
      <c r="CI59" s="234" t="s">
        <v>0</v>
      </c>
      <c r="CJ59" s="234" t="s">
        <v>1551</v>
      </c>
      <c r="CK59" s="234" t="s">
        <v>1552</v>
      </c>
      <c r="CL59" s="234" t="s">
        <v>1553</v>
      </c>
      <c r="CM59" s="234" t="s">
        <v>1554</v>
      </c>
      <c r="CN59" s="234" t="s">
        <v>1549</v>
      </c>
      <c r="CO59" s="234" t="s">
        <v>1555</v>
      </c>
      <c r="CP59" s="234" t="s">
        <v>1556</v>
      </c>
      <c r="CQ59" s="234" t="s">
        <v>1557</v>
      </c>
      <c r="CR59" s="234" t="s">
        <v>1530</v>
      </c>
      <c r="CS59" s="234" t="s">
        <v>1530</v>
      </c>
      <c r="CT59" s="234" t="s">
        <v>1558</v>
      </c>
      <c r="CU59" s="234" t="s">
        <v>1530</v>
      </c>
      <c r="CV59" s="234" t="s">
        <v>1530</v>
      </c>
      <c r="CW59" s="234" t="s">
        <v>1530</v>
      </c>
      <c r="CX59" s="234" t="s">
        <v>1938</v>
      </c>
      <c r="CY59" s="234" t="s">
        <v>1530</v>
      </c>
      <c r="CZ59" s="234" t="s">
        <v>1530</v>
      </c>
      <c r="DA59" s="234" t="s">
        <v>1530</v>
      </c>
      <c r="DB59" s="234" t="s">
        <v>1938</v>
      </c>
      <c r="DC59" s="234" t="s">
        <v>1530</v>
      </c>
      <c r="DD59" s="234"/>
      <c r="DE59" s="234"/>
      <c r="DF59" s="234"/>
      <c r="DG59" s="234"/>
      <c r="DH59" s="234"/>
      <c r="DI59" s="234" t="s">
        <v>1572</v>
      </c>
      <c r="DJ59" s="234"/>
      <c r="DK59" s="234"/>
      <c r="DL59" s="234"/>
      <c r="DM59" s="234"/>
      <c r="DN59" s="234"/>
      <c r="DO59" s="234"/>
      <c r="DP59" s="234" t="s">
        <v>1560</v>
      </c>
      <c r="DQ59" s="234" t="n">
        <v>0</v>
      </c>
      <c r="DR59" s="234"/>
      <c r="DS59" s="234"/>
      <c r="DT59" s="234"/>
      <c r="DU59" s="234"/>
      <c r="DV59" s="234"/>
      <c r="DW59" s="234"/>
      <c r="DX59" s="234" t="s">
        <v>1561</v>
      </c>
      <c r="DY59" s="234"/>
      <c r="DZ59" s="234"/>
      <c r="EA59" s="234"/>
      <c r="EB59" s="234"/>
      <c r="EC59" s="234"/>
      <c r="ED59" s="234"/>
      <c r="EE59" s="234"/>
      <c r="EF59" s="234"/>
      <c r="EG59" s="234"/>
      <c r="EH59" s="234" t="s">
        <v>1562</v>
      </c>
      <c r="EI59" s="234"/>
      <c r="EJ59" s="234"/>
      <c r="EK59" s="234" t="s">
        <v>1563</v>
      </c>
      <c r="EL59" s="234"/>
      <c r="EM59" s="234" t="s">
        <v>1564</v>
      </c>
      <c r="EN59" s="234" t="s">
        <v>1565</v>
      </c>
      <c r="EO59" s="234" t="s">
        <v>1566</v>
      </c>
      <c r="EP59" s="234" t="s">
        <v>1558</v>
      </c>
      <c r="EQ59" s="234" t="n">
        <v>2160</v>
      </c>
      <c r="ER59" s="234" t="s">
        <v>1567</v>
      </c>
      <c r="ES59" s="234"/>
      <c r="ET59" s="234"/>
    </row>
    <row r="60" customFormat="false" ht="13.5" hidden="false" customHeight="false" outlineLevel="0" collapsed="false">
      <c r="A60" s="233" t="n">
        <v>45775</v>
      </c>
      <c r="B60" s="234" t="s">
        <v>1939</v>
      </c>
      <c r="C60" s="234" t="s">
        <v>1010</v>
      </c>
      <c r="D60" s="234" t="s">
        <v>897</v>
      </c>
      <c r="E60" s="234" t="s">
        <v>1940</v>
      </c>
      <c r="F60" s="234" t="s">
        <v>241</v>
      </c>
      <c r="G60" s="234" t="s">
        <v>1522</v>
      </c>
      <c r="H60" s="234" t="s">
        <v>1523</v>
      </c>
      <c r="I60" s="234" t="s">
        <v>1524</v>
      </c>
      <c r="J60" s="234" t="s">
        <v>1525</v>
      </c>
      <c r="K60" s="233" t="n">
        <v>45775</v>
      </c>
      <c r="L60" s="234"/>
      <c r="M60" s="234" t="s">
        <v>1526</v>
      </c>
      <c r="N60" s="234" t="n">
        <v>1</v>
      </c>
      <c r="O60" s="234" t="s">
        <v>1527</v>
      </c>
      <c r="P60" s="234" t="s">
        <v>1528</v>
      </c>
      <c r="Q60" s="234" t="s">
        <v>1529</v>
      </c>
      <c r="R60" s="234" t="s">
        <v>1530</v>
      </c>
      <c r="S60" s="234"/>
      <c r="T60" s="234"/>
      <c r="U60" s="234" t="s">
        <v>1527</v>
      </c>
      <c r="V60" s="234"/>
      <c r="W60" s="234" t="s">
        <v>1530</v>
      </c>
      <c r="X60" s="234"/>
      <c r="Y60" s="234"/>
      <c r="Z60" s="234" t="s">
        <v>1572</v>
      </c>
      <c r="AA60" s="234" t="n">
        <v>44915.5</v>
      </c>
      <c r="AB60" s="234" t="n">
        <v>53000</v>
      </c>
      <c r="AC60" s="234" t="n">
        <v>0</v>
      </c>
      <c r="AD60" s="234" t="n">
        <v>-0.29</v>
      </c>
      <c r="AE60" s="234" t="s">
        <v>1399</v>
      </c>
      <c r="AF60" s="234"/>
      <c r="AG60" s="233" t="n">
        <v>45775</v>
      </c>
      <c r="AH60" s="234" t="s">
        <v>1537</v>
      </c>
      <c r="AI60" s="234" t="s">
        <v>1870</v>
      </c>
      <c r="AJ60" s="234" t="s">
        <v>1539</v>
      </c>
      <c r="AK60" s="234"/>
      <c r="AL60" s="234"/>
      <c r="AM60" s="234"/>
      <c r="AN60" s="234"/>
      <c r="AO60" s="234"/>
      <c r="AP60" s="234"/>
      <c r="AQ60" s="234"/>
      <c r="AR60" s="234"/>
      <c r="AS60" s="234"/>
      <c r="AT60" s="234" t="s">
        <v>89</v>
      </c>
      <c r="AU60" s="234" t="s">
        <v>1540</v>
      </c>
      <c r="AV60" s="234" t="n">
        <v>0</v>
      </c>
      <c r="AW60" s="234"/>
      <c r="AX60" s="234"/>
      <c r="AY60" s="234"/>
      <c r="AZ60" s="234"/>
      <c r="BA60" s="234"/>
      <c r="BB60" s="234"/>
      <c r="BC60" s="234"/>
      <c r="BD60" s="234" t="s">
        <v>1541</v>
      </c>
      <c r="BE60" s="235" t="s">
        <v>1941</v>
      </c>
      <c r="BF60" s="234" t="n">
        <v>1</v>
      </c>
      <c r="BG60" s="234" t="s">
        <v>1530</v>
      </c>
      <c r="BH60" s="234" t="s">
        <v>1530</v>
      </c>
      <c r="BI60" s="234" t="n">
        <v>44915.5</v>
      </c>
      <c r="BJ60" s="234" t="s">
        <v>1543</v>
      </c>
      <c r="BK60" s="234" t="n">
        <v>44915.5</v>
      </c>
      <c r="BL60" s="234" t="s">
        <v>1544</v>
      </c>
      <c r="BM60" s="234"/>
      <c r="BN60" s="234"/>
      <c r="BO60" s="234"/>
      <c r="BP60" s="234" t="s">
        <v>1942</v>
      </c>
      <c r="BQ60" s="234"/>
      <c r="BR60" s="234"/>
      <c r="BS60" s="234"/>
      <c r="BT60" s="234"/>
      <c r="BU60" s="234"/>
      <c r="BV60" s="234"/>
      <c r="BW60" s="234"/>
      <c r="BX60" s="234"/>
      <c r="BY60" s="234"/>
      <c r="BZ60" s="234"/>
      <c r="CA60" s="234"/>
      <c r="CB60" s="234"/>
      <c r="CC60" s="234"/>
      <c r="CD60" s="234"/>
      <c r="CE60" s="234"/>
      <c r="CF60" s="234"/>
      <c r="CG60" s="234"/>
      <c r="CH60" s="234"/>
      <c r="CI60" s="234" t="s">
        <v>0</v>
      </c>
      <c r="CJ60" s="234" t="s">
        <v>1551</v>
      </c>
      <c r="CK60" s="234" t="s">
        <v>1552</v>
      </c>
      <c r="CL60" s="234" t="s">
        <v>1553</v>
      </c>
      <c r="CM60" s="234" t="s">
        <v>1554</v>
      </c>
      <c r="CN60" s="234" t="s">
        <v>1549</v>
      </c>
      <c r="CO60" s="234" t="s">
        <v>1555</v>
      </c>
      <c r="CP60" s="234" t="s">
        <v>1556</v>
      </c>
      <c r="CQ60" s="234" t="s">
        <v>1557</v>
      </c>
      <c r="CR60" s="234" t="s">
        <v>1530</v>
      </c>
      <c r="CS60" s="234" t="s">
        <v>1530</v>
      </c>
      <c r="CT60" s="234" t="s">
        <v>1558</v>
      </c>
      <c r="CU60" s="234" t="s">
        <v>1530</v>
      </c>
      <c r="CV60" s="234" t="s">
        <v>1530</v>
      </c>
      <c r="CW60" s="234" t="s">
        <v>1530</v>
      </c>
      <c r="CX60" s="234" t="s">
        <v>1943</v>
      </c>
      <c r="CY60" s="234" t="s">
        <v>1530</v>
      </c>
      <c r="CZ60" s="234" t="s">
        <v>1530</v>
      </c>
      <c r="DA60" s="234" t="s">
        <v>1530</v>
      </c>
      <c r="DB60" s="234" t="s">
        <v>1943</v>
      </c>
      <c r="DC60" s="234" t="s">
        <v>1530</v>
      </c>
      <c r="DD60" s="234"/>
      <c r="DE60" s="234"/>
      <c r="DF60" s="234"/>
      <c r="DG60" s="234"/>
      <c r="DH60" s="234"/>
      <c r="DI60" s="234" t="s">
        <v>1572</v>
      </c>
      <c r="DJ60" s="234"/>
      <c r="DK60" s="234"/>
      <c r="DL60" s="234"/>
      <c r="DM60" s="234"/>
      <c r="DN60" s="234"/>
      <c r="DO60" s="234"/>
      <c r="DP60" s="234" t="s">
        <v>1560</v>
      </c>
      <c r="DQ60" s="234" t="n">
        <v>0</v>
      </c>
      <c r="DR60" s="234"/>
      <c r="DS60" s="234"/>
      <c r="DT60" s="234"/>
      <c r="DU60" s="234"/>
      <c r="DV60" s="234"/>
      <c r="DW60" s="234"/>
      <c r="DX60" s="234" t="s">
        <v>1561</v>
      </c>
      <c r="DY60" s="234"/>
      <c r="DZ60" s="234"/>
      <c r="EA60" s="234"/>
      <c r="EB60" s="234"/>
      <c r="EC60" s="234"/>
      <c r="ED60" s="234"/>
      <c r="EE60" s="234"/>
      <c r="EF60" s="234"/>
      <c r="EG60" s="234"/>
      <c r="EH60" s="234" t="s">
        <v>1562</v>
      </c>
      <c r="EI60" s="234"/>
      <c r="EJ60" s="234"/>
      <c r="EK60" s="234" t="s">
        <v>1563</v>
      </c>
      <c r="EL60" s="234"/>
      <c r="EM60" s="234" t="s">
        <v>1564</v>
      </c>
      <c r="EN60" s="234" t="s">
        <v>1565</v>
      </c>
      <c r="EO60" s="234" t="s">
        <v>1566</v>
      </c>
      <c r="EP60" s="234" t="s">
        <v>1558</v>
      </c>
      <c r="EQ60" s="234" t="n">
        <v>8084.79</v>
      </c>
      <c r="ER60" s="234" t="s">
        <v>1567</v>
      </c>
      <c r="ES60" s="234"/>
      <c r="ET60" s="234"/>
    </row>
    <row r="61" customFormat="false" ht="13.5" hidden="false" customHeight="false" outlineLevel="0" collapsed="false">
      <c r="A61" s="233" t="n">
        <v>45775</v>
      </c>
      <c r="B61" s="234" t="s">
        <v>1944</v>
      </c>
      <c r="C61" s="234" t="s">
        <v>244</v>
      </c>
      <c r="D61" s="234" t="s">
        <v>897</v>
      </c>
      <c r="E61" s="234" t="s">
        <v>1945</v>
      </c>
      <c r="F61" s="234" t="s">
        <v>243</v>
      </c>
      <c r="G61" s="234" t="s">
        <v>1522</v>
      </c>
      <c r="H61" s="234" t="s">
        <v>1523</v>
      </c>
      <c r="I61" s="234" t="s">
        <v>1524</v>
      </c>
      <c r="J61" s="234" t="s">
        <v>1525</v>
      </c>
      <c r="K61" s="233" t="n">
        <v>45775</v>
      </c>
      <c r="L61" s="234"/>
      <c r="M61" s="234" t="s">
        <v>1526</v>
      </c>
      <c r="N61" s="234" t="n">
        <v>1</v>
      </c>
      <c r="O61" s="234" t="s">
        <v>1527</v>
      </c>
      <c r="P61" s="234" t="s">
        <v>1528</v>
      </c>
      <c r="Q61" s="234" t="s">
        <v>1529</v>
      </c>
      <c r="R61" s="234" t="s">
        <v>1530</v>
      </c>
      <c r="S61" s="234"/>
      <c r="T61" s="234"/>
      <c r="U61" s="234" t="s">
        <v>1527</v>
      </c>
      <c r="V61" s="234"/>
      <c r="W61" s="234" t="s">
        <v>1530</v>
      </c>
      <c r="X61" s="234"/>
      <c r="Y61" s="234"/>
      <c r="Z61" s="234" t="s">
        <v>1572</v>
      </c>
      <c r="AA61" s="234" t="n">
        <v>172800</v>
      </c>
      <c r="AB61" s="234" t="n">
        <v>203904</v>
      </c>
      <c r="AC61" s="234" t="n">
        <v>0</v>
      </c>
      <c r="AD61" s="234" t="n">
        <v>0</v>
      </c>
      <c r="AE61" s="234" t="s">
        <v>1399</v>
      </c>
      <c r="AF61" s="234"/>
      <c r="AG61" s="233" t="n">
        <v>45775</v>
      </c>
      <c r="AH61" s="234" t="s">
        <v>1537</v>
      </c>
      <c r="AI61" s="234" t="s">
        <v>1870</v>
      </c>
      <c r="AJ61" s="234" t="s">
        <v>1539</v>
      </c>
      <c r="AK61" s="234"/>
      <c r="AL61" s="234"/>
      <c r="AM61" s="234"/>
      <c r="AN61" s="234"/>
      <c r="AO61" s="234"/>
      <c r="AP61" s="234"/>
      <c r="AQ61" s="234"/>
      <c r="AR61" s="234"/>
      <c r="AS61" s="234"/>
      <c r="AT61" s="234" t="s">
        <v>89</v>
      </c>
      <c r="AU61" s="234" t="s">
        <v>1540</v>
      </c>
      <c r="AV61" s="234" t="n">
        <v>0</v>
      </c>
      <c r="AW61" s="234"/>
      <c r="AX61" s="234"/>
      <c r="AY61" s="234"/>
      <c r="AZ61" s="234"/>
      <c r="BA61" s="234"/>
      <c r="BB61" s="234"/>
      <c r="BC61" s="234"/>
      <c r="BD61" s="234" t="s">
        <v>1541</v>
      </c>
      <c r="BE61" s="235" t="s">
        <v>1946</v>
      </c>
      <c r="BF61" s="234" t="n">
        <v>1</v>
      </c>
      <c r="BG61" s="234" t="s">
        <v>1581</v>
      </c>
      <c r="BH61" s="234" t="s">
        <v>1947</v>
      </c>
      <c r="BI61" s="234" t="n">
        <v>172800</v>
      </c>
      <c r="BJ61" s="234" t="s">
        <v>1543</v>
      </c>
      <c r="BK61" s="234" t="n">
        <v>192000</v>
      </c>
      <c r="BL61" s="234" t="s">
        <v>1544</v>
      </c>
      <c r="BM61" s="234"/>
      <c r="BN61" s="234"/>
      <c r="BO61" s="234"/>
      <c r="BP61" s="234"/>
      <c r="BQ61" s="234"/>
      <c r="BR61" s="234" t="s">
        <v>1948</v>
      </c>
      <c r="BS61" s="234" t="s">
        <v>1715</v>
      </c>
      <c r="BT61" s="234" t="s">
        <v>1548</v>
      </c>
      <c r="BU61" s="234" t="s">
        <v>1548</v>
      </c>
      <c r="BV61" s="234" t="s">
        <v>1549</v>
      </c>
      <c r="BW61" s="234"/>
      <c r="BX61" s="234"/>
      <c r="BY61" s="234"/>
      <c r="BZ61" s="234"/>
      <c r="CA61" s="234" t="s">
        <v>1948</v>
      </c>
      <c r="CB61" s="234" t="s">
        <v>1715</v>
      </c>
      <c r="CC61" s="234" t="s">
        <v>1548</v>
      </c>
      <c r="CD61" s="234" t="s">
        <v>1548</v>
      </c>
      <c r="CE61" s="234" t="s">
        <v>1549</v>
      </c>
      <c r="CF61" s="234"/>
      <c r="CG61" s="234"/>
      <c r="CH61" s="234"/>
      <c r="CI61" s="234" t="s">
        <v>0</v>
      </c>
      <c r="CJ61" s="234" t="s">
        <v>1551</v>
      </c>
      <c r="CK61" s="234" t="s">
        <v>1552</v>
      </c>
      <c r="CL61" s="234" t="s">
        <v>1553</v>
      </c>
      <c r="CM61" s="234" t="s">
        <v>1554</v>
      </c>
      <c r="CN61" s="234" t="s">
        <v>1549</v>
      </c>
      <c r="CO61" s="234" t="s">
        <v>1555</v>
      </c>
      <c r="CP61" s="234" t="s">
        <v>1556</v>
      </c>
      <c r="CQ61" s="234" t="s">
        <v>1557</v>
      </c>
      <c r="CR61" s="234" t="s">
        <v>1530</v>
      </c>
      <c r="CS61" s="234" t="s">
        <v>1530</v>
      </c>
      <c r="CT61" s="234" t="s">
        <v>1558</v>
      </c>
      <c r="CU61" s="234" t="s">
        <v>1530</v>
      </c>
      <c r="CV61" s="234" t="s">
        <v>1530</v>
      </c>
      <c r="CW61" s="234" t="s">
        <v>1530</v>
      </c>
      <c r="CX61" s="234" t="s">
        <v>1888</v>
      </c>
      <c r="CY61" s="234" t="s">
        <v>1530</v>
      </c>
      <c r="CZ61" s="234" t="s">
        <v>1530</v>
      </c>
      <c r="DA61" s="234" t="s">
        <v>1530</v>
      </c>
      <c r="DB61" s="234" t="s">
        <v>1888</v>
      </c>
      <c r="DC61" s="234" t="s">
        <v>1530</v>
      </c>
      <c r="DD61" s="234"/>
      <c r="DE61" s="234"/>
      <c r="DF61" s="234"/>
      <c r="DG61" s="234"/>
      <c r="DH61" s="234"/>
      <c r="DI61" s="234" t="s">
        <v>1572</v>
      </c>
      <c r="DJ61" s="234"/>
      <c r="DK61" s="234"/>
      <c r="DL61" s="234"/>
      <c r="DM61" s="234"/>
      <c r="DN61" s="234"/>
      <c r="DO61" s="234"/>
      <c r="DP61" s="234" t="s">
        <v>1560</v>
      </c>
      <c r="DQ61" s="234" t="n">
        <v>0</v>
      </c>
      <c r="DR61" s="234"/>
      <c r="DS61" s="234"/>
      <c r="DT61" s="234"/>
      <c r="DU61" s="234"/>
      <c r="DV61" s="234"/>
      <c r="DW61" s="234"/>
      <c r="DX61" s="234" t="s">
        <v>1561</v>
      </c>
      <c r="DY61" s="234"/>
      <c r="DZ61" s="234"/>
      <c r="EA61" s="234"/>
      <c r="EB61" s="234"/>
      <c r="EC61" s="234"/>
      <c r="ED61" s="234"/>
      <c r="EE61" s="234"/>
      <c r="EF61" s="234"/>
      <c r="EG61" s="234"/>
      <c r="EH61" s="234" t="s">
        <v>1562</v>
      </c>
      <c r="EI61" s="234"/>
      <c r="EJ61" s="234"/>
      <c r="EK61" s="234" t="s">
        <v>1563</v>
      </c>
      <c r="EL61" s="234"/>
      <c r="EM61" s="234" t="s">
        <v>1564</v>
      </c>
      <c r="EN61" s="234" t="s">
        <v>1565</v>
      </c>
      <c r="EO61" s="234" t="s">
        <v>1566</v>
      </c>
      <c r="EP61" s="234" t="s">
        <v>1558</v>
      </c>
      <c r="EQ61" s="234" t="n">
        <v>31104</v>
      </c>
      <c r="ER61" s="234" t="s">
        <v>1567</v>
      </c>
      <c r="ES61" s="234"/>
      <c r="ET61" s="234"/>
    </row>
    <row r="62" customFormat="false" ht="13.5" hidden="false" customHeight="false" outlineLevel="0" collapsed="false">
      <c r="A62" s="233" t="n">
        <v>45775</v>
      </c>
      <c r="B62" s="234" t="s">
        <v>1949</v>
      </c>
      <c r="C62" s="234" t="s">
        <v>246</v>
      </c>
      <c r="D62" s="234" t="s">
        <v>897</v>
      </c>
      <c r="E62" s="234" t="s">
        <v>1950</v>
      </c>
      <c r="F62" s="234" t="s">
        <v>245</v>
      </c>
      <c r="G62" s="234" t="s">
        <v>1606</v>
      </c>
      <c r="H62" s="234" t="s">
        <v>1607</v>
      </c>
      <c r="I62" s="234" t="s">
        <v>1524</v>
      </c>
      <c r="J62" s="234" t="s">
        <v>1525</v>
      </c>
      <c r="K62" s="233" t="n">
        <v>45775</v>
      </c>
      <c r="L62" s="234"/>
      <c r="M62" s="234" t="s">
        <v>1526</v>
      </c>
      <c r="N62" s="234" t="n">
        <v>1</v>
      </c>
      <c r="O62" s="234" t="s">
        <v>1527</v>
      </c>
      <c r="P62" s="234" t="s">
        <v>1528</v>
      </c>
      <c r="Q62" s="234" t="s">
        <v>1529</v>
      </c>
      <c r="R62" s="234" t="s">
        <v>1530</v>
      </c>
      <c r="S62" s="234"/>
      <c r="T62" s="234"/>
      <c r="U62" s="234" t="s">
        <v>1531</v>
      </c>
      <c r="V62" s="234" t="s">
        <v>1596</v>
      </c>
      <c r="W62" s="234" t="s">
        <v>1581</v>
      </c>
      <c r="X62" s="234" t="s">
        <v>1534</v>
      </c>
      <c r="Y62" s="234" t="s">
        <v>1535</v>
      </c>
      <c r="Z62" s="234" t="s">
        <v>1951</v>
      </c>
      <c r="AA62" s="234" t="n">
        <v>270000</v>
      </c>
      <c r="AB62" s="234" t="n">
        <v>291600</v>
      </c>
      <c r="AC62" s="234" t="n">
        <v>0</v>
      </c>
      <c r="AD62" s="234" t="n">
        <v>0</v>
      </c>
      <c r="AE62" s="234" t="s">
        <v>1399</v>
      </c>
      <c r="AF62" s="234"/>
      <c r="AG62" s="233" t="n">
        <v>45776</v>
      </c>
      <c r="AH62" s="234" t="s">
        <v>1537</v>
      </c>
      <c r="AI62" s="234" t="s">
        <v>1870</v>
      </c>
      <c r="AJ62" s="234" t="s">
        <v>1539</v>
      </c>
      <c r="AK62" s="234"/>
      <c r="AL62" s="234"/>
      <c r="AM62" s="234"/>
      <c r="AN62" s="234"/>
      <c r="AO62" s="234"/>
      <c r="AP62" s="234"/>
      <c r="AQ62" s="234"/>
      <c r="AR62" s="234"/>
      <c r="AS62" s="234"/>
      <c r="AT62" s="234" t="s">
        <v>89</v>
      </c>
      <c r="AU62" s="234" t="s">
        <v>1540</v>
      </c>
      <c r="AV62" s="234" t="n">
        <v>0</v>
      </c>
      <c r="AW62" s="234"/>
      <c r="AX62" s="234"/>
      <c r="AY62" s="234"/>
      <c r="AZ62" s="234"/>
      <c r="BA62" s="234"/>
      <c r="BB62" s="234"/>
      <c r="BC62" s="234"/>
      <c r="BD62" s="234" t="s">
        <v>1541</v>
      </c>
      <c r="BE62" s="235" t="s">
        <v>1952</v>
      </c>
      <c r="BF62" s="234" t="n">
        <v>1</v>
      </c>
      <c r="BG62" s="234" t="s">
        <v>1581</v>
      </c>
      <c r="BH62" s="234" t="s">
        <v>1953</v>
      </c>
      <c r="BI62" s="234" t="n">
        <v>270000</v>
      </c>
      <c r="BJ62" s="234" t="s">
        <v>1543</v>
      </c>
      <c r="BK62" s="234" t="n">
        <v>300000</v>
      </c>
      <c r="BL62" s="234" t="s">
        <v>1544</v>
      </c>
      <c r="BM62" s="234"/>
      <c r="BN62" s="234"/>
      <c r="BO62" s="234"/>
      <c r="BP62" s="234"/>
      <c r="BQ62" s="234"/>
      <c r="BR62" s="234" t="s">
        <v>1954</v>
      </c>
      <c r="BS62" s="234" t="s">
        <v>1955</v>
      </c>
      <c r="BT62" s="234" t="s">
        <v>1610</v>
      </c>
      <c r="BU62" s="234" t="s">
        <v>1611</v>
      </c>
      <c r="BV62" s="234" t="s">
        <v>1549</v>
      </c>
      <c r="BW62" s="234" t="s">
        <v>1612</v>
      </c>
      <c r="BX62" s="234"/>
      <c r="BY62" s="234"/>
      <c r="BZ62" s="234"/>
      <c r="CA62" s="234" t="s">
        <v>1954</v>
      </c>
      <c r="CB62" s="234" t="s">
        <v>1955</v>
      </c>
      <c r="CC62" s="234" t="s">
        <v>1610</v>
      </c>
      <c r="CD62" s="234" t="s">
        <v>1611</v>
      </c>
      <c r="CE62" s="234" t="s">
        <v>1549</v>
      </c>
      <c r="CF62" s="234" t="s">
        <v>1612</v>
      </c>
      <c r="CG62" s="234"/>
      <c r="CH62" s="234"/>
      <c r="CI62" s="234" t="s">
        <v>0</v>
      </c>
      <c r="CJ62" s="234" t="s">
        <v>1551</v>
      </c>
      <c r="CK62" s="234" t="s">
        <v>1552</v>
      </c>
      <c r="CL62" s="234" t="s">
        <v>1553</v>
      </c>
      <c r="CM62" s="234" t="s">
        <v>1554</v>
      </c>
      <c r="CN62" s="234" t="s">
        <v>1549</v>
      </c>
      <c r="CO62" s="234" t="s">
        <v>1555</v>
      </c>
      <c r="CP62" s="234" t="s">
        <v>1556</v>
      </c>
      <c r="CQ62" s="234" t="s">
        <v>1557</v>
      </c>
      <c r="CR62" s="234" t="s">
        <v>1530</v>
      </c>
      <c r="CS62" s="234" t="s">
        <v>1530</v>
      </c>
      <c r="CT62" s="234" t="s">
        <v>1558</v>
      </c>
      <c r="CU62" s="234" t="s">
        <v>1530</v>
      </c>
      <c r="CV62" s="234" t="s">
        <v>1530</v>
      </c>
      <c r="CW62" s="234" t="s">
        <v>1530</v>
      </c>
      <c r="CX62" s="234" t="s">
        <v>1956</v>
      </c>
      <c r="CY62" s="234" t="s">
        <v>1530</v>
      </c>
      <c r="CZ62" s="234" t="s">
        <v>1530</v>
      </c>
      <c r="DA62" s="234" t="s">
        <v>1530</v>
      </c>
      <c r="DB62" s="234" t="s">
        <v>1956</v>
      </c>
      <c r="DC62" s="234" t="s">
        <v>1530</v>
      </c>
      <c r="DD62" s="234"/>
      <c r="DE62" s="234"/>
      <c r="DF62" s="234"/>
      <c r="DG62" s="234"/>
      <c r="DH62" s="234"/>
      <c r="DI62" s="234"/>
      <c r="DJ62" s="234"/>
      <c r="DK62" s="234"/>
      <c r="DL62" s="234"/>
      <c r="DM62" s="234"/>
      <c r="DN62" s="234"/>
      <c r="DO62" s="234"/>
      <c r="DP62" s="234" t="s">
        <v>1560</v>
      </c>
      <c r="DQ62" s="234" t="n">
        <v>0</v>
      </c>
      <c r="DR62" s="234"/>
      <c r="DS62" s="234"/>
      <c r="DT62" s="234"/>
      <c r="DU62" s="234"/>
      <c r="DV62" s="234"/>
      <c r="DW62" s="234"/>
      <c r="DX62" s="234" t="s">
        <v>1561</v>
      </c>
      <c r="DY62" s="234"/>
      <c r="DZ62" s="234"/>
      <c r="EA62" s="234"/>
      <c r="EB62" s="234"/>
      <c r="EC62" s="234"/>
      <c r="ED62" s="234"/>
      <c r="EE62" s="234"/>
      <c r="EF62" s="234"/>
      <c r="EG62" s="234"/>
      <c r="EH62" s="234" t="s">
        <v>1562</v>
      </c>
      <c r="EI62" s="234"/>
      <c r="EJ62" s="234"/>
      <c r="EK62" s="234" t="s">
        <v>1563</v>
      </c>
      <c r="EL62" s="234"/>
      <c r="EM62" s="234" t="s">
        <v>1564</v>
      </c>
      <c r="EN62" s="234" t="s">
        <v>1565</v>
      </c>
      <c r="EO62" s="234" t="s">
        <v>1566</v>
      </c>
      <c r="EP62" s="234" t="s">
        <v>1558</v>
      </c>
      <c r="EQ62" s="234" t="n">
        <v>48600</v>
      </c>
      <c r="ER62" s="234" t="s">
        <v>1567</v>
      </c>
      <c r="ES62" s="234"/>
      <c r="ET62" s="234"/>
    </row>
    <row r="63" customFormat="false" ht="13.5" hidden="false" customHeight="false" outlineLevel="0" collapsed="false">
      <c r="A63" s="233" t="n">
        <v>45775</v>
      </c>
      <c r="B63" s="234" t="s">
        <v>1957</v>
      </c>
      <c r="C63" s="234" t="s">
        <v>248</v>
      </c>
      <c r="D63" s="234" t="s">
        <v>897</v>
      </c>
      <c r="E63" s="234" t="s">
        <v>1958</v>
      </c>
      <c r="F63" s="234" t="s">
        <v>247</v>
      </c>
      <c r="G63" s="234" t="s">
        <v>1959</v>
      </c>
      <c r="H63" s="234" t="s">
        <v>1960</v>
      </c>
      <c r="I63" s="234" t="s">
        <v>1524</v>
      </c>
      <c r="J63" s="234" t="s">
        <v>1525</v>
      </c>
      <c r="K63" s="233" t="n">
        <v>45775</v>
      </c>
      <c r="L63" s="234"/>
      <c r="M63" s="234" t="s">
        <v>1526</v>
      </c>
      <c r="N63" s="234" t="n">
        <v>1</v>
      </c>
      <c r="O63" s="234" t="s">
        <v>1527</v>
      </c>
      <c r="P63" s="234" t="s">
        <v>1528</v>
      </c>
      <c r="Q63" s="234" t="s">
        <v>1529</v>
      </c>
      <c r="R63" s="234" t="s">
        <v>1530</v>
      </c>
      <c r="S63" s="234"/>
      <c r="T63" s="234"/>
      <c r="U63" s="234" t="s">
        <v>1527</v>
      </c>
      <c r="V63" s="234"/>
      <c r="W63" s="234" t="s">
        <v>1530</v>
      </c>
      <c r="X63" s="234"/>
      <c r="Y63" s="234"/>
      <c r="Z63" s="234" t="s">
        <v>1572</v>
      </c>
      <c r="AA63" s="234" t="n">
        <v>4000</v>
      </c>
      <c r="AB63" s="234" t="n">
        <v>4720</v>
      </c>
      <c r="AC63" s="234" t="n">
        <v>0</v>
      </c>
      <c r="AD63" s="234" t="n">
        <v>0</v>
      </c>
      <c r="AE63" s="234" t="s">
        <v>1399</v>
      </c>
      <c r="AF63" s="234"/>
      <c r="AG63" s="233" t="n">
        <v>45775</v>
      </c>
      <c r="AH63" s="234" t="s">
        <v>1537</v>
      </c>
      <c r="AI63" s="234" t="s">
        <v>1870</v>
      </c>
      <c r="AJ63" s="234" t="s">
        <v>1539</v>
      </c>
      <c r="AK63" s="234"/>
      <c r="AL63" s="234"/>
      <c r="AM63" s="234"/>
      <c r="AN63" s="234"/>
      <c r="AO63" s="234"/>
      <c r="AP63" s="234"/>
      <c r="AQ63" s="234"/>
      <c r="AR63" s="234"/>
      <c r="AS63" s="234"/>
      <c r="AT63" s="234" t="s">
        <v>89</v>
      </c>
      <c r="AU63" s="234" t="s">
        <v>1540</v>
      </c>
      <c r="AV63" s="234" t="n">
        <v>0</v>
      </c>
      <c r="AW63" s="234"/>
      <c r="AX63" s="234"/>
      <c r="AY63" s="234"/>
      <c r="AZ63" s="234"/>
      <c r="BA63" s="234"/>
      <c r="BB63" s="234"/>
      <c r="BC63" s="234"/>
      <c r="BD63" s="234" t="s">
        <v>1541</v>
      </c>
      <c r="BE63" s="235" t="s">
        <v>1961</v>
      </c>
      <c r="BF63" s="234" t="n">
        <v>1</v>
      </c>
      <c r="BG63" s="234" t="s">
        <v>1530</v>
      </c>
      <c r="BH63" s="234" t="s">
        <v>1530</v>
      </c>
      <c r="BI63" s="234" t="n">
        <v>4000</v>
      </c>
      <c r="BJ63" s="234" t="s">
        <v>1543</v>
      </c>
      <c r="BK63" s="234" t="n">
        <v>4000</v>
      </c>
      <c r="BL63" s="234" t="s">
        <v>1544</v>
      </c>
      <c r="BM63" s="234"/>
      <c r="BN63" s="234"/>
      <c r="BO63" s="234"/>
      <c r="BP63" s="234"/>
      <c r="BQ63" s="234"/>
      <c r="BR63" s="234" t="s">
        <v>1962</v>
      </c>
      <c r="BS63" s="234" t="s">
        <v>1963</v>
      </c>
      <c r="BT63" s="234" t="s">
        <v>1964</v>
      </c>
      <c r="BU63" s="234" t="s">
        <v>1965</v>
      </c>
      <c r="BV63" s="234" t="s">
        <v>1549</v>
      </c>
      <c r="BW63" s="234" t="s">
        <v>1966</v>
      </c>
      <c r="BX63" s="234"/>
      <c r="BY63" s="234"/>
      <c r="BZ63" s="234"/>
      <c r="CA63" s="234" t="s">
        <v>1962</v>
      </c>
      <c r="CB63" s="234" t="s">
        <v>1963</v>
      </c>
      <c r="CC63" s="234" t="s">
        <v>1964</v>
      </c>
      <c r="CD63" s="234" t="s">
        <v>1965</v>
      </c>
      <c r="CE63" s="234" t="s">
        <v>1549</v>
      </c>
      <c r="CF63" s="234" t="s">
        <v>1966</v>
      </c>
      <c r="CG63" s="234"/>
      <c r="CH63" s="234"/>
      <c r="CI63" s="234" t="s">
        <v>0</v>
      </c>
      <c r="CJ63" s="234" t="s">
        <v>1551</v>
      </c>
      <c r="CK63" s="234" t="s">
        <v>1552</v>
      </c>
      <c r="CL63" s="234" t="s">
        <v>1553</v>
      </c>
      <c r="CM63" s="234" t="s">
        <v>1554</v>
      </c>
      <c r="CN63" s="234" t="s">
        <v>1549</v>
      </c>
      <c r="CO63" s="234" t="s">
        <v>1555</v>
      </c>
      <c r="CP63" s="234" t="s">
        <v>1556</v>
      </c>
      <c r="CQ63" s="234" t="s">
        <v>1557</v>
      </c>
      <c r="CR63" s="234" t="s">
        <v>1530</v>
      </c>
      <c r="CS63" s="234" t="s">
        <v>1530</v>
      </c>
      <c r="CT63" s="234" t="s">
        <v>1558</v>
      </c>
      <c r="CU63" s="234" t="s">
        <v>1530</v>
      </c>
      <c r="CV63" s="234" t="s">
        <v>1530</v>
      </c>
      <c r="CW63" s="234" t="s">
        <v>1530</v>
      </c>
      <c r="CX63" s="234" t="s">
        <v>1667</v>
      </c>
      <c r="CY63" s="234" t="s">
        <v>1530</v>
      </c>
      <c r="CZ63" s="234" t="s">
        <v>1530</v>
      </c>
      <c r="DA63" s="234" t="s">
        <v>1530</v>
      </c>
      <c r="DB63" s="234" t="s">
        <v>1667</v>
      </c>
      <c r="DC63" s="234" t="s">
        <v>1530</v>
      </c>
      <c r="DD63" s="234"/>
      <c r="DE63" s="234"/>
      <c r="DF63" s="234"/>
      <c r="DG63" s="234"/>
      <c r="DH63" s="234"/>
      <c r="DI63" s="234" t="s">
        <v>1572</v>
      </c>
      <c r="DJ63" s="234"/>
      <c r="DK63" s="234"/>
      <c r="DL63" s="234"/>
      <c r="DM63" s="234"/>
      <c r="DN63" s="234"/>
      <c r="DO63" s="234"/>
      <c r="DP63" s="234" t="s">
        <v>1560</v>
      </c>
      <c r="DQ63" s="234" t="n">
        <v>0</v>
      </c>
      <c r="DR63" s="234"/>
      <c r="DS63" s="234"/>
      <c r="DT63" s="234"/>
      <c r="DU63" s="234"/>
      <c r="DV63" s="234"/>
      <c r="DW63" s="234"/>
      <c r="DX63" s="234" t="s">
        <v>1561</v>
      </c>
      <c r="DY63" s="234"/>
      <c r="DZ63" s="234"/>
      <c r="EA63" s="234"/>
      <c r="EB63" s="234"/>
      <c r="EC63" s="234"/>
      <c r="ED63" s="234"/>
      <c r="EE63" s="234"/>
      <c r="EF63" s="234"/>
      <c r="EG63" s="234"/>
      <c r="EH63" s="234" t="s">
        <v>1562</v>
      </c>
      <c r="EI63" s="234"/>
      <c r="EJ63" s="234"/>
      <c r="EK63" s="234" t="s">
        <v>1563</v>
      </c>
      <c r="EL63" s="234"/>
      <c r="EM63" s="234" t="s">
        <v>1564</v>
      </c>
      <c r="EN63" s="234" t="s">
        <v>1565</v>
      </c>
      <c r="EO63" s="234" t="s">
        <v>1566</v>
      </c>
      <c r="EP63" s="234" t="s">
        <v>1558</v>
      </c>
      <c r="EQ63" s="234" t="n">
        <v>720</v>
      </c>
      <c r="ER63" s="234" t="s">
        <v>1567</v>
      </c>
      <c r="ES63" s="234"/>
      <c r="ET63" s="234"/>
    </row>
    <row r="64" customFormat="false" ht="13.5" hidden="false" customHeight="false" outlineLevel="0" collapsed="false">
      <c r="A64" s="233" t="n">
        <v>45775</v>
      </c>
      <c r="B64" s="234" t="s">
        <v>1967</v>
      </c>
      <c r="C64" s="234" t="s">
        <v>1011</v>
      </c>
      <c r="D64" s="234" t="s">
        <v>947</v>
      </c>
      <c r="E64" s="234" t="s">
        <v>1968</v>
      </c>
      <c r="F64" s="234" t="s">
        <v>249</v>
      </c>
      <c r="G64" s="234" t="s">
        <v>1606</v>
      </c>
      <c r="H64" s="234" t="s">
        <v>1607</v>
      </c>
      <c r="I64" s="234" t="s">
        <v>1524</v>
      </c>
      <c r="J64" s="234" t="s">
        <v>1525</v>
      </c>
      <c r="K64" s="233" t="n">
        <v>45775</v>
      </c>
      <c r="L64" s="234"/>
      <c r="M64" s="234" t="s">
        <v>1526</v>
      </c>
      <c r="N64" s="234" t="n">
        <v>1</v>
      </c>
      <c r="O64" s="234" t="s">
        <v>1527</v>
      </c>
      <c r="P64" s="234" t="s">
        <v>1528</v>
      </c>
      <c r="Q64" s="234" t="s">
        <v>1529</v>
      </c>
      <c r="R64" s="234" t="s">
        <v>1530</v>
      </c>
      <c r="S64" s="234"/>
      <c r="T64" s="234"/>
      <c r="U64" s="234" t="s">
        <v>1527</v>
      </c>
      <c r="V64" s="234"/>
      <c r="W64" s="234" t="s">
        <v>1530</v>
      </c>
      <c r="X64" s="234"/>
      <c r="Y64" s="234"/>
      <c r="Z64" s="234" t="s">
        <v>1572</v>
      </c>
      <c r="AA64" s="234" t="n">
        <v>8729</v>
      </c>
      <c r="AB64" s="234" t="n">
        <v>10300</v>
      </c>
      <c r="AC64" s="234" t="n">
        <v>10300</v>
      </c>
      <c r="AD64" s="234" t="n">
        <v>-0.22</v>
      </c>
      <c r="AE64" s="234" t="s">
        <v>1399</v>
      </c>
      <c r="AF64" s="234"/>
      <c r="AG64" s="234"/>
      <c r="AH64" s="234" t="s">
        <v>1537</v>
      </c>
      <c r="AI64" s="234" t="s">
        <v>1870</v>
      </c>
      <c r="AJ64" s="234" t="s">
        <v>1539</v>
      </c>
      <c r="AK64" s="234"/>
      <c r="AL64" s="234"/>
      <c r="AM64" s="234"/>
      <c r="AN64" s="234"/>
      <c r="AO64" s="234"/>
      <c r="AP64" s="234"/>
      <c r="AQ64" s="234"/>
      <c r="AR64" s="234"/>
      <c r="AS64" s="234"/>
      <c r="AT64" s="234" t="s">
        <v>89</v>
      </c>
      <c r="AU64" s="234" t="s">
        <v>1540</v>
      </c>
      <c r="AV64" s="234" t="n">
        <v>0</v>
      </c>
      <c r="AW64" s="234"/>
      <c r="AX64" s="234"/>
      <c r="AY64" s="234"/>
      <c r="AZ64" s="234"/>
      <c r="BA64" s="234"/>
      <c r="BB64" s="234"/>
      <c r="BC64" s="234"/>
      <c r="BD64" s="234" t="s">
        <v>1541</v>
      </c>
      <c r="BE64" s="235" t="s">
        <v>1969</v>
      </c>
      <c r="BF64" s="234" t="n">
        <v>1</v>
      </c>
      <c r="BG64" s="234" t="s">
        <v>1530</v>
      </c>
      <c r="BH64" s="234" t="s">
        <v>1530</v>
      </c>
      <c r="BI64" s="234" t="n">
        <v>8729</v>
      </c>
      <c r="BJ64" s="234" t="s">
        <v>1543</v>
      </c>
      <c r="BK64" s="234" t="n">
        <v>8729</v>
      </c>
      <c r="BL64" s="234" t="s">
        <v>1544</v>
      </c>
      <c r="BM64" s="234"/>
      <c r="BN64" s="234"/>
      <c r="BO64" s="234"/>
      <c r="BP64" s="234" t="s">
        <v>1970</v>
      </c>
      <c r="BQ64" s="234"/>
      <c r="BR64" s="235" t="s">
        <v>1971</v>
      </c>
      <c r="BS64" s="234" t="s">
        <v>1972</v>
      </c>
      <c r="BT64" s="234" t="s">
        <v>1610</v>
      </c>
      <c r="BU64" s="234" t="s">
        <v>1611</v>
      </c>
      <c r="BV64" s="234" t="s">
        <v>1549</v>
      </c>
      <c r="BW64" s="234" t="s">
        <v>1612</v>
      </c>
      <c r="BX64" s="234"/>
      <c r="BY64" s="234"/>
      <c r="BZ64" s="234"/>
      <c r="CA64" s="235" t="s">
        <v>1971</v>
      </c>
      <c r="CB64" s="234" t="s">
        <v>1972</v>
      </c>
      <c r="CC64" s="234" t="s">
        <v>1610</v>
      </c>
      <c r="CD64" s="234" t="s">
        <v>1611</v>
      </c>
      <c r="CE64" s="234" t="s">
        <v>1549</v>
      </c>
      <c r="CF64" s="234" t="s">
        <v>1612</v>
      </c>
      <c r="CG64" s="234"/>
      <c r="CH64" s="234"/>
      <c r="CI64" s="234" t="s">
        <v>0</v>
      </c>
      <c r="CJ64" s="234" t="s">
        <v>1551</v>
      </c>
      <c r="CK64" s="234" t="s">
        <v>1552</v>
      </c>
      <c r="CL64" s="234" t="s">
        <v>1553</v>
      </c>
      <c r="CM64" s="234" t="s">
        <v>1554</v>
      </c>
      <c r="CN64" s="234" t="s">
        <v>1549</v>
      </c>
      <c r="CO64" s="234" t="s">
        <v>1555</v>
      </c>
      <c r="CP64" s="234" t="s">
        <v>1556</v>
      </c>
      <c r="CQ64" s="234" t="s">
        <v>1557</v>
      </c>
      <c r="CR64" s="234" t="s">
        <v>1530</v>
      </c>
      <c r="CS64" s="234" t="s">
        <v>1530</v>
      </c>
      <c r="CT64" s="234" t="s">
        <v>1558</v>
      </c>
      <c r="CU64" s="234" t="s">
        <v>1530</v>
      </c>
      <c r="CV64" s="234" t="s">
        <v>1530</v>
      </c>
      <c r="CW64" s="234" t="s">
        <v>1530</v>
      </c>
      <c r="CX64" s="234" t="s">
        <v>1973</v>
      </c>
      <c r="CY64" s="234" t="s">
        <v>1530</v>
      </c>
      <c r="CZ64" s="234" t="s">
        <v>1530</v>
      </c>
      <c r="DA64" s="234" t="s">
        <v>1530</v>
      </c>
      <c r="DB64" s="234" t="s">
        <v>1973</v>
      </c>
      <c r="DC64" s="234" t="s">
        <v>1530</v>
      </c>
      <c r="DD64" s="234"/>
      <c r="DE64" s="234"/>
      <c r="DF64" s="234"/>
      <c r="DG64" s="234"/>
      <c r="DH64" s="234"/>
      <c r="DI64" s="234" t="s">
        <v>1572</v>
      </c>
      <c r="DJ64" s="234"/>
      <c r="DK64" s="234"/>
      <c r="DL64" s="234"/>
      <c r="DM64" s="234"/>
      <c r="DN64" s="234"/>
      <c r="DO64" s="234"/>
      <c r="DP64" s="234" t="s">
        <v>1560</v>
      </c>
      <c r="DQ64" s="234" t="n">
        <v>0</v>
      </c>
      <c r="DR64" s="234"/>
      <c r="DS64" s="234"/>
      <c r="DT64" s="234"/>
      <c r="DU64" s="234"/>
      <c r="DV64" s="234"/>
      <c r="DW64" s="234"/>
      <c r="DX64" s="234" t="s">
        <v>1561</v>
      </c>
      <c r="DY64" s="234"/>
      <c r="DZ64" s="234"/>
      <c r="EA64" s="234"/>
      <c r="EB64" s="234"/>
      <c r="EC64" s="234"/>
      <c r="ED64" s="234"/>
      <c r="EE64" s="234"/>
      <c r="EF64" s="234"/>
      <c r="EG64" s="234"/>
      <c r="EH64" s="234" t="s">
        <v>1562</v>
      </c>
      <c r="EI64" s="234"/>
      <c r="EJ64" s="234"/>
      <c r="EK64" s="234" t="s">
        <v>1563</v>
      </c>
      <c r="EL64" s="234"/>
      <c r="EM64" s="234" t="s">
        <v>1564</v>
      </c>
      <c r="EN64" s="234" t="s">
        <v>1565</v>
      </c>
      <c r="EO64" s="234" t="s">
        <v>1566</v>
      </c>
      <c r="EP64" s="234" t="s">
        <v>1558</v>
      </c>
      <c r="EQ64" s="234" t="n">
        <v>1571.22</v>
      </c>
      <c r="ER64" s="234" t="s">
        <v>1567</v>
      </c>
      <c r="ES64" s="234"/>
      <c r="ET64" s="234"/>
    </row>
    <row r="65" customFormat="false" ht="13.5" hidden="false" customHeight="false" outlineLevel="0" collapsed="false">
      <c r="A65" s="233" t="n">
        <v>45776</v>
      </c>
      <c r="B65" s="234" t="s">
        <v>1974</v>
      </c>
      <c r="C65" s="234" t="s">
        <v>1012</v>
      </c>
      <c r="D65" s="234" t="s">
        <v>897</v>
      </c>
      <c r="E65" s="234" t="s">
        <v>1975</v>
      </c>
      <c r="F65" s="234" t="s">
        <v>252</v>
      </c>
      <c r="G65" s="234" t="s">
        <v>1606</v>
      </c>
      <c r="H65" s="234" t="s">
        <v>1607</v>
      </c>
      <c r="I65" s="234" t="s">
        <v>1524</v>
      </c>
      <c r="J65" s="234" t="s">
        <v>1525</v>
      </c>
      <c r="K65" s="233" t="n">
        <v>45776</v>
      </c>
      <c r="L65" s="234"/>
      <c r="M65" s="234" t="s">
        <v>1526</v>
      </c>
      <c r="N65" s="234" t="n">
        <v>1</v>
      </c>
      <c r="O65" s="234" t="s">
        <v>1527</v>
      </c>
      <c r="P65" s="234" t="s">
        <v>1528</v>
      </c>
      <c r="Q65" s="234" t="s">
        <v>1529</v>
      </c>
      <c r="R65" s="234" t="s">
        <v>1530</v>
      </c>
      <c r="S65" s="234"/>
      <c r="T65" s="234"/>
      <c r="U65" s="234" t="s">
        <v>1527</v>
      </c>
      <c r="V65" s="234"/>
      <c r="W65" s="234" t="s">
        <v>1530</v>
      </c>
      <c r="X65" s="234"/>
      <c r="Y65" s="234"/>
      <c r="Z65" s="234" t="s">
        <v>1572</v>
      </c>
      <c r="AA65" s="234" t="n">
        <v>33898.4</v>
      </c>
      <c r="AB65" s="234" t="n">
        <v>40000</v>
      </c>
      <c r="AC65" s="234" t="n">
        <v>0</v>
      </c>
      <c r="AD65" s="234" t="n">
        <v>-0.11</v>
      </c>
      <c r="AE65" s="234" t="s">
        <v>1399</v>
      </c>
      <c r="AF65" s="234"/>
      <c r="AG65" s="233" t="n">
        <v>45776</v>
      </c>
      <c r="AH65" s="234" t="s">
        <v>1537</v>
      </c>
      <c r="AI65" s="234" t="s">
        <v>1870</v>
      </c>
      <c r="AJ65" s="234" t="s">
        <v>1539</v>
      </c>
      <c r="AK65" s="234"/>
      <c r="AL65" s="234"/>
      <c r="AM65" s="234"/>
      <c r="AN65" s="234"/>
      <c r="AO65" s="234"/>
      <c r="AP65" s="234"/>
      <c r="AQ65" s="234"/>
      <c r="AR65" s="234"/>
      <c r="AS65" s="234"/>
      <c r="AT65" s="234" t="s">
        <v>89</v>
      </c>
      <c r="AU65" s="234" t="s">
        <v>1540</v>
      </c>
      <c r="AV65" s="234" t="n">
        <v>0</v>
      </c>
      <c r="AW65" s="234"/>
      <c r="AX65" s="234"/>
      <c r="AY65" s="234"/>
      <c r="AZ65" s="234"/>
      <c r="BA65" s="234"/>
      <c r="BB65" s="234"/>
      <c r="BC65" s="234"/>
      <c r="BD65" s="234" t="s">
        <v>1541</v>
      </c>
      <c r="BE65" s="235" t="s">
        <v>1976</v>
      </c>
      <c r="BF65" s="234" t="n">
        <v>1</v>
      </c>
      <c r="BG65" s="234" t="s">
        <v>1530</v>
      </c>
      <c r="BH65" s="234" t="s">
        <v>1530</v>
      </c>
      <c r="BI65" s="234" t="n">
        <v>33898.4</v>
      </c>
      <c r="BJ65" s="234" t="s">
        <v>1543</v>
      </c>
      <c r="BK65" s="234" t="n">
        <v>33898.4</v>
      </c>
      <c r="BL65" s="234" t="s">
        <v>1544</v>
      </c>
      <c r="BM65" s="234"/>
      <c r="BN65" s="234"/>
      <c r="BO65" s="234"/>
      <c r="BP65" s="234"/>
      <c r="BQ65" s="234"/>
      <c r="BR65" s="234" t="s">
        <v>1977</v>
      </c>
      <c r="BS65" s="234" t="s">
        <v>1978</v>
      </c>
      <c r="BT65" s="234" t="s">
        <v>1610</v>
      </c>
      <c r="BU65" s="234" t="s">
        <v>1611</v>
      </c>
      <c r="BV65" s="234" t="s">
        <v>1549</v>
      </c>
      <c r="BW65" s="234"/>
      <c r="BX65" s="234"/>
      <c r="BY65" s="234"/>
      <c r="BZ65" s="234"/>
      <c r="CA65" s="234" t="s">
        <v>1977</v>
      </c>
      <c r="CB65" s="234" t="s">
        <v>1978</v>
      </c>
      <c r="CC65" s="234" t="s">
        <v>1610</v>
      </c>
      <c r="CD65" s="234" t="s">
        <v>1611</v>
      </c>
      <c r="CE65" s="234" t="s">
        <v>1549</v>
      </c>
      <c r="CF65" s="234"/>
      <c r="CG65" s="234"/>
      <c r="CH65" s="234"/>
      <c r="CI65" s="234" t="s">
        <v>0</v>
      </c>
      <c r="CJ65" s="234" t="s">
        <v>1551</v>
      </c>
      <c r="CK65" s="234" t="s">
        <v>1552</v>
      </c>
      <c r="CL65" s="234" t="s">
        <v>1553</v>
      </c>
      <c r="CM65" s="234" t="s">
        <v>1554</v>
      </c>
      <c r="CN65" s="234" t="s">
        <v>1549</v>
      </c>
      <c r="CO65" s="234" t="s">
        <v>1555</v>
      </c>
      <c r="CP65" s="234" t="s">
        <v>1556</v>
      </c>
      <c r="CQ65" s="234" t="s">
        <v>1557</v>
      </c>
      <c r="CR65" s="234" t="s">
        <v>1530</v>
      </c>
      <c r="CS65" s="234" t="s">
        <v>1530</v>
      </c>
      <c r="CT65" s="234" t="s">
        <v>1558</v>
      </c>
      <c r="CU65" s="234" t="s">
        <v>1530</v>
      </c>
      <c r="CV65" s="234" t="s">
        <v>1530</v>
      </c>
      <c r="CW65" s="234" t="s">
        <v>1530</v>
      </c>
      <c r="CX65" s="234" t="s">
        <v>1979</v>
      </c>
      <c r="CY65" s="234" t="s">
        <v>1530</v>
      </c>
      <c r="CZ65" s="234" t="s">
        <v>1530</v>
      </c>
      <c r="DA65" s="234" t="s">
        <v>1530</v>
      </c>
      <c r="DB65" s="234" t="s">
        <v>1979</v>
      </c>
      <c r="DC65" s="234" t="s">
        <v>1530</v>
      </c>
      <c r="DD65" s="234"/>
      <c r="DE65" s="234"/>
      <c r="DF65" s="234"/>
      <c r="DG65" s="234"/>
      <c r="DH65" s="234"/>
      <c r="DI65" s="234" t="s">
        <v>1572</v>
      </c>
      <c r="DJ65" s="234"/>
      <c r="DK65" s="234"/>
      <c r="DL65" s="234"/>
      <c r="DM65" s="234"/>
      <c r="DN65" s="234"/>
      <c r="DO65" s="234"/>
      <c r="DP65" s="234" t="s">
        <v>1560</v>
      </c>
      <c r="DQ65" s="234" t="n">
        <v>0</v>
      </c>
      <c r="DR65" s="234"/>
      <c r="DS65" s="234"/>
      <c r="DT65" s="234" t="s">
        <v>1980</v>
      </c>
      <c r="DU65" s="234"/>
      <c r="DV65" s="234"/>
      <c r="DW65" s="234"/>
      <c r="DX65" s="234" t="s">
        <v>1561</v>
      </c>
      <c r="DY65" s="234"/>
      <c r="DZ65" s="234"/>
      <c r="EA65" s="234"/>
      <c r="EB65" s="234"/>
      <c r="EC65" s="234"/>
      <c r="ED65" s="234"/>
      <c r="EE65" s="234"/>
      <c r="EF65" s="234"/>
      <c r="EG65" s="234"/>
      <c r="EH65" s="234" t="s">
        <v>1562</v>
      </c>
      <c r="EI65" s="234"/>
      <c r="EJ65" s="234"/>
      <c r="EK65" s="234" t="s">
        <v>1563</v>
      </c>
      <c r="EL65" s="234"/>
      <c r="EM65" s="234" t="s">
        <v>1564</v>
      </c>
      <c r="EN65" s="234" t="s">
        <v>1565</v>
      </c>
      <c r="EO65" s="234" t="s">
        <v>1566</v>
      </c>
      <c r="EP65" s="234" t="s">
        <v>1558</v>
      </c>
      <c r="EQ65" s="234" t="n">
        <v>6101.71</v>
      </c>
      <c r="ER65" s="234" t="s">
        <v>1567</v>
      </c>
      <c r="ES65" s="234"/>
      <c r="ET65" s="234"/>
    </row>
    <row r="66" customFormat="false" ht="13.5" hidden="false" customHeight="false" outlineLevel="0" collapsed="false">
      <c r="A66" s="233" t="n">
        <v>45776</v>
      </c>
      <c r="B66" s="234" t="s">
        <v>1981</v>
      </c>
      <c r="C66" s="234" t="s">
        <v>255</v>
      </c>
      <c r="D66" s="234" t="s">
        <v>897</v>
      </c>
      <c r="E66" s="234" t="s">
        <v>1982</v>
      </c>
      <c r="F66" s="234" t="s">
        <v>254</v>
      </c>
      <c r="G66" s="234" t="s">
        <v>1570</v>
      </c>
      <c r="H66" s="234" t="s">
        <v>1571</v>
      </c>
      <c r="I66" s="234" t="s">
        <v>1524</v>
      </c>
      <c r="J66" s="234" t="s">
        <v>1525</v>
      </c>
      <c r="K66" s="233" t="n">
        <v>45776</v>
      </c>
      <c r="L66" s="234"/>
      <c r="M66" s="234" t="s">
        <v>1526</v>
      </c>
      <c r="N66" s="234" t="n">
        <v>1</v>
      </c>
      <c r="O66" s="234" t="s">
        <v>1527</v>
      </c>
      <c r="P66" s="234" t="s">
        <v>1528</v>
      </c>
      <c r="Q66" s="234" t="s">
        <v>1529</v>
      </c>
      <c r="R66" s="234" t="s">
        <v>1530</v>
      </c>
      <c r="S66" s="234"/>
      <c r="T66" s="234"/>
      <c r="U66" s="234" t="s">
        <v>1527</v>
      </c>
      <c r="V66" s="234"/>
      <c r="W66" s="234" t="s">
        <v>1530</v>
      </c>
      <c r="X66" s="234"/>
      <c r="Y66" s="234"/>
      <c r="Z66" s="234" t="s">
        <v>1572</v>
      </c>
      <c r="AA66" s="234" t="n">
        <v>22033.9</v>
      </c>
      <c r="AB66" s="234" t="n">
        <v>26000</v>
      </c>
      <c r="AC66" s="234" t="n">
        <v>0</v>
      </c>
      <c r="AD66" s="234" t="n">
        <v>0</v>
      </c>
      <c r="AE66" s="234" t="s">
        <v>1399</v>
      </c>
      <c r="AF66" s="234"/>
      <c r="AG66" s="233" t="n">
        <v>45776</v>
      </c>
      <c r="AH66" s="234" t="s">
        <v>1537</v>
      </c>
      <c r="AI66" s="234" t="s">
        <v>1870</v>
      </c>
      <c r="AJ66" s="234" t="s">
        <v>1539</v>
      </c>
      <c r="AK66" s="234"/>
      <c r="AL66" s="234"/>
      <c r="AM66" s="234"/>
      <c r="AN66" s="234"/>
      <c r="AO66" s="234"/>
      <c r="AP66" s="234"/>
      <c r="AQ66" s="234"/>
      <c r="AR66" s="234"/>
      <c r="AS66" s="234"/>
      <c r="AT66" s="234" t="s">
        <v>89</v>
      </c>
      <c r="AU66" s="234" t="s">
        <v>1540</v>
      </c>
      <c r="AV66" s="234" t="n">
        <v>0</v>
      </c>
      <c r="AW66" s="234"/>
      <c r="AX66" s="234"/>
      <c r="AY66" s="234"/>
      <c r="AZ66" s="234"/>
      <c r="BA66" s="234"/>
      <c r="BB66" s="234"/>
      <c r="BC66" s="234"/>
      <c r="BD66" s="234" t="s">
        <v>1541</v>
      </c>
      <c r="BE66" s="235" t="s">
        <v>1983</v>
      </c>
      <c r="BF66" s="234" t="n">
        <v>1</v>
      </c>
      <c r="BG66" s="234" t="s">
        <v>1530</v>
      </c>
      <c r="BH66" s="234" t="s">
        <v>1530</v>
      </c>
      <c r="BI66" s="234" t="n">
        <v>22033.9</v>
      </c>
      <c r="BJ66" s="234" t="s">
        <v>1543</v>
      </c>
      <c r="BK66" s="234" t="n">
        <v>22033.9</v>
      </c>
      <c r="BL66" s="234" t="s">
        <v>1544</v>
      </c>
      <c r="BM66" s="234"/>
      <c r="BN66" s="234"/>
      <c r="BO66" s="234"/>
      <c r="BP66" s="234"/>
      <c r="BQ66" s="234"/>
      <c r="BR66" s="234"/>
      <c r="BS66" s="234"/>
      <c r="BT66" s="234" t="s">
        <v>1586</v>
      </c>
      <c r="BU66" s="234" t="s">
        <v>1587</v>
      </c>
      <c r="BV66" s="234" t="s">
        <v>1549</v>
      </c>
      <c r="BW66" s="234"/>
      <c r="BX66" s="234"/>
      <c r="BY66" s="234"/>
      <c r="BZ66" s="234"/>
      <c r="CA66" s="234"/>
      <c r="CB66" s="234"/>
      <c r="CC66" s="234" t="s">
        <v>1586</v>
      </c>
      <c r="CD66" s="234" t="s">
        <v>1587</v>
      </c>
      <c r="CE66" s="234" t="s">
        <v>1549</v>
      </c>
      <c r="CF66" s="234"/>
      <c r="CG66" s="234"/>
      <c r="CH66" s="234"/>
      <c r="CI66" s="234" t="s">
        <v>0</v>
      </c>
      <c r="CJ66" s="234" t="s">
        <v>1551</v>
      </c>
      <c r="CK66" s="234" t="s">
        <v>1552</v>
      </c>
      <c r="CL66" s="234" t="s">
        <v>1553</v>
      </c>
      <c r="CM66" s="234" t="s">
        <v>1554</v>
      </c>
      <c r="CN66" s="234" t="s">
        <v>1549</v>
      </c>
      <c r="CO66" s="234" t="s">
        <v>1555</v>
      </c>
      <c r="CP66" s="234" t="s">
        <v>1556</v>
      </c>
      <c r="CQ66" s="234" t="s">
        <v>1557</v>
      </c>
      <c r="CR66" s="234" t="s">
        <v>1530</v>
      </c>
      <c r="CS66" s="234" t="s">
        <v>1530</v>
      </c>
      <c r="CT66" s="234" t="s">
        <v>1558</v>
      </c>
      <c r="CU66" s="234" t="s">
        <v>1530</v>
      </c>
      <c r="CV66" s="234" t="s">
        <v>1530</v>
      </c>
      <c r="CW66" s="234" t="s">
        <v>1530</v>
      </c>
      <c r="CX66" s="234" t="s">
        <v>1984</v>
      </c>
      <c r="CY66" s="234" t="s">
        <v>1530</v>
      </c>
      <c r="CZ66" s="234" t="s">
        <v>1530</v>
      </c>
      <c r="DA66" s="234" t="s">
        <v>1530</v>
      </c>
      <c r="DB66" s="234" t="s">
        <v>1984</v>
      </c>
      <c r="DC66" s="234" t="s">
        <v>1530</v>
      </c>
      <c r="DD66" s="234"/>
      <c r="DE66" s="234"/>
      <c r="DF66" s="234"/>
      <c r="DG66" s="234"/>
      <c r="DH66" s="234"/>
      <c r="DI66" s="234" t="s">
        <v>1572</v>
      </c>
      <c r="DJ66" s="234"/>
      <c r="DK66" s="234"/>
      <c r="DL66" s="234"/>
      <c r="DM66" s="234"/>
      <c r="DN66" s="234"/>
      <c r="DO66" s="234"/>
      <c r="DP66" s="234" t="s">
        <v>1560</v>
      </c>
      <c r="DQ66" s="234" t="n">
        <v>0</v>
      </c>
      <c r="DR66" s="234"/>
      <c r="DS66" s="234"/>
      <c r="DT66" s="234"/>
      <c r="DU66" s="234"/>
      <c r="DV66" s="234"/>
      <c r="DW66" s="234"/>
      <c r="DX66" s="234" t="s">
        <v>1561</v>
      </c>
      <c r="DY66" s="234"/>
      <c r="DZ66" s="234"/>
      <c r="EA66" s="234"/>
      <c r="EB66" s="234"/>
      <c r="EC66" s="234"/>
      <c r="ED66" s="234"/>
      <c r="EE66" s="234"/>
      <c r="EF66" s="234"/>
      <c r="EG66" s="234"/>
      <c r="EH66" s="234" t="s">
        <v>1562</v>
      </c>
      <c r="EI66" s="234"/>
      <c r="EJ66" s="234"/>
      <c r="EK66" s="234" t="s">
        <v>1563</v>
      </c>
      <c r="EL66" s="234"/>
      <c r="EM66" s="234" t="s">
        <v>1564</v>
      </c>
      <c r="EN66" s="234" t="s">
        <v>1565</v>
      </c>
      <c r="EO66" s="234" t="s">
        <v>1566</v>
      </c>
      <c r="EP66" s="234" t="s">
        <v>1558</v>
      </c>
      <c r="EQ66" s="234" t="n">
        <v>3966.1</v>
      </c>
      <c r="ER66" s="234" t="s">
        <v>1567</v>
      </c>
      <c r="ES66" s="234"/>
      <c r="ET66" s="234"/>
    </row>
    <row r="67" customFormat="false" ht="13.5" hidden="false" customHeight="false" outlineLevel="0" collapsed="false">
      <c r="A67" s="233" t="n">
        <v>45776</v>
      </c>
      <c r="B67" s="234" t="s">
        <v>1985</v>
      </c>
      <c r="C67" s="234" t="s">
        <v>257</v>
      </c>
      <c r="D67" s="234" t="s">
        <v>897</v>
      </c>
      <c r="E67" s="234" t="s">
        <v>1986</v>
      </c>
      <c r="F67" s="234" t="s">
        <v>256</v>
      </c>
      <c r="G67" s="234" t="s">
        <v>1570</v>
      </c>
      <c r="H67" s="234" t="s">
        <v>1571</v>
      </c>
      <c r="I67" s="234" t="s">
        <v>1524</v>
      </c>
      <c r="J67" s="234" t="s">
        <v>1525</v>
      </c>
      <c r="K67" s="233" t="n">
        <v>45776</v>
      </c>
      <c r="L67" s="234"/>
      <c r="M67" s="234" t="s">
        <v>1526</v>
      </c>
      <c r="N67" s="234" t="n">
        <v>1</v>
      </c>
      <c r="O67" s="234" t="s">
        <v>1527</v>
      </c>
      <c r="P67" s="234" t="s">
        <v>1528</v>
      </c>
      <c r="Q67" s="234" t="s">
        <v>1529</v>
      </c>
      <c r="R67" s="234" t="s">
        <v>1530</v>
      </c>
      <c r="S67" s="234"/>
      <c r="T67" s="234"/>
      <c r="U67" s="234" t="s">
        <v>1527</v>
      </c>
      <c r="V67" s="234"/>
      <c r="W67" s="234" t="s">
        <v>1530</v>
      </c>
      <c r="X67" s="234"/>
      <c r="Y67" s="234"/>
      <c r="Z67" s="234" t="s">
        <v>1572</v>
      </c>
      <c r="AA67" s="234" t="n">
        <v>22033.9</v>
      </c>
      <c r="AB67" s="234" t="n">
        <v>26000</v>
      </c>
      <c r="AC67" s="234" t="n">
        <v>0</v>
      </c>
      <c r="AD67" s="234" t="n">
        <v>0</v>
      </c>
      <c r="AE67" s="234" t="s">
        <v>1399</v>
      </c>
      <c r="AF67" s="234"/>
      <c r="AG67" s="233" t="n">
        <v>45777</v>
      </c>
      <c r="AH67" s="234" t="s">
        <v>1537</v>
      </c>
      <c r="AI67" s="234" t="s">
        <v>1870</v>
      </c>
      <c r="AJ67" s="234" t="s">
        <v>1539</v>
      </c>
      <c r="AK67" s="234"/>
      <c r="AL67" s="234"/>
      <c r="AM67" s="234"/>
      <c r="AN67" s="234"/>
      <c r="AO67" s="234"/>
      <c r="AP67" s="234"/>
      <c r="AQ67" s="234"/>
      <c r="AR67" s="234"/>
      <c r="AS67" s="234"/>
      <c r="AT67" s="234" t="s">
        <v>89</v>
      </c>
      <c r="AU67" s="234" t="s">
        <v>1540</v>
      </c>
      <c r="AV67" s="234" t="n">
        <v>0</v>
      </c>
      <c r="AW67" s="234"/>
      <c r="AX67" s="234"/>
      <c r="AY67" s="234"/>
      <c r="AZ67" s="234"/>
      <c r="BA67" s="234"/>
      <c r="BB67" s="234"/>
      <c r="BC67" s="234"/>
      <c r="BD67" s="234" t="s">
        <v>1541</v>
      </c>
      <c r="BE67" s="235" t="s">
        <v>1983</v>
      </c>
      <c r="BF67" s="234" t="n">
        <v>1</v>
      </c>
      <c r="BG67" s="234" t="s">
        <v>1530</v>
      </c>
      <c r="BH67" s="234" t="s">
        <v>1530</v>
      </c>
      <c r="BI67" s="234" t="n">
        <v>22033.9</v>
      </c>
      <c r="BJ67" s="234" t="s">
        <v>1543</v>
      </c>
      <c r="BK67" s="234" t="n">
        <v>22033.9</v>
      </c>
      <c r="BL67" s="234" t="s">
        <v>1544</v>
      </c>
      <c r="BM67" s="234"/>
      <c r="BN67" s="234"/>
      <c r="BO67" s="234"/>
      <c r="BP67" s="234"/>
      <c r="BQ67" s="234"/>
      <c r="BR67" s="234"/>
      <c r="BS67" s="234"/>
      <c r="BT67" s="234" t="s">
        <v>1586</v>
      </c>
      <c r="BU67" s="234" t="s">
        <v>1587</v>
      </c>
      <c r="BV67" s="234" t="s">
        <v>1549</v>
      </c>
      <c r="BW67" s="234"/>
      <c r="BX67" s="234"/>
      <c r="BY67" s="234"/>
      <c r="BZ67" s="234"/>
      <c r="CA67" s="234"/>
      <c r="CB67" s="234"/>
      <c r="CC67" s="234" t="s">
        <v>1586</v>
      </c>
      <c r="CD67" s="234" t="s">
        <v>1587</v>
      </c>
      <c r="CE67" s="234" t="s">
        <v>1549</v>
      </c>
      <c r="CF67" s="234"/>
      <c r="CG67" s="234"/>
      <c r="CH67" s="234"/>
      <c r="CI67" s="234" t="s">
        <v>0</v>
      </c>
      <c r="CJ67" s="234" t="s">
        <v>1551</v>
      </c>
      <c r="CK67" s="234" t="s">
        <v>1552</v>
      </c>
      <c r="CL67" s="234" t="s">
        <v>1553</v>
      </c>
      <c r="CM67" s="234" t="s">
        <v>1554</v>
      </c>
      <c r="CN67" s="234" t="s">
        <v>1549</v>
      </c>
      <c r="CO67" s="234" t="s">
        <v>1555</v>
      </c>
      <c r="CP67" s="234" t="s">
        <v>1556</v>
      </c>
      <c r="CQ67" s="234" t="s">
        <v>1557</v>
      </c>
      <c r="CR67" s="234" t="s">
        <v>1530</v>
      </c>
      <c r="CS67" s="234" t="s">
        <v>1530</v>
      </c>
      <c r="CT67" s="234" t="s">
        <v>1558</v>
      </c>
      <c r="CU67" s="234" t="s">
        <v>1530</v>
      </c>
      <c r="CV67" s="234" t="s">
        <v>1530</v>
      </c>
      <c r="CW67" s="234" t="s">
        <v>1530</v>
      </c>
      <c r="CX67" s="234" t="s">
        <v>1984</v>
      </c>
      <c r="CY67" s="234" t="s">
        <v>1530</v>
      </c>
      <c r="CZ67" s="234" t="s">
        <v>1530</v>
      </c>
      <c r="DA67" s="234" t="s">
        <v>1530</v>
      </c>
      <c r="DB67" s="234" t="s">
        <v>1984</v>
      </c>
      <c r="DC67" s="234" t="s">
        <v>1530</v>
      </c>
      <c r="DD67" s="234"/>
      <c r="DE67" s="234"/>
      <c r="DF67" s="234"/>
      <c r="DG67" s="234"/>
      <c r="DH67" s="234"/>
      <c r="DI67" s="234" t="s">
        <v>1572</v>
      </c>
      <c r="DJ67" s="234"/>
      <c r="DK67" s="234"/>
      <c r="DL67" s="234"/>
      <c r="DM67" s="234"/>
      <c r="DN67" s="234"/>
      <c r="DO67" s="234"/>
      <c r="DP67" s="234" t="s">
        <v>1560</v>
      </c>
      <c r="DQ67" s="234" t="n">
        <v>0</v>
      </c>
      <c r="DR67" s="234"/>
      <c r="DS67" s="234"/>
      <c r="DT67" s="234"/>
      <c r="DU67" s="234"/>
      <c r="DV67" s="234"/>
      <c r="DW67" s="234"/>
      <c r="DX67" s="234" t="s">
        <v>1561</v>
      </c>
      <c r="DY67" s="234"/>
      <c r="DZ67" s="234"/>
      <c r="EA67" s="234"/>
      <c r="EB67" s="234"/>
      <c r="EC67" s="234"/>
      <c r="ED67" s="234"/>
      <c r="EE67" s="234"/>
      <c r="EF67" s="234"/>
      <c r="EG67" s="234"/>
      <c r="EH67" s="234" t="s">
        <v>1562</v>
      </c>
      <c r="EI67" s="234"/>
      <c r="EJ67" s="234"/>
      <c r="EK67" s="234" t="s">
        <v>1563</v>
      </c>
      <c r="EL67" s="234"/>
      <c r="EM67" s="234" t="s">
        <v>1564</v>
      </c>
      <c r="EN67" s="234" t="s">
        <v>1565</v>
      </c>
      <c r="EO67" s="234" t="s">
        <v>1566</v>
      </c>
      <c r="EP67" s="234" t="s">
        <v>1558</v>
      </c>
      <c r="EQ67" s="234" t="n">
        <v>3966.1</v>
      </c>
      <c r="ER67" s="234" t="s">
        <v>1567</v>
      </c>
      <c r="ES67" s="234"/>
      <c r="ET67" s="234"/>
    </row>
    <row r="68" customFormat="false" ht="13.5" hidden="false" customHeight="false" outlineLevel="0" collapsed="false">
      <c r="A68" s="233" t="n">
        <v>45776</v>
      </c>
      <c r="B68" s="234" t="s">
        <v>1987</v>
      </c>
      <c r="C68" s="234" t="s">
        <v>259</v>
      </c>
      <c r="D68" s="234" t="s">
        <v>897</v>
      </c>
      <c r="E68" s="234" t="s">
        <v>1988</v>
      </c>
      <c r="F68" s="234" t="s">
        <v>258</v>
      </c>
      <c r="G68" s="234" t="s">
        <v>1570</v>
      </c>
      <c r="H68" s="234" t="s">
        <v>1571</v>
      </c>
      <c r="I68" s="234" t="s">
        <v>1524</v>
      </c>
      <c r="J68" s="234" t="s">
        <v>1525</v>
      </c>
      <c r="K68" s="233" t="n">
        <v>45776</v>
      </c>
      <c r="L68" s="234"/>
      <c r="M68" s="234" t="s">
        <v>1526</v>
      </c>
      <c r="N68" s="234" t="n">
        <v>1</v>
      </c>
      <c r="O68" s="234" t="s">
        <v>1527</v>
      </c>
      <c r="P68" s="234" t="s">
        <v>1528</v>
      </c>
      <c r="Q68" s="234" t="s">
        <v>1529</v>
      </c>
      <c r="R68" s="234" t="s">
        <v>1530</v>
      </c>
      <c r="S68" s="234"/>
      <c r="T68" s="234"/>
      <c r="U68" s="234" t="s">
        <v>1527</v>
      </c>
      <c r="V68" s="234"/>
      <c r="W68" s="234" t="s">
        <v>1530</v>
      </c>
      <c r="X68" s="234"/>
      <c r="Y68" s="234"/>
      <c r="Z68" s="234" t="s">
        <v>1572</v>
      </c>
      <c r="AA68" s="234" t="n">
        <v>22033.9</v>
      </c>
      <c r="AB68" s="234" t="n">
        <v>26000</v>
      </c>
      <c r="AC68" s="234" t="n">
        <v>0</v>
      </c>
      <c r="AD68" s="234" t="n">
        <v>0</v>
      </c>
      <c r="AE68" s="234" t="s">
        <v>1399</v>
      </c>
      <c r="AF68" s="234"/>
      <c r="AG68" s="233" t="n">
        <v>45776</v>
      </c>
      <c r="AH68" s="234" t="s">
        <v>1537</v>
      </c>
      <c r="AI68" s="234" t="s">
        <v>1870</v>
      </c>
      <c r="AJ68" s="234" t="s">
        <v>1539</v>
      </c>
      <c r="AK68" s="234"/>
      <c r="AL68" s="234"/>
      <c r="AM68" s="234"/>
      <c r="AN68" s="234"/>
      <c r="AO68" s="234"/>
      <c r="AP68" s="234"/>
      <c r="AQ68" s="234"/>
      <c r="AR68" s="234"/>
      <c r="AS68" s="234"/>
      <c r="AT68" s="234" t="s">
        <v>89</v>
      </c>
      <c r="AU68" s="234" t="s">
        <v>1540</v>
      </c>
      <c r="AV68" s="234" t="n">
        <v>0</v>
      </c>
      <c r="AW68" s="234"/>
      <c r="AX68" s="234"/>
      <c r="AY68" s="234"/>
      <c r="AZ68" s="234"/>
      <c r="BA68" s="234"/>
      <c r="BB68" s="234"/>
      <c r="BC68" s="234"/>
      <c r="BD68" s="234" t="s">
        <v>1541</v>
      </c>
      <c r="BE68" s="235" t="s">
        <v>1983</v>
      </c>
      <c r="BF68" s="234" t="n">
        <v>1</v>
      </c>
      <c r="BG68" s="234" t="s">
        <v>1530</v>
      </c>
      <c r="BH68" s="234" t="s">
        <v>1530</v>
      </c>
      <c r="BI68" s="234" t="n">
        <v>22033.9</v>
      </c>
      <c r="BJ68" s="234" t="s">
        <v>1543</v>
      </c>
      <c r="BK68" s="234" t="n">
        <v>22033.9</v>
      </c>
      <c r="BL68" s="234" t="s">
        <v>1544</v>
      </c>
      <c r="BM68" s="234"/>
      <c r="BN68" s="234"/>
      <c r="BO68" s="234"/>
      <c r="BP68" s="234"/>
      <c r="BQ68" s="234"/>
      <c r="BR68" s="234"/>
      <c r="BS68" s="234"/>
      <c r="BT68" s="234" t="s">
        <v>1586</v>
      </c>
      <c r="BU68" s="234" t="s">
        <v>1587</v>
      </c>
      <c r="BV68" s="234" t="s">
        <v>1549</v>
      </c>
      <c r="BW68" s="234"/>
      <c r="BX68" s="234"/>
      <c r="BY68" s="234"/>
      <c r="BZ68" s="234"/>
      <c r="CA68" s="234"/>
      <c r="CB68" s="234"/>
      <c r="CC68" s="234" t="s">
        <v>1586</v>
      </c>
      <c r="CD68" s="234" t="s">
        <v>1587</v>
      </c>
      <c r="CE68" s="234" t="s">
        <v>1549</v>
      </c>
      <c r="CF68" s="234"/>
      <c r="CG68" s="234"/>
      <c r="CH68" s="234"/>
      <c r="CI68" s="234" t="s">
        <v>0</v>
      </c>
      <c r="CJ68" s="234" t="s">
        <v>1551</v>
      </c>
      <c r="CK68" s="234" t="s">
        <v>1552</v>
      </c>
      <c r="CL68" s="234" t="s">
        <v>1553</v>
      </c>
      <c r="CM68" s="234" t="s">
        <v>1554</v>
      </c>
      <c r="CN68" s="234" t="s">
        <v>1549</v>
      </c>
      <c r="CO68" s="234" t="s">
        <v>1555</v>
      </c>
      <c r="CP68" s="234" t="s">
        <v>1556</v>
      </c>
      <c r="CQ68" s="234" t="s">
        <v>1557</v>
      </c>
      <c r="CR68" s="234" t="s">
        <v>1530</v>
      </c>
      <c r="CS68" s="234" t="s">
        <v>1530</v>
      </c>
      <c r="CT68" s="234" t="s">
        <v>1558</v>
      </c>
      <c r="CU68" s="234" t="s">
        <v>1530</v>
      </c>
      <c r="CV68" s="234" t="s">
        <v>1530</v>
      </c>
      <c r="CW68" s="234" t="s">
        <v>1530</v>
      </c>
      <c r="CX68" s="234" t="s">
        <v>1984</v>
      </c>
      <c r="CY68" s="234" t="s">
        <v>1530</v>
      </c>
      <c r="CZ68" s="234" t="s">
        <v>1530</v>
      </c>
      <c r="DA68" s="234" t="s">
        <v>1530</v>
      </c>
      <c r="DB68" s="234" t="s">
        <v>1984</v>
      </c>
      <c r="DC68" s="234" t="s">
        <v>1530</v>
      </c>
      <c r="DD68" s="234"/>
      <c r="DE68" s="234"/>
      <c r="DF68" s="234"/>
      <c r="DG68" s="234"/>
      <c r="DH68" s="234"/>
      <c r="DI68" s="234" t="s">
        <v>1572</v>
      </c>
      <c r="DJ68" s="234"/>
      <c r="DK68" s="234"/>
      <c r="DL68" s="234"/>
      <c r="DM68" s="234"/>
      <c r="DN68" s="234"/>
      <c r="DO68" s="234"/>
      <c r="DP68" s="234" t="s">
        <v>1560</v>
      </c>
      <c r="DQ68" s="234" t="n">
        <v>0</v>
      </c>
      <c r="DR68" s="234"/>
      <c r="DS68" s="234"/>
      <c r="DT68" s="234"/>
      <c r="DU68" s="234"/>
      <c r="DV68" s="234"/>
      <c r="DW68" s="234"/>
      <c r="DX68" s="234" t="s">
        <v>1561</v>
      </c>
      <c r="DY68" s="234"/>
      <c r="DZ68" s="234"/>
      <c r="EA68" s="234"/>
      <c r="EB68" s="234"/>
      <c r="EC68" s="234"/>
      <c r="ED68" s="234"/>
      <c r="EE68" s="234"/>
      <c r="EF68" s="234"/>
      <c r="EG68" s="234"/>
      <c r="EH68" s="234" t="s">
        <v>1562</v>
      </c>
      <c r="EI68" s="234"/>
      <c r="EJ68" s="234"/>
      <c r="EK68" s="234" t="s">
        <v>1563</v>
      </c>
      <c r="EL68" s="234"/>
      <c r="EM68" s="234" t="s">
        <v>1564</v>
      </c>
      <c r="EN68" s="234" t="s">
        <v>1565</v>
      </c>
      <c r="EO68" s="234" t="s">
        <v>1566</v>
      </c>
      <c r="EP68" s="234" t="s">
        <v>1558</v>
      </c>
      <c r="EQ68" s="234" t="n">
        <v>3966.1</v>
      </c>
      <c r="ER68" s="234" t="s">
        <v>1567</v>
      </c>
      <c r="ES68" s="234"/>
      <c r="ET68" s="234"/>
    </row>
    <row r="69" customFormat="false" ht="13.5" hidden="false" customHeight="false" outlineLevel="0" collapsed="false">
      <c r="A69" s="233" t="n">
        <v>45776</v>
      </c>
      <c r="B69" s="234" t="s">
        <v>1989</v>
      </c>
      <c r="C69" s="234" t="s">
        <v>261</v>
      </c>
      <c r="D69" s="234" t="s">
        <v>897</v>
      </c>
      <c r="E69" s="234" t="s">
        <v>1990</v>
      </c>
      <c r="F69" s="234" t="s">
        <v>260</v>
      </c>
      <c r="G69" s="234" t="s">
        <v>1570</v>
      </c>
      <c r="H69" s="234" t="s">
        <v>1571</v>
      </c>
      <c r="I69" s="234" t="s">
        <v>1524</v>
      </c>
      <c r="J69" s="234" t="s">
        <v>1525</v>
      </c>
      <c r="K69" s="233" t="n">
        <v>45776</v>
      </c>
      <c r="L69" s="234"/>
      <c r="M69" s="234" t="s">
        <v>1526</v>
      </c>
      <c r="N69" s="234" t="n">
        <v>1</v>
      </c>
      <c r="O69" s="234" t="s">
        <v>1527</v>
      </c>
      <c r="P69" s="234" t="s">
        <v>1528</v>
      </c>
      <c r="Q69" s="234" t="s">
        <v>1529</v>
      </c>
      <c r="R69" s="234" t="s">
        <v>1530</v>
      </c>
      <c r="S69" s="234"/>
      <c r="T69" s="234"/>
      <c r="U69" s="234" t="s">
        <v>1527</v>
      </c>
      <c r="V69" s="234"/>
      <c r="W69" s="234" t="s">
        <v>1530</v>
      </c>
      <c r="X69" s="234"/>
      <c r="Y69" s="234"/>
      <c r="Z69" s="234" t="s">
        <v>1572</v>
      </c>
      <c r="AA69" s="234" t="n">
        <v>22033.9</v>
      </c>
      <c r="AB69" s="234" t="n">
        <v>26000</v>
      </c>
      <c r="AC69" s="234" t="n">
        <v>0</v>
      </c>
      <c r="AD69" s="234" t="n">
        <v>0</v>
      </c>
      <c r="AE69" s="234" t="s">
        <v>1399</v>
      </c>
      <c r="AF69" s="234"/>
      <c r="AG69" s="233" t="n">
        <v>45776</v>
      </c>
      <c r="AH69" s="234" t="s">
        <v>1537</v>
      </c>
      <c r="AI69" s="234" t="s">
        <v>1870</v>
      </c>
      <c r="AJ69" s="234" t="s">
        <v>1539</v>
      </c>
      <c r="AK69" s="234"/>
      <c r="AL69" s="234"/>
      <c r="AM69" s="234"/>
      <c r="AN69" s="234"/>
      <c r="AO69" s="234"/>
      <c r="AP69" s="234"/>
      <c r="AQ69" s="234"/>
      <c r="AR69" s="234"/>
      <c r="AS69" s="234"/>
      <c r="AT69" s="234" t="s">
        <v>89</v>
      </c>
      <c r="AU69" s="234" t="s">
        <v>1540</v>
      </c>
      <c r="AV69" s="234" t="n">
        <v>0</v>
      </c>
      <c r="AW69" s="234"/>
      <c r="AX69" s="234"/>
      <c r="AY69" s="234"/>
      <c r="AZ69" s="234"/>
      <c r="BA69" s="234"/>
      <c r="BB69" s="234"/>
      <c r="BC69" s="234"/>
      <c r="BD69" s="234" t="s">
        <v>1541</v>
      </c>
      <c r="BE69" s="235" t="s">
        <v>1983</v>
      </c>
      <c r="BF69" s="234" t="n">
        <v>1</v>
      </c>
      <c r="BG69" s="234" t="s">
        <v>1530</v>
      </c>
      <c r="BH69" s="234" t="s">
        <v>1530</v>
      </c>
      <c r="BI69" s="234" t="n">
        <v>22033.9</v>
      </c>
      <c r="BJ69" s="234" t="s">
        <v>1543</v>
      </c>
      <c r="BK69" s="234" t="n">
        <v>22033.9</v>
      </c>
      <c r="BL69" s="234" t="s">
        <v>1544</v>
      </c>
      <c r="BM69" s="234"/>
      <c r="BN69" s="234"/>
      <c r="BO69" s="234"/>
      <c r="BP69" s="234"/>
      <c r="BQ69" s="234"/>
      <c r="BR69" s="234"/>
      <c r="BS69" s="234"/>
      <c r="BT69" s="234" t="s">
        <v>1586</v>
      </c>
      <c r="BU69" s="234" t="s">
        <v>1587</v>
      </c>
      <c r="BV69" s="234" t="s">
        <v>1549</v>
      </c>
      <c r="BW69" s="234"/>
      <c r="BX69" s="234"/>
      <c r="BY69" s="234"/>
      <c r="BZ69" s="234"/>
      <c r="CA69" s="234"/>
      <c r="CB69" s="234"/>
      <c r="CC69" s="234" t="s">
        <v>1586</v>
      </c>
      <c r="CD69" s="234" t="s">
        <v>1587</v>
      </c>
      <c r="CE69" s="234" t="s">
        <v>1549</v>
      </c>
      <c r="CF69" s="234"/>
      <c r="CG69" s="234"/>
      <c r="CH69" s="234"/>
      <c r="CI69" s="234" t="s">
        <v>0</v>
      </c>
      <c r="CJ69" s="234" t="s">
        <v>1551</v>
      </c>
      <c r="CK69" s="234" t="s">
        <v>1552</v>
      </c>
      <c r="CL69" s="234" t="s">
        <v>1553</v>
      </c>
      <c r="CM69" s="234" t="s">
        <v>1554</v>
      </c>
      <c r="CN69" s="234" t="s">
        <v>1549</v>
      </c>
      <c r="CO69" s="234" t="s">
        <v>1555</v>
      </c>
      <c r="CP69" s="234" t="s">
        <v>1556</v>
      </c>
      <c r="CQ69" s="234" t="s">
        <v>1557</v>
      </c>
      <c r="CR69" s="234" t="s">
        <v>1530</v>
      </c>
      <c r="CS69" s="234" t="s">
        <v>1530</v>
      </c>
      <c r="CT69" s="234" t="s">
        <v>1558</v>
      </c>
      <c r="CU69" s="234" t="s">
        <v>1530</v>
      </c>
      <c r="CV69" s="234" t="s">
        <v>1530</v>
      </c>
      <c r="CW69" s="234" t="s">
        <v>1530</v>
      </c>
      <c r="CX69" s="234" t="s">
        <v>1984</v>
      </c>
      <c r="CY69" s="234" t="s">
        <v>1530</v>
      </c>
      <c r="CZ69" s="234" t="s">
        <v>1530</v>
      </c>
      <c r="DA69" s="234" t="s">
        <v>1530</v>
      </c>
      <c r="DB69" s="234" t="s">
        <v>1984</v>
      </c>
      <c r="DC69" s="234" t="s">
        <v>1530</v>
      </c>
      <c r="DD69" s="234"/>
      <c r="DE69" s="234"/>
      <c r="DF69" s="234"/>
      <c r="DG69" s="234"/>
      <c r="DH69" s="234"/>
      <c r="DI69" s="234" t="s">
        <v>1572</v>
      </c>
      <c r="DJ69" s="234"/>
      <c r="DK69" s="234"/>
      <c r="DL69" s="234"/>
      <c r="DM69" s="234"/>
      <c r="DN69" s="234"/>
      <c r="DO69" s="234"/>
      <c r="DP69" s="234" t="s">
        <v>1560</v>
      </c>
      <c r="DQ69" s="234" t="n">
        <v>0</v>
      </c>
      <c r="DR69" s="234"/>
      <c r="DS69" s="234"/>
      <c r="DT69" s="234"/>
      <c r="DU69" s="234"/>
      <c r="DV69" s="234"/>
      <c r="DW69" s="234"/>
      <c r="DX69" s="234" t="s">
        <v>1561</v>
      </c>
      <c r="DY69" s="234"/>
      <c r="DZ69" s="234"/>
      <c r="EA69" s="234"/>
      <c r="EB69" s="234"/>
      <c r="EC69" s="234"/>
      <c r="ED69" s="234"/>
      <c r="EE69" s="234"/>
      <c r="EF69" s="234"/>
      <c r="EG69" s="234"/>
      <c r="EH69" s="234" t="s">
        <v>1562</v>
      </c>
      <c r="EI69" s="234"/>
      <c r="EJ69" s="234"/>
      <c r="EK69" s="234" t="s">
        <v>1563</v>
      </c>
      <c r="EL69" s="234"/>
      <c r="EM69" s="234" t="s">
        <v>1564</v>
      </c>
      <c r="EN69" s="234" t="s">
        <v>1565</v>
      </c>
      <c r="EO69" s="234" t="s">
        <v>1566</v>
      </c>
      <c r="EP69" s="234" t="s">
        <v>1558</v>
      </c>
      <c r="EQ69" s="234" t="n">
        <v>3966.1</v>
      </c>
      <c r="ER69" s="234" t="s">
        <v>1567</v>
      </c>
      <c r="ES69" s="234"/>
      <c r="ET69" s="234"/>
    </row>
    <row r="70" customFormat="false" ht="13.5" hidden="false" customHeight="false" outlineLevel="0" collapsed="false">
      <c r="A70" s="233" t="n">
        <v>45776</v>
      </c>
      <c r="B70" s="234" t="s">
        <v>1991</v>
      </c>
      <c r="C70" s="234" t="s">
        <v>263</v>
      </c>
      <c r="D70" s="234" t="s">
        <v>897</v>
      </c>
      <c r="E70" s="234" t="s">
        <v>1992</v>
      </c>
      <c r="F70" s="234" t="s">
        <v>262</v>
      </c>
      <c r="G70" s="234" t="s">
        <v>1570</v>
      </c>
      <c r="H70" s="234" t="s">
        <v>1571</v>
      </c>
      <c r="I70" s="234" t="s">
        <v>1524</v>
      </c>
      <c r="J70" s="234" t="s">
        <v>1525</v>
      </c>
      <c r="K70" s="233" t="n">
        <v>45776</v>
      </c>
      <c r="L70" s="234"/>
      <c r="M70" s="234" t="s">
        <v>1526</v>
      </c>
      <c r="N70" s="234" t="n">
        <v>1</v>
      </c>
      <c r="O70" s="234" t="s">
        <v>1527</v>
      </c>
      <c r="P70" s="234" t="s">
        <v>1528</v>
      </c>
      <c r="Q70" s="234" t="s">
        <v>1529</v>
      </c>
      <c r="R70" s="234" t="s">
        <v>1530</v>
      </c>
      <c r="S70" s="234"/>
      <c r="T70" s="234"/>
      <c r="U70" s="234" t="s">
        <v>1527</v>
      </c>
      <c r="V70" s="234"/>
      <c r="W70" s="234" t="s">
        <v>1530</v>
      </c>
      <c r="X70" s="234"/>
      <c r="Y70" s="234"/>
      <c r="Z70" s="234" t="s">
        <v>1572</v>
      </c>
      <c r="AA70" s="234" t="n">
        <v>22033.9</v>
      </c>
      <c r="AB70" s="234" t="n">
        <v>26000</v>
      </c>
      <c r="AC70" s="234" t="n">
        <v>0</v>
      </c>
      <c r="AD70" s="234" t="n">
        <v>0</v>
      </c>
      <c r="AE70" s="234" t="s">
        <v>1399</v>
      </c>
      <c r="AF70" s="234"/>
      <c r="AG70" s="233" t="n">
        <v>45776</v>
      </c>
      <c r="AH70" s="234" t="s">
        <v>1537</v>
      </c>
      <c r="AI70" s="234" t="s">
        <v>1870</v>
      </c>
      <c r="AJ70" s="234" t="s">
        <v>1539</v>
      </c>
      <c r="AK70" s="234"/>
      <c r="AL70" s="234"/>
      <c r="AM70" s="234"/>
      <c r="AN70" s="234"/>
      <c r="AO70" s="234"/>
      <c r="AP70" s="234"/>
      <c r="AQ70" s="234"/>
      <c r="AR70" s="234"/>
      <c r="AS70" s="234"/>
      <c r="AT70" s="234" t="s">
        <v>89</v>
      </c>
      <c r="AU70" s="234" t="s">
        <v>1540</v>
      </c>
      <c r="AV70" s="234" t="n">
        <v>0</v>
      </c>
      <c r="AW70" s="234"/>
      <c r="AX70" s="234"/>
      <c r="AY70" s="234"/>
      <c r="AZ70" s="234"/>
      <c r="BA70" s="234"/>
      <c r="BB70" s="234"/>
      <c r="BC70" s="234"/>
      <c r="BD70" s="234" t="s">
        <v>1541</v>
      </c>
      <c r="BE70" s="235" t="s">
        <v>1983</v>
      </c>
      <c r="BF70" s="234" t="n">
        <v>1</v>
      </c>
      <c r="BG70" s="234" t="s">
        <v>1530</v>
      </c>
      <c r="BH70" s="234" t="s">
        <v>1530</v>
      </c>
      <c r="BI70" s="234" t="n">
        <v>22033.9</v>
      </c>
      <c r="BJ70" s="234" t="s">
        <v>1543</v>
      </c>
      <c r="BK70" s="234" t="n">
        <v>22033.9</v>
      </c>
      <c r="BL70" s="234" t="s">
        <v>1544</v>
      </c>
      <c r="BM70" s="234"/>
      <c r="BN70" s="234"/>
      <c r="BO70" s="234"/>
      <c r="BP70" s="234"/>
      <c r="BQ70" s="234"/>
      <c r="BR70" s="234"/>
      <c r="BS70" s="234"/>
      <c r="BT70" s="234" t="s">
        <v>1586</v>
      </c>
      <c r="BU70" s="234" t="s">
        <v>1587</v>
      </c>
      <c r="BV70" s="234" t="s">
        <v>1549</v>
      </c>
      <c r="BW70" s="234"/>
      <c r="BX70" s="234"/>
      <c r="BY70" s="234"/>
      <c r="BZ70" s="234"/>
      <c r="CA70" s="234"/>
      <c r="CB70" s="234"/>
      <c r="CC70" s="234" t="s">
        <v>1586</v>
      </c>
      <c r="CD70" s="234" t="s">
        <v>1587</v>
      </c>
      <c r="CE70" s="234" t="s">
        <v>1549</v>
      </c>
      <c r="CF70" s="234"/>
      <c r="CG70" s="234"/>
      <c r="CH70" s="234"/>
      <c r="CI70" s="234" t="s">
        <v>0</v>
      </c>
      <c r="CJ70" s="234" t="s">
        <v>1551</v>
      </c>
      <c r="CK70" s="234" t="s">
        <v>1552</v>
      </c>
      <c r="CL70" s="234" t="s">
        <v>1553</v>
      </c>
      <c r="CM70" s="234" t="s">
        <v>1554</v>
      </c>
      <c r="CN70" s="234" t="s">
        <v>1549</v>
      </c>
      <c r="CO70" s="234" t="s">
        <v>1555</v>
      </c>
      <c r="CP70" s="234" t="s">
        <v>1556</v>
      </c>
      <c r="CQ70" s="234" t="s">
        <v>1557</v>
      </c>
      <c r="CR70" s="234" t="s">
        <v>1530</v>
      </c>
      <c r="CS70" s="234" t="s">
        <v>1530</v>
      </c>
      <c r="CT70" s="234" t="s">
        <v>1558</v>
      </c>
      <c r="CU70" s="234" t="s">
        <v>1530</v>
      </c>
      <c r="CV70" s="234" t="s">
        <v>1530</v>
      </c>
      <c r="CW70" s="234" t="s">
        <v>1530</v>
      </c>
      <c r="CX70" s="234" t="s">
        <v>1984</v>
      </c>
      <c r="CY70" s="234" t="s">
        <v>1530</v>
      </c>
      <c r="CZ70" s="234" t="s">
        <v>1530</v>
      </c>
      <c r="DA70" s="234" t="s">
        <v>1530</v>
      </c>
      <c r="DB70" s="234" t="s">
        <v>1984</v>
      </c>
      <c r="DC70" s="234" t="s">
        <v>1530</v>
      </c>
      <c r="DD70" s="234"/>
      <c r="DE70" s="234"/>
      <c r="DF70" s="234"/>
      <c r="DG70" s="234"/>
      <c r="DH70" s="234"/>
      <c r="DI70" s="234" t="s">
        <v>1572</v>
      </c>
      <c r="DJ70" s="234"/>
      <c r="DK70" s="234"/>
      <c r="DL70" s="234"/>
      <c r="DM70" s="234"/>
      <c r="DN70" s="234"/>
      <c r="DO70" s="234"/>
      <c r="DP70" s="234" t="s">
        <v>1560</v>
      </c>
      <c r="DQ70" s="234" t="n">
        <v>0</v>
      </c>
      <c r="DR70" s="234"/>
      <c r="DS70" s="234"/>
      <c r="DT70" s="234"/>
      <c r="DU70" s="234"/>
      <c r="DV70" s="234"/>
      <c r="DW70" s="234"/>
      <c r="DX70" s="234" t="s">
        <v>1561</v>
      </c>
      <c r="DY70" s="234"/>
      <c r="DZ70" s="234"/>
      <c r="EA70" s="234"/>
      <c r="EB70" s="234"/>
      <c r="EC70" s="234"/>
      <c r="ED70" s="234"/>
      <c r="EE70" s="234"/>
      <c r="EF70" s="234"/>
      <c r="EG70" s="234"/>
      <c r="EH70" s="234" t="s">
        <v>1562</v>
      </c>
      <c r="EI70" s="234"/>
      <c r="EJ70" s="234"/>
      <c r="EK70" s="234" t="s">
        <v>1563</v>
      </c>
      <c r="EL70" s="234"/>
      <c r="EM70" s="234" t="s">
        <v>1564</v>
      </c>
      <c r="EN70" s="234" t="s">
        <v>1565</v>
      </c>
      <c r="EO70" s="234" t="s">
        <v>1566</v>
      </c>
      <c r="EP70" s="234" t="s">
        <v>1558</v>
      </c>
      <c r="EQ70" s="234" t="n">
        <v>3966.1</v>
      </c>
      <c r="ER70" s="234" t="s">
        <v>1567</v>
      </c>
      <c r="ES70" s="234"/>
      <c r="ET70" s="234"/>
    </row>
    <row r="71" customFormat="false" ht="13.5" hidden="false" customHeight="false" outlineLevel="0" collapsed="false">
      <c r="A71" s="233" t="n">
        <v>45776</v>
      </c>
      <c r="B71" s="234" t="s">
        <v>1993</v>
      </c>
      <c r="C71" s="234" t="s">
        <v>265</v>
      </c>
      <c r="D71" s="234" t="s">
        <v>897</v>
      </c>
      <c r="E71" s="234" t="s">
        <v>1994</v>
      </c>
      <c r="F71" s="234" t="s">
        <v>264</v>
      </c>
      <c r="G71" s="234" t="s">
        <v>1570</v>
      </c>
      <c r="H71" s="234" t="s">
        <v>1571</v>
      </c>
      <c r="I71" s="234" t="s">
        <v>1524</v>
      </c>
      <c r="J71" s="234" t="s">
        <v>1525</v>
      </c>
      <c r="K71" s="233" t="n">
        <v>45776</v>
      </c>
      <c r="L71" s="234"/>
      <c r="M71" s="234" t="s">
        <v>1526</v>
      </c>
      <c r="N71" s="234" t="n">
        <v>1</v>
      </c>
      <c r="O71" s="234" t="s">
        <v>1527</v>
      </c>
      <c r="P71" s="234" t="s">
        <v>1528</v>
      </c>
      <c r="Q71" s="234" t="s">
        <v>1529</v>
      </c>
      <c r="R71" s="234" t="s">
        <v>1530</v>
      </c>
      <c r="S71" s="234"/>
      <c r="T71" s="234"/>
      <c r="U71" s="234" t="s">
        <v>1527</v>
      </c>
      <c r="V71" s="234"/>
      <c r="W71" s="234" t="s">
        <v>1530</v>
      </c>
      <c r="X71" s="234"/>
      <c r="Y71" s="234"/>
      <c r="Z71" s="234" t="s">
        <v>1572</v>
      </c>
      <c r="AA71" s="234" t="n">
        <v>22033.9</v>
      </c>
      <c r="AB71" s="234" t="n">
        <v>26000</v>
      </c>
      <c r="AC71" s="234" t="n">
        <v>0</v>
      </c>
      <c r="AD71" s="234" t="n">
        <v>0</v>
      </c>
      <c r="AE71" s="234" t="s">
        <v>1399</v>
      </c>
      <c r="AF71" s="234"/>
      <c r="AG71" s="233" t="n">
        <v>45776</v>
      </c>
      <c r="AH71" s="234" t="s">
        <v>1537</v>
      </c>
      <c r="AI71" s="234" t="s">
        <v>1870</v>
      </c>
      <c r="AJ71" s="234" t="s">
        <v>1539</v>
      </c>
      <c r="AK71" s="234"/>
      <c r="AL71" s="234"/>
      <c r="AM71" s="234"/>
      <c r="AN71" s="234"/>
      <c r="AO71" s="234"/>
      <c r="AP71" s="234"/>
      <c r="AQ71" s="234"/>
      <c r="AR71" s="234"/>
      <c r="AS71" s="234"/>
      <c r="AT71" s="234" t="s">
        <v>89</v>
      </c>
      <c r="AU71" s="234" t="s">
        <v>1540</v>
      </c>
      <c r="AV71" s="234" t="n">
        <v>0</v>
      </c>
      <c r="AW71" s="234"/>
      <c r="AX71" s="234"/>
      <c r="AY71" s="234"/>
      <c r="AZ71" s="234"/>
      <c r="BA71" s="234"/>
      <c r="BB71" s="234"/>
      <c r="BC71" s="234"/>
      <c r="BD71" s="234" t="s">
        <v>1541</v>
      </c>
      <c r="BE71" s="235" t="s">
        <v>1983</v>
      </c>
      <c r="BF71" s="234" t="n">
        <v>1</v>
      </c>
      <c r="BG71" s="234" t="s">
        <v>1530</v>
      </c>
      <c r="BH71" s="234" t="s">
        <v>1530</v>
      </c>
      <c r="BI71" s="234" t="n">
        <v>22033.9</v>
      </c>
      <c r="BJ71" s="234" t="s">
        <v>1543</v>
      </c>
      <c r="BK71" s="234" t="n">
        <v>22033.9</v>
      </c>
      <c r="BL71" s="234" t="s">
        <v>1544</v>
      </c>
      <c r="BM71" s="234"/>
      <c r="BN71" s="234"/>
      <c r="BO71" s="234"/>
      <c r="BP71" s="234"/>
      <c r="BQ71" s="234"/>
      <c r="BR71" s="234"/>
      <c r="BS71" s="234"/>
      <c r="BT71" s="234" t="s">
        <v>1586</v>
      </c>
      <c r="BU71" s="234" t="s">
        <v>1587</v>
      </c>
      <c r="BV71" s="234" t="s">
        <v>1549</v>
      </c>
      <c r="BW71" s="234"/>
      <c r="BX71" s="234"/>
      <c r="BY71" s="234"/>
      <c r="BZ71" s="234"/>
      <c r="CA71" s="234"/>
      <c r="CB71" s="234"/>
      <c r="CC71" s="234" t="s">
        <v>1586</v>
      </c>
      <c r="CD71" s="234" t="s">
        <v>1587</v>
      </c>
      <c r="CE71" s="234" t="s">
        <v>1549</v>
      </c>
      <c r="CF71" s="234"/>
      <c r="CG71" s="234"/>
      <c r="CH71" s="234"/>
      <c r="CI71" s="234" t="s">
        <v>0</v>
      </c>
      <c r="CJ71" s="234" t="s">
        <v>1551</v>
      </c>
      <c r="CK71" s="234" t="s">
        <v>1552</v>
      </c>
      <c r="CL71" s="234" t="s">
        <v>1553</v>
      </c>
      <c r="CM71" s="234" t="s">
        <v>1554</v>
      </c>
      <c r="CN71" s="234" t="s">
        <v>1549</v>
      </c>
      <c r="CO71" s="234" t="s">
        <v>1555</v>
      </c>
      <c r="CP71" s="234" t="s">
        <v>1556</v>
      </c>
      <c r="CQ71" s="234" t="s">
        <v>1557</v>
      </c>
      <c r="CR71" s="234" t="s">
        <v>1530</v>
      </c>
      <c r="CS71" s="234" t="s">
        <v>1530</v>
      </c>
      <c r="CT71" s="234" t="s">
        <v>1558</v>
      </c>
      <c r="CU71" s="234" t="s">
        <v>1530</v>
      </c>
      <c r="CV71" s="234" t="s">
        <v>1530</v>
      </c>
      <c r="CW71" s="234" t="s">
        <v>1530</v>
      </c>
      <c r="CX71" s="234" t="s">
        <v>1984</v>
      </c>
      <c r="CY71" s="234" t="s">
        <v>1530</v>
      </c>
      <c r="CZ71" s="234" t="s">
        <v>1530</v>
      </c>
      <c r="DA71" s="234" t="s">
        <v>1530</v>
      </c>
      <c r="DB71" s="234" t="s">
        <v>1984</v>
      </c>
      <c r="DC71" s="234" t="s">
        <v>1530</v>
      </c>
      <c r="DD71" s="234"/>
      <c r="DE71" s="234"/>
      <c r="DF71" s="234"/>
      <c r="DG71" s="234"/>
      <c r="DH71" s="234"/>
      <c r="DI71" s="234" t="s">
        <v>1572</v>
      </c>
      <c r="DJ71" s="234"/>
      <c r="DK71" s="234"/>
      <c r="DL71" s="234"/>
      <c r="DM71" s="234"/>
      <c r="DN71" s="234"/>
      <c r="DO71" s="234"/>
      <c r="DP71" s="234" t="s">
        <v>1560</v>
      </c>
      <c r="DQ71" s="234" t="n">
        <v>0</v>
      </c>
      <c r="DR71" s="234"/>
      <c r="DS71" s="234"/>
      <c r="DT71" s="234"/>
      <c r="DU71" s="234"/>
      <c r="DV71" s="234"/>
      <c r="DW71" s="234"/>
      <c r="DX71" s="234" t="s">
        <v>1561</v>
      </c>
      <c r="DY71" s="234"/>
      <c r="DZ71" s="234"/>
      <c r="EA71" s="234"/>
      <c r="EB71" s="234"/>
      <c r="EC71" s="234"/>
      <c r="ED71" s="234"/>
      <c r="EE71" s="234"/>
      <c r="EF71" s="234"/>
      <c r="EG71" s="234"/>
      <c r="EH71" s="234" t="s">
        <v>1562</v>
      </c>
      <c r="EI71" s="234"/>
      <c r="EJ71" s="234"/>
      <c r="EK71" s="234" t="s">
        <v>1563</v>
      </c>
      <c r="EL71" s="234"/>
      <c r="EM71" s="234" t="s">
        <v>1564</v>
      </c>
      <c r="EN71" s="234" t="s">
        <v>1565</v>
      </c>
      <c r="EO71" s="234" t="s">
        <v>1566</v>
      </c>
      <c r="EP71" s="234" t="s">
        <v>1558</v>
      </c>
      <c r="EQ71" s="234" t="n">
        <v>3966.1</v>
      </c>
      <c r="ER71" s="234" t="s">
        <v>1567</v>
      </c>
      <c r="ES71" s="234"/>
      <c r="ET71" s="234"/>
    </row>
    <row r="72" customFormat="false" ht="13.5" hidden="false" customHeight="false" outlineLevel="0" collapsed="false">
      <c r="A72" s="233" t="n">
        <v>45776</v>
      </c>
      <c r="B72" s="234" t="s">
        <v>1995</v>
      </c>
      <c r="C72" s="234" t="s">
        <v>268</v>
      </c>
      <c r="D72" s="234" t="s">
        <v>897</v>
      </c>
      <c r="E72" s="234" t="s">
        <v>1996</v>
      </c>
      <c r="F72" s="234" t="s">
        <v>267</v>
      </c>
      <c r="G72" s="234" t="s">
        <v>1570</v>
      </c>
      <c r="H72" s="234" t="s">
        <v>1571</v>
      </c>
      <c r="I72" s="234" t="s">
        <v>1524</v>
      </c>
      <c r="J72" s="234" t="s">
        <v>1525</v>
      </c>
      <c r="K72" s="233" t="n">
        <v>45776</v>
      </c>
      <c r="L72" s="234"/>
      <c r="M72" s="234" t="s">
        <v>1526</v>
      </c>
      <c r="N72" s="234" t="n">
        <v>1</v>
      </c>
      <c r="O72" s="234" t="s">
        <v>1527</v>
      </c>
      <c r="P72" s="234" t="s">
        <v>1528</v>
      </c>
      <c r="Q72" s="234" t="s">
        <v>1529</v>
      </c>
      <c r="R72" s="234" t="s">
        <v>1530</v>
      </c>
      <c r="S72" s="234"/>
      <c r="T72" s="234"/>
      <c r="U72" s="234" t="s">
        <v>1527</v>
      </c>
      <c r="V72" s="234"/>
      <c r="W72" s="234" t="s">
        <v>1530</v>
      </c>
      <c r="X72" s="234"/>
      <c r="Y72" s="234"/>
      <c r="Z72" s="234" t="s">
        <v>1572</v>
      </c>
      <c r="AA72" s="234" t="n">
        <v>44067.8</v>
      </c>
      <c r="AB72" s="234" t="n">
        <v>52000</v>
      </c>
      <c r="AC72" s="234" t="n">
        <v>0</v>
      </c>
      <c r="AD72" s="234" t="n">
        <v>0</v>
      </c>
      <c r="AE72" s="234" t="s">
        <v>1399</v>
      </c>
      <c r="AF72" s="234"/>
      <c r="AG72" s="233" t="n">
        <v>45777</v>
      </c>
      <c r="AH72" s="234" t="s">
        <v>1537</v>
      </c>
      <c r="AI72" s="234" t="s">
        <v>1870</v>
      </c>
      <c r="AJ72" s="234" t="s">
        <v>1539</v>
      </c>
      <c r="AK72" s="234"/>
      <c r="AL72" s="234"/>
      <c r="AM72" s="234"/>
      <c r="AN72" s="234"/>
      <c r="AO72" s="234"/>
      <c r="AP72" s="234"/>
      <c r="AQ72" s="234"/>
      <c r="AR72" s="234"/>
      <c r="AS72" s="234"/>
      <c r="AT72" s="234" t="s">
        <v>89</v>
      </c>
      <c r="AU72" s="234" t="s">
        <v>1540</v>
      </c>
      <c r="AV72" s="234" t="n">
        <v>0</v>
      </c>
      <c r="AW72" s="234"/>
      <c r="AX72" s="234"/>
      <c r="AY72" s="234"/>
      <c r="AZ72" s="234"/>
      <c r="BA72" s="234"/>
      <c r="BB72" s="234"/>
      <c r="BC72" s="234"/>
      <c r="BD72" s="234" t="s">
        <v>1541</v>
      </c>
      <c r="BE72" s="235" t="s">
        <v>1997</v>
      </c>
      <c r="BF72" s="234" t="n">
        <v>1</v>
      </c>
      <c r="BG72" s="234" t="s">
        <v>1530</v>
      </c>
      <c r="BH72" s="234" t="s">
        <v>1530</v>
      </c>
      <c r="BI72" s="234" t="n">
        <v>44067.8</v>
      </c>
      <c r="BJ72" s="234" t="s">
        <v>1543</v>
      </c>
      <c r="BK72" s="234" t="n">
        <v>44067.8</v>
      </c>
      <c r="BL72" s="234" t="s">
        <v>1544</v>
      </c>
      <c r="BM72" s="234"/>
      <c r="BN72" s="234"/>
      <c r="BO72" s="234"/>
      <c r="BP72" s="234"/>
      <c r="BQ72" s="234"/>
      <c r="BR72" s="234"/>
      <c r="BS72" s="234"/>
      <c r="BT72" s="234"/>
      <c r="BU72" s="234"/>
      <c r="BV72" s="234"/>
      <c r="BW72" s="234"/>
      <c r="BX72" s="234"/>
      <c r="BY72" s="234"/>
      <c r="BZ72" s="234"/>
      <c r="CA72" s="234"/>
      <c r="CB72" s="234"/>
      <c r="CC72" s="234"/>
      <c r="CD72" s="234"/>
      <c r="CE72" s="234"/>
      <c r="CF72" s="234"/>
      <c r="CG72" s="234"/>
      <c r="CH72" s="234"/>
      <c r="CI72" s="234" t="s">
        <v>0</v>
      </c>
      <c r="CJ72" s="234" t="s">
        <v>1551</v>
      </c>
      <c r="CK72" s="234" t="s">
        <v>1552</v>
      </c>
      <c r="CL72" s="234" t="s">
        <v>1553</v>
      </c>
      <c r="CM72" s="234" t="s">
        <v>1554</v>
      </c>
      <c r="CN72" s="234" t="s">
        <v>1549</v>
      </c>
      <c r="CO72" s="234" t="s">
        <v>1555</v>
      </c>
      <c r="CP72" s="234" t="s">
        <v>1556</v>
      </c>
      <c r="CQ72" s="234" t="s">
        <v>1557</v>
      </c>
      <c r="CR72" s="234" t="s">
        <v>1530</v>
      </c>
      <c r="CS72" s="234" t="s">
        <v>1530</v>
      </c>
      <c r="CT72" s="234" t="s">
        <v>1558</v>
      </c>
      <c r="CU72" s="234" t="s">
        <v>1530</v>
      </c>
      <c r="CV72" s="234" t="s">
        <v>1530</v>
      </c>
      <c r="CW72" s="234" t="s">
        <v>1530</v>
      </c>
      <c r="CX72" s="234" t="s">
        <v>1998</v>
      </c>
      <c r="CY72" s="234" t="s">
        <v>1530</v>
      </c>
      <c r="CZ72" s="234" t="s">
        <v>1530</v>
      </c>
      <c r="DA72" s="234" t="s">
        <v>1530</v>
      </c>
      <c r="DB72" s="234" t="s">
        <v>1998</v>
      </c>
      <c r="DC72" s="234" t="s">
        <v>1530</v>
      </c>
      <c r="DD72" s="234"/>
      <c r="DE72" s="234"/>
      <c r="DF72" s="234"/>
      <c r="DG72" s="234"/>
      <c r="DH72" s="234"/>
      <c r="DI72" s="234" t="s">
        <v>1572</v>
      </c>
      <c r="DJ72" s="234"/>
      <c r="DK72" s="234"/>
      <c r="DL72" s="234"/>
      <c r="DM72" s="234"/>
      <c r="DN72" s="234"/>
      <c r="DO72" s="234"/>
      <c r="DP72" s="234" t="s">
        <v>1560</v>
      </c>
      <c r="DQ72" s="234" t="n">
        <v>0</v>
      </c>
      <c r="DR72" s="234"/>
      <c r="DS72" s="234"/>
      <c r="DT72" s="234"/>
      <c r="DU72" s="234"/>
      <c r="DV72" s="234"/>
      <c r="DW72" s="234"/>
      <c r="DX72" s="234" t="s">
        <v>1561</v>
      </c>
      <c r="DY72" s="234"/>
      <c r="DZ72" s="234"/>
      <c r="EA72" s="234"/>
      <c r="EB72" s="234"/>
      <c r="EC72" s="234"/>
      <c r="ED72" s="234"/>
      <c r="EE72" s="234"/>
      <c r="EF72" s="234"/>
      <c r="EG72" s="234"/>
      <c r="EH72" s="234" t="s">
        <v>1562</v>
      </c>
      <c r="EI72" s="234"/>
      <c r="EJ72" s="234"/>
      <c r="EK72" s="234" t="s">
        <v>1563</v>
      </c>
      <c r="EL72" s="234"/>
      <c r="EM72" s="234" t="s">
        <v>1564</v>
      </c>
      <c r="EN72" s="234" t="s">
        <v>1565</v>
      </c>
      <c r="EO72" s="234" t="s">
        <v>1566</v>
      </c>
      <c r="EP72" s="234" t="s">
        <v>1558</v>
      </c>
      <c r="EQ72" s="234" t="n">
        <v>7932.2</v>
      </c>
      <c r="ER72" s="234" t="s">
        <v>1567</v>
      </c>
      <c r="ES72" s="234"/>
      <c r="ET72" s="234"/>
    </row>
    <row r="73" customFormat="false" ht="13.5" hidden="false" customHeight="false" outlineLevel="0" collapsed="false">
      <c r="A73" s="233" t="n">
        <v>45777</v>
      </c>
      <c r="B73" s="234" t="s">
        <v>1999</v>
      </c>
      <c r="C73" s="234" t="s">
        <v>270</v>
      </c>
      <c r="D73" s="234" t="s">
        <v>897</v>
      </c>
      <c r="E73" s="234" t="s">
        <v>2000</v>
      </c>
      <c r="F73" s="234" t="s">
        <v>269</v>
      </c>
      <c r="G73" s="234" t="s">
        <v>1522</v>
      </c>
      <c r="H73" s="234" t="s">
        <v>1523</v>
      </c>
      <c r="I73" s="234" t="s">
        <v>1524</v>
      </c>
      <c r="J73" s="234" t="s">
        <v>1525</v>
      </c>
      <c r="K73" s="233" t="n">
        <v>45777</v>
      </c>
      <c r="L73" s="234"/>
      <c r="M73" s="234" t="s">
        <v>1526</v>
      </c>
      <c r="N73" s="234" t="n">
        <v>1</v>
      </c>
      <c r="O73" s="234" t="s">
        <v>1527</v>
      </c>
      <c r="P73" s="234" t="s">
        <v>1528</v>
      </c>
      <c r="Q73" s="234" t="s">
        <v>1529</v>
      </c>
      <c r="R73" s="234" t="s">
        <v>1530</v>
      </c>
      <c r="S73" s="234"/>
      <c r="T73" s="234"/>
      <c r="U73" s="234" t="s">
        <v>1527</v>
      </c>
      <c r="V73" s="234"/>
      <c r="W73" s="234" t="s">
        <v>1530</v>
      </c>
      <c r="X73" s="234"/>
      <c r="Y73" s="234"/>
      <c r="Z73" s="234" t="s">
        <v>1572</v>
      </c>
      <c r="AA73" s="234" t="n">
        <v>36000</v>
      </c>
      <c r="AB73" s="234" t="n">
        <v>42480</v>
      </c>
      <c r="AC73" s="234" t="n">
        <v>0</v>
      </c>
      <c r="AD73" s="234" t="n">
        <v>0</v>
      </c>
      <c r="AE73" s="234" t="s">
        <v>1399</v>
      </c>
      <c r="AF73" s="234"/>
      <c r="AG73" s="233" t="n">
        <v>45777</v>
      </c>
      <c r="AH73" s="234" t="s">
        <v>1537</v>
      </c>
      <c r="AI73" s="234" t="s">
        <v>1870</v>
      </c>
      <c r="AJ73" s="234" t="s">
        <v>1539</v>
      </c>
      <c r="AK73" s="234"/>
      <c r="AL73" s="234"/>
      <c r="AM73" s="234"/>
      <c r="AN73" s="234"/>
      <c r="AO73" s="234"/>
      <c r="AP73" s="234"/>
      <c r="AQ73" s="234"/>
      <c r="AR73" s="234"/>
      <c r="AS73" s="234"/>
      <c r="AT73" s="234" t="s">
        <v>89</v>
      </c>
      <c r="AU73" s="234" t="s">
        <v>1540</v>
      </c>
      <c r="AV73" s="234" t="n">
        <v>0</v>
      </c>
      <c r="AW73" s="234"/>
      <c r="AX73" s="234"/>
      <c r="AY73" s="234"/>
      <c r="AZ73" s="234"/>
      <c r="BA73" s="234"/>
      <c r="BB73" s="234"/>
      <c r="BC73" s="234"/>
      <c r="BD73" s="234" t="s">
        <v>1541</v>
      </c>
      <c r="BE73" s="235" t="s">
        <v>2001</v>
      </c>
      <c r="BF73" s="234" t="n">
        <v>1</v>
      </c>
      <c r="BG73" s="234" t="s">
        <v>1530</v>
      </c>
      <c r="BH73" s="234" t="s">
        <v>1530</v>
      </c>
      <c r="BI73" s="234" t="n">
        <v>36000</v>
      </c>
      <c r="BJ73" s="234" t="s">
        <v>1543</v>
      </c>
      <c r="BK73" s="234" t="n">
        <v>36000</v>
      </c>
      <c r="BL73" s="234" t="s">
        <v>1544</v>
      </c>
      <c r="BM73" s="234"/>
      <c r="BN73" s="234"/>
      <c r="BO73" s="234"/>
      <c r="BP73" s="234"/>
      <c r="BQ73" s="234"/>
      <c r="BR73" s="234"/>
      <c r="BS73" s="234"/>
      <c r="BT73" s="234"/>
      <c r="BU73" s="234" t="s">
        <v>1548</v>
      </c>
      <c r="BV73" s="234" t="s">
        <v>1549</v>
      </c>
      <c r="BW73" s="234"/>
      <c r="BX73" s="234"/>
      <c r="BY73" s="234"/>
      <c r="BZ73" s="234"/>
      <c r="CA73" s="234"/>
      <c r="CB73" s="234"/>
      <c r="CC73" s="234"/>
      <c r="CD73" s="234" t="s">
        <v>1548</v>
      </c>
      <c r="CE73" s="234" t="s">
        <v>1549</v>
      </c>
      <c r="CF73" s="234"/>
      <c r="CG73" s="234"/>
      <c r="CH73" s="234"/>
      <c r="CI73" s="234" t="s">
        <v>0</v>
      </c>
      <c r="CJ73" s="234" t="s">
        <v>1551</v>
      </c>
      <c r="CK73" s="234" t="s">
        <v>1552</v>
      </c>
      <c r="CL73" s="234" t="s">
        <v>1553</v>
      </c>
      <c r="CM73" s="234" t="s">
        <v>1554</v>
      </c>
      <c r="CN73" s="234" t="s">
        <v>1549</v>
      </c>
      <c r="CO73" s="234" t="s">
        <v>1555</v>
      </c>
      <c r="CP73" s="234" t="s">
        <v>1556</v>
      </c>
      <c r="CQ73" s="234" t="s">
        <v>1557</v>
      </c>
      <c r="CR73" s="234" t="s">
        <v>1530</v>
      </c>
      <c r="CS73" s="234" t="s">
        <v>1530</v>
      </c>
      <c r="CT73" s="234" t="s">
        <v>1558</v>
      </c>
      <c r="CU73" s="234" t="s">
        <v>1530</v>
      </c>
      <c r="CV73" s="234" t="s">
        <v>1530</v>
      </c>
      <c r="CW73" s="234" t="s">
        <v>1530</v>
      </c>
      <c r="CX73" s="234" t="s">
        <v>1799</v>
      </c>
      <c r="CY73" s="234" t="s">
        <v>1530</v>
      </c>
      <c r="CZ73" s="234" t="s">
        <v>1530</v>
      </c>
      <c r="DA73" s="234" t="s">
        <v>1530</v>
      </c>
      <c r="DB73" s="234" t="s">
        <v>1799</v>
      </c>
      <c r="DC73" s="234" t="s">
        <v>1530</v>
      </c>
      <c r="DD73" s="234"/>
      <c r="DE73" s="234"/>
      <c r="DF73" s="234"/>
      <c r="DG73" s="234"/>
      <c r="DH73" s="234"/>
      <c r="DI73" s="234" t="s">
        <v>1572</v>
      </c>
      <c r="DJ73" s="234"/>
      <c r="DK73" s="234"/>
      <c r="DL73" s="234"/>
      <c r="DM73" s="234"/>
      <c r="DN73" s="234"/>
      <c r="DO73" s="234"/>
      <c r="DP73" s="234" t="s">
        <v>1560</v>
      </c>
      <c r="DQ73" s="234" t="n">
        <v>0</v>
      </c>
      <c r="DR73" s="234"/>
      <c r="DS73" s="234"/>
      <c r="DT73" s="234"/>
      <c r="DU73" s="234"/>
      <c r="DV73" s="234"/>
      <c r="DW73" s="234"/>
      <c r="DX73" s="234" t="s">
        <v>1561</v>
      </c>
      <c r="DY73" s="234"/>
      <c r="DZ73" s="234"/>
      <c r="EA73" s="234"/>
      <c r="EB73" s="234"/>
      <c r="EC73" s="234"/>
      <c r="ED73" s="234"/>
      <c r="EE73" s="234"/>
      <c r="EF73" s="234"/>
      <c r="EG73" s="234"/>
      <c r="EH73" s="234" t="s">
        <v>1562</v>
      </c>
      <c r="EI73" s="234"/>
      <c r="EJ73" s="234"/>
      <c r="EK73" s="234" t="s">
        <v>1563</v>
      </c>
      <c r="EL73" s="234"/>
      <c r="EM73" s="234" t="s">
        <v>1564</v>
      </c>
      <c r="EN73" s="234" t="s">
        <v>1565</v>
      </c>
      <c r="EO73" s="234" t="s">
        <v>1566</v>
      </c>
      <c r="EP73" s="234" t="s">
        <v>1558</v>
      </c>
      <c r="EQ73" s="234" t="n">
        <v>6480</v>
      </c>
      <c r="ER73" s="234" t="s">
        <v>1567</v>
      </c>
      <c r="ES73" s="234"/>
      <c r="ET73" s="234"/>
    </row>
    <row r="74" customFormat="false" ht="13.5" hidden="false" customHeight="false" outlineLevel="0" collapsed="false">
      <c r="A74" s="233" t="n">
        <v>45777</v>
      </c>
      <c r="B74" s="234" t="s">
        <v>2002</v>
      </c>
      <c r="C74" s="234" t="s">
        <v>272</v>
      </c>
      <c r="D74" s="234" t="s">
        <v>897</v>
      </c>
      <c r="E74" s="234" t="s">
        <v>2003</v>
      </c>
      <c r="F74" s="234" t="s">
        <v>271</v>
      </c>
      <c r="G74" s="234" t="s">
        <v>1632</v>
      </c>
      <c r="H74" s="234" t="s">
        <v>1633</v>
      </c>
      <c r="I74" s="234" t="s">
        <v>1595</v>
      </c>
      <c r="J74" s="234" t="s">
        <v>1525</v>
      </c>
      <c r="K74" s="233" t="n">
        <v>45777</v>
      </c>
      <c r="L74" s="234"/>
      <c r="M74" s="234" t="s">
        <v>1526</v>
      </c>
      <c r="N74" s="234" t="n">
        <v>1</v>
      </c>
      <c r="O74" s="234" t="s">
        <v>1527</v>
      </c>
      <c r="P74" s="234" t="s">
        <v>1528</v>
      </c>
      <c r="Q74" s="234" t="s">
        <v>1529</v>
      </c>
      <c r="R74" s="234" t="s">
        <v>1530</v>
      </c>
      <c r="S74" s="234"/>
      <c r="T74" s="234"/>
      <c r="U74" s="234" t="s">
        <v>1531</v>
      </c>
      <c r="V74" s="234" t="s">
        <v>1596</v>
      </c>
      <c r="W74" s="234" t="s">
        <v>1581</v>
      </c>
      <c r="X74" s="234" t="s">
        <v>1534</v>
      </c>
      <c r="Y74" s="234" t="s">
        <v>1535</v>
      </c>
      <c r="Z74" s="234" t="s">
        <v>2004</v>
      </c>
      <c r="AA74" s="234" t="n">
        <v>42500</v>
      </c>
      <c r="AB74" s="234" t="n">
        <v>45900</v>
      </c>
      <c r="AC74" s="234" t="n">
        <v>0</v>
      </c>
      <c r="AD74" s="234" t="n">
        <v>0</v>
      </c>
      <c r="AE74" s="234" t="s">
        <v>1399</v>
      </c>
      <c r="AF74" s="234"/>
      <c r="AG74" s="233" t="n">
        <v>45779</v>
      </c>
      <c r="AH74" s="234" t="s">
        <v>1537</v>
      </c>
      <c r="AI74" s="234" t="s">
        <v>1870</v>
      </c>
      <c r="AJ74" s="234" t="s">
        <v>1539</v>
      </c>
      <c r="AK74" s="234"/>
      <c r="AL74" s="234"/>
      <c r="AM74" s="234"/>
      <c r="AN74" s="234"/>
      <c r="AO74" s="234"/>
      <c r="AP74" s="234"/>
      <c r="AQ74" s="234"/>
      <c r="AR74" s="234"/>
      <c r="AS74" s="234"/>
      <c r="AT74" s="234" t="s">
        <v>89</v>
      </c>
      <c r="AU74" s="234" t="s">
        <v>1540</v>
      </c>
      <c r="AV74" s="234" t="n">
        <v>0</v>
      </c>
      <c r="AW74" s="234"/>
      <c r="AX74" s="234"/>
      <c r="AY74" s="234"/>
      <c r="AZ74" s="234"/>
      <c r="BA74" s="234"/>
      <c r="BB74" s="234"/>
      <c r="BC74" s="234"/>
      <c r="BD74" s="234" t="s">
        <v>1541</v>
      </c>
      <c r="BE74" s="235" t="s">
        <v>2005</v>
      </c>
      <c r="BF74" s="234" t="n">
        <v>1</v>
      </c>
      <c r="BG74" s="234" t="s">
        <v>1530</v>
      </c>
      <c r="BH74" s="234" t="s">
        <v>1530</v>
      </c>
      <c r="BI74" s="234" t="n">
        <v>42500</v>
      </c>
      <c r="BJ74" s="234" t="s">
        <v>1543</v>
      </c>
      <c r="BK74" s="234" t="n">
        <v>42500</v>
      </c>
      <c r="BL74" s="234" t="s">
        <v>1544</v>
      </c>
      <c r="BM74" s="234"/>
      <c r="BN74" s="234"/>
      <c r="BO74" s="234"/>
      <c r="BP74" s="234"/>
      <c r="BQ74" s="234"/>
      <c r="BR74" s="234" t="s">
        <v>2006</v>
      </c>
      <c r="BS74" s="234" t="s">
        <v>2007</v>
      </c>
      <c r="BT74" s="234" t="s">
        <v>2008</v>
      </c>
      <c r="BU74" s="234" t="s">
        <v>1554</v>
      </c>
      <c r="BV74" s="234" t="s">
        <v>1549</v>
      </c>
      <c r="BW74" s="234" t="s">
        <v>2009</v>
      </c>
      <c r="BX74" s="234"/>
      <c r="BY74" s="234"/>
      <c r="BZ74" s="234"/>
      <c r="CA74" s="234" t="s">
        <v>2006</v>
      </c>
      <c r="CB74" s="234" t="s">
        <v>2007</v>
      </c>
      <c r="CC74" s="234" t="s">
        <v>2008</v>
      </c>
      <c r="CD74" s="234" t="s">
        <v>1554</v>
      </c>
      <c r="CE74" s="234" t="s">
        <v>1549</v>
      </c>
      <c r="CF74" s="234" t="s">
        <v>2009</v>
      </c>
      <c r="CG74" s="234"/>
      <c r="CH74" s="234"/>
      <c r="CI74" s="234" t="s">
        <v>0</v>
      </c>
      <c r="CJ74" s="234" t="s">
        <v>1551</v>
      </c>
      <c r="CK74" s="234" t="s">
        <v>1552</v>
      </c>
      <c r="CL74" s="234" t="s">
        <v>1553</v>
      </c>
      <c r="CM74" s="234" t="s">
        <v>1554</v>
      </c>
      <c r="CN74" s="234" t="s">
        <v>1549</v>
      </c>
      <c r="CO74" s="234" t="s">
        <v>1555</v>
      </c>
      <c r="CP74" s="234" t="s">
        <v>1556</v>
      </c>
      <c r="CQ74" s="234" t="s">
        <v>1557</v>
      </c>
      <c r="CR74" s="234" t="s">
        <v>1635</v>
      </c>
      <c r="CS74" s="234" t="s">
        <v>1635</v>
      </c>
      <c r="CT74" s="234" t="s">
        <v>1530</v>
      </c>
      <c r="CU74" s="234" t="s">
        <v>1530</v>
      </c>
      <c r="CV74" s="234" t="s">
        <v>2010</v>
      </c>
      <c r="CW74" s="234" t="s">
        <v>2010</v>
      </c>
      <c r="CX74" s="234" t="s">
        <v>1530</v>
      </c>
      <c r="CY74" s="234" t="s">
        <v>1530</v>
      </c>
      <c r="CZ74" s="234" t="s">
        <v>2010</v>
      </c>
      <c r="DA74" s="234" t="s">
        <v>2010</v>
      </c>
      <c r="DB74" s="234" t="s">
        <v>1530</v>
      </c>
      <c r="DC74" s="234" t="s">
        <v>1530</v>
      </c>
      <c r="DD74" s="234"/>
      <c r="DE74" s="234"/>
      <c r="DF74" s="234"/>
      <c r="DG74" s="234"/>
      <c r="DH74" s="234"/>
      <c r="DI74" s="234"/>
      <c r="DJ74" s="234"/>
      <c r="DK74" s="234"/>
      <c r="DL74" s="234" t="s">
        <v>2011</v>
      </c>
      <c r="DM74" s="234"/>
      <c r="DN74" s="234"/>
      <c r="DO74" s="234"/>
      <c r="DP74" s="234" t="s">
        <v>1560</v>
      </c>
      <c r="DQ74" s="234" t="n">
        <v>0</v>
      </c>
      <c r="DR74" s="234"/>
      <c r="DS74" s="234"/>
      <c r="DT74" s="234"/>
      <c r="DU74" s="234"/>
      <c r="DV74" s="234"/>
      <c r="DW74" s="234"/>
      <c r="DX74" s="234" t="s">
        <v>1561</v>
      </c>
      <c r="DY74" s="234"/>
      <c r="DZ74" s="234"/>
      <c r="EA74" s="234"/>
      <c r="EB74" s="234"/>
      <c r="EC74" s="234"/>
      <c r="ED74" s="234"/>
      <c r="EE74" s="234"/>
      <c r="EF74" s="234"/>
      <c r="EG74" s="234"/>
      <c r="EH74" s="234" t="s">
        <v>1562</v>
      </c>
      <c r="EI74" s="234"/>
      <c r="EJ74" s="234"/>
      <c r="EK74" s="234" t="s">
        <v>1563</v>
      </c>
      <c r="EL74" s="234"/>
      <c r="EM74" s="234" t="s">
        <v>1564</v>
      </c>
      <c r="EN74" s="234" t="s">
        <v>1637</v>
      </c>
      <c r="EO74" s="234" t="s">
        <v>1638</v>
      </c>
      <c r="EP74" s="234" t="s">
        <v>1558</v>
      </c>
      <c r="EQ74" s="234" t="n">
        <v>7650</v>
      </c>
      <c r="ER74" s="234" t="s">
        <v>1639</v>
      </c>
      <c r="ES74" s="234"/>
      <c r="ET74" s="234"/>
    </row>
    <row r="75" customFormat="false" ht="13.5" hidden="false" customHeight="false" outlineLevel="0" collapsed="false">
      <c r="A75" s="233" t="n">
        <v>45777</v>
      </c>
      <c r="B75" s="234" t="s">
        <v>2012</v>
      </c>
      <c r="C75" s="234" t="s">
        <v>274</v>
      </c>
      <c r="D75" s="234" t="s">
        <v>947</v>
      </c>
      <c r="E75" s="234" t="s">
        <v>2013</v>
      </c>
      <c r="F75" s="234" t="s">
        <v>273</v>
      </c>
      <c r="G75" s="234" t="s">
        <v>1570</v>
      </c>
      <c r="H75" s="234" t="s">
        <v>1571</v>
      </c>
      <c r="I75" s="234" t="s">
        <v>1595</v>
      </c>
      <c r="J75" s="234" t="s">
        <v>1525</v>
      </c>
      <c r="K75" s="233" t="n">
        <v>45777</v>
      </c>
      <c r="L75" s="234"/>
      <c r="M75" s="234" t="s">
        <v>1526</v>
      </c>
      <c r="N75" s="234" t="n">
        <v>1</v>
      </c>
      <c r="O75" s="234" t="s">
        <v>1527</v>
      </c>
      <c r="P75" s="234" t="s">
        <v>1528</v>
      </c>
      <c r="Q75" s="234" t="s">
        <v>1529</v>
      </c>
      <c r="R75" s="234" t="s">
        <v>1530</v>
      </c>
      <c r="S75" s="234"/>
      <c r="T75" s="234"/>
      <c r="U75" s="234" t="s">
        <v>1527</v>
      </c>
      <c r="V75" s="234"/>
      <c r="W75" s="234" t="s">
        <v>1530</v>
      </c>
      <c r="X75" s="234"/>
      <c r="Y75" s="234"/>
      <c r="Z75" s="234" t="s">
        <v>1572</v>
      </c>
      <c r="AA75" s="234" t="n">
        <v>15000</v>
      </c>
      <c r="AB75" s="234" t="n">
        <v>17700</v>
      </c>
      <c r="AC75" s="234" t="n">
        <v>17700</v>
      </c>
      <c r="AD75" s="234" t="n">
        <v>0</v>
      </c>
      <c r="AE75" s="234" t="s">
        <v>1399</v>
      </c>
      <c r="AF75" s="234"/>
      <c r="AG75" s="234"/>
      <c r="AH75" s="234" t="s">
        <v>1537</v>
      </c>
      <c r="AI75" s="234" t="s">
        <v>1870</v>
      </c>
      <c r="AJ75" s="234" t="s">
        <v>1539</v>
      </c>
      <c r="AK75" s="234"/>
      <c r="AL75" s="234"/>
      <c r="AM75" s="234"/>
      <c r="AN75" s="234"/>
      <c r="AO75" s="234"/>
      <c r="AP75" s="234"/>
      <c r="AQ75" s="234"/>
      <c r="AR75" s="234"/>
      <c r="AS75" s="234"/>
      <c r="AT75" s="234" t="s">
        <v>89</v>
      </c>
      <c r="AU75" s="234" t="s">
        <v>1540</v>
      </c>
      <c r="AV75" s="234" t="n">
        <v>0</v>
      </c>
      <c r="AW75" s="234"/>
      <c r="AX75" s="234"/>
      <c r="AY75" s="234"/>
      <c r="AZ75" s="234"/>
      <c r="BA75" s="234"/>
      <c r="BB75" s="234"/>
      <c r="BC75" s="234"/>
      <c r="BD75" s="234" t="s">
        <v>1541</v>
      </c>
      <c r="BE75" s="235" t="s">
        <v>2014</v>
      </c>
      <c r="BF75" s="234" t="n">
        <v>1</v>
      </c>
      <c r="BG75" s="234" t="s">
        <v>1530</v>
      </c>
      <c r="BH75" s="234" t="s">
        <v>1530</v>
      </c>
      <c r="BI75" s="234" t="n">
        <v>15000</v>
      </c>
      <c r="BJ75" s="234" t="s">
        <v>1543</v>
      </c>
      <c r="BK75" s="234" t="n">
        <v>15000</v>
      </c>
      <c r="BL75" s="234" t="s">
        <v>1544</v>
      </c>
      <c r="BM75" s="234"/>
      <c r="BN75" s="234"/>
      <c r="BO75" s="234"/>
      <c r="BP75" s="234"/>
      <c r="BQ75" s="234"/>
      <c r="BR75" s="234" t="s">
        <v>2015</v>
      </c>
      <c r="BS75" s="235" t="s">
        <v>2016</v>
      </c>
      <c r="BT75" s="234" t="s">
        <v>1586</v>
      </c>
      <c r="BU75" s="234" t="s">
        <v>1587</v>
      </c>
      <c r="BV75" s="234" t="s">
        <v>1549</v>
      </c>
      <c r="BW75" s="234" t="s">
        <v>1805</v>
      </c>
      <c r="BX75" s="234"/>
      <c r="BY75" s="234"/>
      <c r="BZ75" s="234"/>
      <c r="CA75" s="234" t="s">
        <v>2015</v>
      </c>
      <c r="CB75" s="235" t="s">
        <v>2016</v>
      </c>
      <c r="CC75" s="234" t="s">
        <v>1586</v>
      </c>
      <c r="CD75" s="234" t="s">
        <v>1587</v>
      </c>
      <c r="CE75" s="234" t="s">
        <v>1549</v>
      </c>
      <c r="CF75" s="234" t="s">
        <v>1805</v>
      </c>
      <c r="CG75" s="234"/>
      <c r="CH75" s="234"/>
      <c r="CI75" s="234" t="s">
        <v>0</v>
      </c>
      <c r="CJ75" s="234" t="s">
        <v>1551</v>
      </c>
      <c r="CK75" s="234" t="s">
        <v>1552</v>
      </c>
      <c r="CL75" s="234" t="s">
        <v>1553</v>
      </c>
      <c r="CM75" s="234" t="s">
        <v>1554</v>
      </c>
      <c r="CN75" s="234" t="s">
        <v>1549</v>
      </c>
      <c r="CO75" s="234" t="s">
        <v>1555</v>
      </c>
      <c r="CP75" s="234" t="s">
        <v>1556</v>
      </c>
      <c r="CQ75" s="234" t="s">
        <v>1557</v>
      </c>
      <c r="CR75" s="234" t="s">
        <v>1530</v>
      </c>
      <c r="CS75" s="234" t="s">
        <v>1530</v>
      </c>
      <c r="CT75" s="234" t="s">
        <v>1558</v>
      </c>
      <c r="CU75" s="234" t="s">
        <v>1530</v>
      </c>
      <c r="CV75" s="234" t="s">
        <v>1530</v>
      </c>
      <c r="CW75" s="234" t="s">
        <v>1530</v>
      </c>
      <c r="CX75" s="234" t="s">
        <v>1740</v>
      </c>
      <c r="CY75" s="234" t="s">
        <v>1530</v>
      </c>
      <c r="CZ75" s="234" t="s">
        <v>1530</v>
      </c>
      <c r="DA75" s="234" t="s">
        <v>1530</v>
      </c>
      <c r="DB75" s="234" t="s">
        <v>1740</v>
      </c>
      <c r="DC75" s="234" t="s">
        <v>1530</v>
      </c>
      <c r="DD75" s="234"/>
      <c r="DE75" s="234"/>
      <c r="DF75" s="234"/>
      <c r="DG75" s="234"/>
      <c r="DH75" s="234"/>
      <c r="DI75" s="234" t="s">
        <v>1572</v>
      </c>
      <c r="DJ75" s="234"/>
      <c r="DK75" s="234"/>
      <c r="DL75" s="234" t="s">
        <v>2017</v>
      </c>
      <c r="DM75" s="234"/>
      <c r="DN75" s="234"/>
      <c r="DO75" s="234"/>
      <c r="DP75" s="234" t="s">
        <v>1560</v>
      </c>
      <c r="DQ75" s="234" t="n">
        <v>0</v>
      </c>
      <c r="DR75" s="234"/>
      <c r="DS75" s="234"/>
      <c r="DT75" s="234"/>
      <c r="DU75" s="234"/>
      <c r="DV75" s="234"/>
      <c r="DW75" s="234"/>
      <c r="DX75" s="234" t="s">
        <v>1561</v>
      </c>
      <c r="DY75" s="234"/>
      <c r="DZ75" s="234"/>
      <c r="EA75" s="234"/>
      <c r="EB75" s="234"/>
      <c r="EC75" s="234"/>
      <c r="ED75" s="234"/>
      <c r="EE75" s="234"/>
      <c r="EF75" s="234"/>
      <c r="EG75" s="234"/>
      <c r="EH75" s="234" t="s">
        <v>1562</v>
      </c>
      <c r="EI75" s="234"/>
      <c r="EJ75" s="234"/>
      <c r="EK75" s="234" t="s">
        <v>1563</v>
      </c>
      <c r="EL75" s="234"/>
      <c r="EM75" s="234" t="s">
        <v>1564</v>
      </c>
      <c r="EN75" s="234" t="s">
        <v>1565</v>
      </c>
      <c r="EO75" s="234" t="s">
        <v>1566</v>
      </c>
      <c r="EP75" s="234" t="s">
        <v>1558</v>
      </c>
      <c r="EQ75" s="234" t="n">
        <v>2700</v>
      </c>
      <c r="ER75" s="234" t="s">
        <v>1567</v>
      </c>
      <c r="ES75" s="234"/>
      <c r="ET75" s="234"/>
    </row>
    <row r="76" customFormat="false" ht="13.5" hidden="false" customHeight="false" outlineLevel="0" collapsed="false">
      <c r="A76" s="233" t="n">
        <v>45777</v>
      </c>
      <c r="B76" s="234" t="s">
        <v>2018</v>
      </c>
      <c r="C76" s="234" t="s">
        <v>276</v>
      </c>
      <c r="D76" s="234" t="s">
        <v>947</v>
      </c>
      <c r="E76" s="234" t="s">
        <v>2019</v>
      </c>
      <c r="F76" s="234" t="s">
        <v>275</v>
      </c>
      <c r="G76" s="234" t="s">
        <v>1522</v>
      </c>
      <c r="H76" s="234" t="s">
        <v>1523</v>
      </c>
      <c r="I76" s="234" t="s">
        <v>1595</v>
      </c>
      <c r="J76" s="234" t="s">
        <v>1525</v>
      </c>
      <c r="K76" s="233" t="n">
        <v>45777</v>
      </c>
      <c r="L76" s="234"/>
      <c r="M76" s="234" t="s">
        <v>1526</v>
      </c>
      <c r="N76" s="234" t="n">
        <v>1</v>
      </c>
      <c r="O76" s="234" t="s">
        <v>1527</v>
      </c>
      <c r="P76" s="234" t="s">
        <v>1528</v>
      </c>
      <c r="Q76" s="234" t="s">
        <v>1529</v>
      </c>
      <c r="R76" s="234" t="s">
        <v>1530</v>
      </c>
      <c r="S76" s="234"/>
      <c r="T76" s="234"/>
      <c r="U76" s="234" t="s">
        <v>1527</v>
      </c>
      <c r="V76" s="234"/>
      <c r="W76" s="234" t="s">
        <v>1530</v>
      </c>
      <c r="X76" s="234"/>
      <c r="Y76" s="234"/>
      <c r="Z76" s="234" t="s">
        <v>1572</v>
      </c>
      <c r="AA76" s="234" t="n">
        <v>16000</v>
      </c>
      <c r="AB76" s="234" t="n">
        <v>18880</v>
      </c>
      <c r="AC76" s="234" t="n">
        <v>18880</v>
      </c>
      <c r="AD76" s="234" t="n">
        <v>0</v>
      </c>
      <c r="AE76" s="234" t="s">
        <v>1399</v>
      </c>
      <c r="AF76" s="234"/>
      <c r="AG76" s="234"/>
      <c r="AH76" s="234" t="s">
        <v>1537</v>
      </c>
      <c r="AI76" s="234" t="s">
        <v>1870</v>
      </c>
      <c r="AJ76" s="234" t="s">
        <v>1539</v>
      </c>
      <c r="AK76" s="234"/>
      <c r="AL76" s="234"/>
      <c r="AM76" s="234"/>
      <c r="AN76" s="234"/>
      <c r="AO76" s="234"/>
      <c r="AP76" s="234"/>
      <c r="AQ76" s="234"/>
      <c r="AR76" s="234"/>
      <c r="AS76" s="234"/>
      <c r="AT76" s="234" t="s">
        <v>89</v>
      </c>
      <c r="AU76" s="234" t="s">
        <v>1540</v>
      </c>
      <c r="AV76" s="234" t="n">
        <v>0</v>
      </c>
      <c r="AW76" s="234"/>
      <c r="AX76" s="234"/>
      <c r="AY76" s="234"/>
      <c r="AZ76" s="234"/>
      <c r="BA76" s="234"/>
      <c r="BB76" s="234"/>
      <c r="BC76" s="234"/>
      <c r="BD76" s="234" t="s">
        <v>1541</v>
      </c>
      <c r="BE76" s="235" t="s">
        <v>2020</v>
      </c>
      <c r="BF76" s="234" t="n">
        <v>1</v>
      </c>
      <c r="BG76" s="234" t="s">
        <v>1530</v>
      </c>
      <c r="BH76" s="234" t="s">
        <v>1530</v>
      </c>
      <c r="BI76" s="234" t="n">
        <v>16000</v>
      </c>
      <c r="BJ76" s="234" t="s">
        <v>1543</v>
      </c>
      <c r="BK76" s="234" t="n">
        <v>16000</v>
      </c>
      <c r="BL76" s="234" t="s">
        <v>1544</v>
      </c>
      <c r="BM76" s="234"/>
      <c r="BN76" s="234"/>
      <c r="BO76" s="234"/>
      <c r="BP76" s="234"/>
      <c r="BQ76" s="234"/>
      <c r="BR76" s="234" t="s">
        <v>2021</v>
      </c>
      <c r="BS76" s="234" t="s">
        <v>2022</v>
      </c>
      <c r="BT76" s="234" t="s">
        <v>1547</v>
      </c>
      <c r="BU76" s="234" t="s">
        <v>1548</v>
      </c>
      <c r="BV76" s="234" t="s">
        <v>1549</v>
      </c>
      <c r="BW76" s="234" t="s">
        <v>2023</v>
      </c>
      <c r="BX76" s="234"/>
      <c r="BY76" s="234"/>
      <c r="BZ76" s="234"/>
      <c r="CA76" s="234" t="s">
        <v>2021</v>
      </c>
      <c r="CB76" s="234" t="s">
        <v>2022</v>
      </c>
      <c r="CC76" s="234" t="s">
        <v>1547</v>
      </c>
      <c r="CD76" s="234" t="s">
        <v>1548</v>
      </c>
      <c r="CE76" s="234" t="s">
        <v>1549</v>
      </c>
      <c r="CF76" s="234" t="s">
        <v>2023</v>
      </c>
      <c r="CG76" s="234"/>
      <c r="CH76" s="234"/>
      <c r="CI76" s="234" t="s">
        <v>0</v>
      </c>
      <c r="CJ76" s="234" t="s">
        <v>1551</v>
      </c>
      <c r="CK76" s="234" t="s">
        <v>1552</v>
      </c>
      <c r="CL76" s="234" t="s">
        <v>1553</v>
      </c>
      <c r="CM76" s="234" t="s">
        <v>1554</v>
      </c>
      <c r="CN76" s="234" t="s">
        <v>1549</v>
      </c>
      <c r="CO76" s="234" t="s">
        <v>1555</v>
      </c>
      <c r="CP76" s="234" t="s">
        <v>1556</v>
      </c>
      <c r="CQ76" s="234" t="s">
        <v>1557</v>
      </c>
      <c r="CR76" s="234" t="s">
        <v>1530</v>
      </c>
      <c r="CS76" s="234" t="s">
        <v>1530</v>
      </c>
      <c r="CT76" s="234" t="s">
        <v>1558</v>
      </c>
      <c r="CU76" s="234" t="s">
        <v>1530</v>
      </c>
      <c r="CV76" s="234" t="s">
        <v>1530</v>
      </c>
      <c r="CW76" s="234" t="s">
        <v>1530</v>
      </c>
      <c r="CX76" s="234" t="s">
        <v>2024</v>
      </c>
      <c r="CY76" s="234" t="s">
        <v>1530</v>
      </c>
      <c r="CZ76" s="234" t="s">
        <v>1530</v>
      </c>
      <c r="DA76" s="234" t="s">
        <v>1530</v>
      </c>
      <c r="DB76" s="234" t="s">
        <v>2024</v>
      </c>
      <c r="DC76" s="234" t="s">
        <v>1530</v>
      </c>
      <c r="DD76" s="234"/>
      <c r="DE76" s="234"/>
      <c r="DF76" s="234"/>
      <c r="DG76" s="234"/>
      <c r="DH76" s="234"/>
      <c r="DI76" s="234" t="s">
        <v>1572</v>
      </c>
      <c r="DJ76" s="234"/>
      <c r="DK76" s="234"/>
      <c r="DL76" s="234" t="s">
        <v>2025</v>
      </c>
      <c r="DM76" s="234"/>
      <c r="DN76" s="234"/>
      <c r="DO76" s="234"/>
      <c r="DP76" s="234" t="s">
        <v>1560</v>
      </c>
      <c r="DQ76" s="234" t="n">
        <v>0</v>
      </c>
      <c r="DR76" s="234"/>
      <c r="DS76" s="234"/>
      <c r="DT76" s="234"/>
      <c r="DU76" s="234"/>
      <c r="DV76" s="234"/>
      <c r="DW76" s="234"/>
      <c r="DX76" s="234" t="s">
        <v>1561</v>
      </c>
      <c r="DY76" s="234"/>
      <c r="DZ76" s="234"/>
      <c r="EA76" s="234"/>
      <c r="EB76" s="234"/>
      <c r="EC76" s="234"/>
      <c r="ED76" s="234"/>
      <c r="EE76" s="234"/>
      <c r="EF76" s="234"/>
      <c r="EG76" s="234"/>
      <c r="EH76" s="234" t="s">
        <v>1562</v>
      </c>
      <c r="EI76" s="234"/>
      <c r="EJ76" s="234"/>
      <c r="EK76" s="234" t="s">
        <v>1563</v>
      </c>
      <c r="EL76" s="234"/>
      <c r="EM76" s="234" t="s">
        <v>1564</v>
      </c>
      <c r="EN76" s="234" t="s">
        <v>1565</v>
      </c>
      <c r="EO76" s="234" t="s">
        <v>1566</v>
      </c>
      <c r="EP76" s="234" t="s">
        <v>1558</v>
      </c>
      <c r="EQ76" s="234" t="n">
        <v>2880</v>
      </c>
      <c r="ER76" s="234" t="s">
        <v>1567</v>
      </c>
      <c r="ES76" s="234"/>
      <c r="ET76" s="234"/>
    </row>
    <row r="77" customFormat="false" ht="13.5" hidden="false" customHeight="false" outlineLevel="0" collapsed="false">
      <c r="A77" s="233" t="n">
        <v>45777</v>
      </c>
      <c r="B77" s="234" t="s">
        <v>2026</v>
      </c>
      <c r="C77" s="234" t="s">
        <v>1014</v>
      </c>
      <c r="D77" s="234" t="s">
        <v>897</v>
      </c>
      <c r="E77" s="234" t="s">
        <v>2027</v>
      </c>
      <c r="F77" s="234" t="s">
        <v>278</v>
      </c>
      <c r="G77" s="234" t="s">
        <v>1522</v>
      </c>
      <c r="H77" s="234" t="s">
        <v>1523</v>
      </c>
      <c r="I77" s="234" t="s">
        <v>1524</v>
      </c>
      <c r="J77" s="234" t="s">
        <v>1525</v>
      </c>
      <c r="K77" s="233" t="n">
        <v>45777</v>
      </c>
      <c r="L77" s="234"/>
      <c r="M77" s="234" t="s">
        <v>1526</v>
      </c>
      <c r="N77" s="234" t="n">
        <v>1</v>
      </c>
      <c r="O77" s="234" t="s">
        <v>1527</v>
      </c>
      <c r="P77" s="234" t="s">
        <v>1528</v>
      </c>
      <c r="Q77" s="234" t="s">
        <v>1529</v>
      </c>
      <c r="R77" s="234" t="s">
        <v>1530</v>
      </c>
      <c r="S77" s="234"/>
      <c r="T77" s="234"/>
      <c r="U77" s="234" t="s">
        <v>1527</v>
      </c>
      <c r="V77" s="234"/>
      <c r="W77" s="234" t="s">
        <v>1530</v>
      </c>
      <c r="X77" s="234"/>
      <c r="Y77" s="234"/>
      <c r="Z77" s="234" t="s">
        <v>1572</v>
      </c>
      <c r="AA77" s="234" t="n">
        <v>3388.98</v>
      </c>
      <c r="AB77" s="234" t="n">
        <v>3999</v>
      </c>
      <c r="AC77" s="234" t="n">
        <v>0</v>
      </c>
      <c r="AD77" s="234" t="n">
        <v>0</v>
      </c>
      <c r="AE77" s="234" t="s">
        <v>1399</v>
      </c>
      <c r="AF77" s="234"/>
      <c r="AG77" s="233" t="n">
        <v>45777</v>
      </c>
      <c r="AH77" s="234" t="s">
        <v>1537</v>
      </c>
      <c r="AI77" s="234" t="s">
        <v>1870</v>
      </c>
      <c r="AJ77" s="234" t="s">
        <v>1539</v>
      </c>
      <c r="AK77" s="234"/>
      <c r="AL77" s="234"/>
      <c r="AM77" s="234"/>
      <c r="AN77" s="234"/>
      <c r="AO77" s="234"/>
      <c r="AP77" s="234"/>
      <c r="AQ77" s="234"/>
      <c r="AR77" s="234"/>
      <c r="AS77" s="234"/>
      <c r="AT77" s="234" t="s">
        <v>89</v>
      </c>
      <c r="AU77" s="234" t="s">
        <v>1540</v>
      </c>
      <c r="AV77" s="234" t="n">
        <v>0</v>
      </c>
      <c r="AW77" s="234"/>
      <c r="AX77" s="234"/>
      <c r="AY77" s="234"/>
      <c r="AZ77" s="234"/>
      <c r="BA77" s="234"/>
      <c r="BB77" s="234"/>
      <c r="BC77" s="234"/>
      <c r="BD77" s="234" t="s">
        <v>1541</v>
      </c>
      <c r="BE77" s="235" t="s">
        <v>2028</v>
      </c>
      <c r="BF77" s="234" t="n">
        <v>1</v>
      </c>
      <c r="BG77" s="234" t="s">
        <v>1530</v>
      </c>
      <c r="BH77" s="234" t="s">
        <v>1530</v>
      </c>
      <c r="BI77" s="234" t="n">
        <v>3388.98</v>
      </c>
      <c r="BJ77" s="234" t="s">
        <v>1543</v>
      </c>
      <c r="BK77" s="234" t="n">
        <v>3388.98</v>
      </c>
      <c r="BL77" s="234" t="s">
        <v>1544</v>
      </c>
      <c r="BM77" s="234"/>
      <c r="BN77" s="234"/>
      <c r="BO77" s="234"/>
      <c r="BP77" s="234"/>
      <c r="BQ77" s="234"/>
      <c r="BR77" s="234"/>
      <c r="BS77" s="234"/>
      <c r="BT77" s="234"/>
      <c r="BU77" s="234"/>
      <c r="BV77" s="234"/>
      <c r="BW77" s="234"/>
      <c r="BX77" s="234"/>
      <c r="BY77" s="234"/>
      <c r="BZ77" s="234"/>
      <c r="CA77" s="234"/>
      <c r="CB77" s="234"/>
      <c r="CC77" s="234"/>
      <c r="CD77" s="234"/>
      <c r="CE77" s="234"/>
      <c r="CF77" s="234"/>
      <c r="CG77" s="234"/>
      <c r="CH77" s="234"/>
      <c r="CI77" s="234" t="s">
        <v>0</v>
      </c>
      <c r="CJ77" s="234" t="s">
        <v>1551</v>
      </c>
      <c r="CK77" s="234" t="s">
        <v>1552</v>
      </c>
      <c r="CL77" s="234" t="s">
        <v>1553</v>
      </c>
      <c r="CM77" s="234" t="s">
        <v>1554</v>
      </c>
      <c r="CN77" s="234" t="s">
        <v>1549</v>
      </c>
      <c r="CO77" s="234" t="s">
        <v>1555</v>
      </c>
      <c r="CP77" s="234" t="s">
        <v>1556</v>
      </c>
      <c r="CQ77" s="234" t="s">
        <v>1557</v>
      </c>
      <c r="CR77" s="234" t="s">
        <v>1530</v>
      </c>
      <c r="CS77" s="234" t="s">
        <v>1530</v>
      </c>
      <c r="CT77" s="234" t="s">
        <v>1558</v>
      </c>
      <c r="CU77" s="234" t="s">
        <v>1530</v>
      </c>
      <c r="CV77" s="234" t="s">
        <v>1530</v>
      </c>
      <c r="CW77" s="234" t="s">
        <v>1530</v>
      </c>
      <c r="CX77" s="234" t="s">
        <v>2029</v>
      </c>
      <c r="CY77" s="234" t="s">
        <v>1530</v>
      </c>
      <c r="CZ77" s="234" t="s">
        <v>1530</v>
      </c>
      <c r="DA77" s="234" t="s">
        <v>1530</v>
      </c>
      <c r="DB77" s="234" t="s">
        <v>2029</v>
      </c>
      <c r="DC77" s="234" t="s">
        <v>1530</v>
      </c>
      <c r="DD77" s="234"/>
      <c r="DE77" s="234"/>
      <c r="DF77" s="234"/>
      <c r="DG77" s="234"/>
      <c r="DH77" s="234"/>
      <c r="DI77" s="234" t="s">
        <v>1572</v>
      </c>
      <c r="DJ77" s="234"/>
      <c r="DK77" s="234"/>
      <c r="DL77" s="234"/>
      <c r="DM77" s="234"/>
      <c r="DN77" s="234"/>
      <c r="DO77" s="234"/>
      <c r="DP77" s="234" t="s">
        <v>1560</v>
      </c>
      <c r="DQ77" s="234" t="n">
        <v>0</v>
      </c>
      <c r="DR77" s="234"/>
      <c r="DS77" s="234"/>
      <c r="DT77" s="234"/>
      <c r="DU77" s="234"/>
      <c r="DV77" s="234"/>
      <c r="DW77" s="234"/>
      <c r="DX77" s="234" t="s">
        <v>1561</v>
      </c>
      <c r="DY77" s="234"/>
      <c r="DZ77" s="234"/>
      <c r="EA77" s="234"/>
      <c r="EB77" s="234"/>
      <c r="EC77" s="234"/>
      <c r="ED77" s="234"/>
      <c r="EE77" s="234"/>
      <c r="EF77" s="234"/>
      <c r="EG77" s="234"/>
      <c r="EH77" s="234" t="s">
        <v>1562</v>
      </c>
      <c r="EI77" s="234"/>
      <c r="EJ77" s="234"/>
      <c r="EK77" s="234" t="s">
        <v>1563</v>
      </c>
      <c r="EL77" s="234"/>
      <c r="EM77" s="234" t="s">
        <v>1564</v>
      </c>
      <c r="EN77" s="234" t="s">
        <v>1565</v>
      </c>
      <c r="EO77" s="234" t="s">
        <v>1566</v>
      </c>
      <c r="EP77" s="234" t="s">
        <v>1558</v>
      </c>
      <c r="EQ77" s="234" t="n">
        <v>610.02</v>
      </c>
      <c r="ER77" s="234" t="s">
        <v>1567</v>
      </c>
      <c r="ES77" s="234"/>
      <c r="ET77" s="234"/>
    </row>
    <row r="78" customFormat="false" ht="13.5" hidden="false" customHeight="false" outlineLevel="0" collapsed="false">
      <c r="A78" s="233" t="n">
        <v>45777</v>
      </c>
      <c r="B78" s="234" t="s">
        <v>2030</v>
      </c>
      <c r="C78" s="234" t="s">
        <v>1015</v>
      </c>
      <c r="D78" s="234" t="s">
        <v>897</v>
      </c>
      <c r="E78" s="234" t="s">
        <v>2031</v>
      </c>
      <c r="F78" s="234" t="s">
        <v>281</v>
      </c>
      <c r="G78" s="234" t="s">
        <v>1632</v>
      </c>
      <c r="H78" s="234" t="s">
        <v>1633</v>
      </c>
      <c r="I78" s="234" t="s">
        <v>1524</v>
      </c>
      <c r="J78" s="234" t="s">
        <v>1525</v>
      </c>
      <c r="K78" s="233" t="n">
        <v>45777</v>
      </c>
      <c r="L78" s="234"/>
      <c r="M78" s="234" t="s">
        <v>1526</v>
      </c>
      <c r="N78" s="234" t="n">
        <v>1</v>
      </c>
      <c r="O78" s="234" t="s">
        <v>1527</v>
      </c>
      <c r="P78" s="234" t="s">
        <v>1528</v>
      </c>
      <c r="Q78" s="234" t="s">
        <v>1529</v>
      </c>
      <c r="R78" s="234" t="s">
        <v>1530</v>
      </c>
      <c r="S78" s="234"/>
      <c r="T78" s="234"/>
      <c r="U78" s="234" t="s">
        <v>1527</v>
      </c>
      <c r="V78" s="234"/>
      <c r="W78" s="234" t="s">
        <v>1530</v>
      </c>
      <c r="X78" s="234"/>
      <c r="Y78" s="234"/>
      <c r="Z78" s="234" t="s">
        <v>1572</v>
      </c>
      <c r="AA78" s="234" t="n">
        <v>4237.29</v>
      </c>
      <c r="AB78" s="234" t="n">
        <v>5000</v>
      </c>
      <c r="AC78" s="234" t="n">
        <v>0</v>
      </c>
      <c r="AD78" s="234" t="n">
        <v>-0.01</v>
      </c>
      <c r="AE78" s="234" t="s">
        <v>1399</v>
      </c>
      <c r="AF78" s="234"/>
      <c r="AG78" s="233" t="n">
        <v>45777</v>
      </c>
      <c r="AH78" s="234" t="s">
        <v>1537</v>
      </c>
      <c r="AI78" s="234" t="s">
        <v>1870</v>
      </c>
      <c r="AJ78" s="234" t="s">
        <v>1539</v>
      </c>
      <c r="AK78" s="234"/>
      <c r="AL78" s="234"/>
      <c r="AM78" s="234"/>
      <c r="AN78" s="234"/>
      <c r="AO78" s="234"/>
      <c r="AP78" s="234"/>
      <c r="AQ78" s="234"/>
      <c r="AR78" s="234"/>
      <c r="AS78" s="234"/>
      <c r="AT78" s="234" t="s">
        <v>89</v>
      </c>
      <c r="AU78" s="234" t="s">
        <v>1540</v>
      </c>
      <c r="AV78" s="234" t="n">
        <v>0</v>
      </c>
      <c r="AW78" s="234"/>
      <c r="AX78" s="234"/>
      <c r="AY78" s="234"/>
      <c r="AZ78" s="234"/>
      <c r="BA78" s="234"/>
      <c r="BB78" s="234"/>
      <c r="BC78" s="234"/>
      <c r="BD78" s="234" t="s">
        <v>1541</v>
      </c>
      <c r="BE78" s="234" t="s">
        <v>2032</v>
      </c>
      <c r="BF78" s="234" t="n">
        <v>1</v>
      </c>
      <c r="BG78" s="234" t="s">
        <v>1530</v>
      </c>
      <c r="BH78" s="234" t="s">
        <v>1530</v>
      </c>
      <c r="BI78" s="234" t="n">
        <v>4237.29</v>
      </c>
      <c r="BJ78" s="234" t="s">
        <v>1543</v>
      </c>
      <c r="BK78" s="234" t="n">
        <v>4237.29</v>
      </c>
      <c r="BL78" s="234" t="s">
        <v>1544</v>
      </c>
      <c r="BM78" s="234"/>
      <c r="BN78" s="234"/>
      <c r="BO78" s="234"/>
      <c r="BP78" s="234"/>
      <c r="BQ78" s="234"/>
      <c r="BR78" s="234"/>
      <c r="BS78" s="234"/>
      <c r="BT78" s="234"/>
      <c r="BU78" s="234"/>
      <c r="BV78" s="234"/>
      <c r="BW78" s="234"/>
      <c r="BX78" s="234"/>
      <c r="BY78" s="234"/>
      <c r="BZ78" s="234"/>
      <c r="CA78" s="234"/>
      <c r="CB78" s="234"/>
      <c r="CC78" s="234"/>
      <c r="CD78" s="234"/>
      <c r="CE78" s="234"/>
      <c r="CF78" s="234"/>
      <c r="CG78" s="234"/>
      <c r="CH78" s="234"/>
      <c r="CI78" s="234" t="s">
        <v>0</v>
      </c>
      <c r="CJ78" s="234" t="s">
        <v>1551</v>
      </c>
      <c r="CK78" s="234" t="s">
        <v>1552</v>
      </c>
      <c r="CL78" s="234" t="s">
        <v>1553</v>
      </c>
      <c r="CM78" s="234" t="s">
        <v>1554</v>
      </c>
      <c r="CN78" s="234" t="s">
        <v>1549</v>
      </c>
      <c r="CO78" s="234" t="s">
        <v>1555</v>
      </c>
      <c r="CP78" s="234" t="s">
        <v>1556</v>
      </c>
      <c r="CQ78" s="234" t="s">
        <v>1557</v>
      </c>
      <c r="CR78" s="234" t="s">
        <v>1635</v>
      </c>
      <c r="CS78" s="234" t="s">
        <v>1635</v>
      </c>
      <c r="CT78" s="234" t="s">
        <v>1530</v>
      </c>
      <c r="CU78" s="234" t="s">
        <v>1530</v>
      </c>
      <c r="CV78" s="234" t="s">
        <v>2033</v>
      </c>
      <c r="CW78" s="234" t="s">
        <v>2033</v>
      </c>
      <c r="CX78" s="234" t="s">
        <v>1530</v>
      </c>
      <c r="CY78" s="234" t="s">
        <v>1530</v>
      </c>
      <c r="CZ78" s="234" t="s">
        <v>2033</v>
      </c>
      <c r="DA78" s="234" t="s">
        <v>2033</v>
      </c>
      <c r="DB78" s="234" t="s">
        <v>1530</v>
      </c>
      <c r="DC78" s="234" t="s">
        <v>1530</v>
      </c>
      <c r="DD78" s="234"/>
      <c r="DE78" s="234"/>
      <c r="DF78" s="234"/>
      <c r="DG78" s="234"/>
      <c r="DH78" s="234"/>
      <c r="DI78" s="234" t="s">
        <v>1572</v>
      </c>
      <c r="DJ78" s="234"/>
      <c r="DK78" s="234"/>
      <c r="DL78" s="234"/>
      <c r="DM78" s="234"/>
      <c r="DN78" s="234"/>
      <c r="DO78" s="234"/>
      <c r="DP78" s="234" t="s">
        <v>1560</v>
      </c>
      <c r="DQ78" s="234" t="n">
        <v>0</v>
      </c>
      <c r="DR78" s="234"/>
      <c r="DS78" s="234"/>
      <c r="DT78" s="234"/>
      <c r="DU78" s="234"/>
      <c r="DV78" s="234"/>
      <c r="DW78" s="234"/>
      <c r="DX78" s="234" t="s">
        <v>1561</v>
      </c>
      <c r="DY78" s="234"/>
      <c r="DZ78" s="234"/>
      <c r="EA78" s="234"/>
      <c r="EB78" s="234"/>
      <c r="EC78" s="234"/>
      <c r="ED78" s="234"/>
      <c r="EE78" s="234"/>
      <c r="EF78" s="234"/>
      <c r="EG78" s="234"/>
      <c r="EH78" s="234" t="s">
        <v>1562</v>
      </c>
      <c r="EI78" s="234"/>
      <c r="EJ78" s="234"/>
      <c r="EK78" s="234" t="s">
        <v>1563</v>
      </c>
      <c r="EL78" s="234"/>
      <c r="EM78" s="234" t="s">
        <v>1564</v>
      </c>
      <c r="EN78" s="234" t="s">
        <v>1637</v>
      </c>
      <c r="EO78" s="234" t="s">
        <v>1638</v>
      </c>
      <c r="EP78" s="234" t="s">
        <v>1558</v>
      </c>
      <c r="EQ78" s="234" t="n">
        <v>762.72</v>
      </c>
      <c r="ER78" s="234" t="s">
        <v>1639</v>
      </c>
      <c r="ES78" s="234"/>
      <c r="ET78" s="234"/>
    </row>
    <row r="79" customFormat="false" ht="13.5" hidden="false" customHeight="false" outlineLevel="0" collapsed="false">
      <c r="A79" s="233" t="n">
        <v>45777</v>
      </c>
      <c r="B79" s="234" t="s">
        <v>2034</v>
      </c>
      <c r="C79" s="234" t="s">
        <v>1016</v>
      </c>
      <c r="D79" s="234" t="s">
        <v>897</v>
      </c>
      <c r="E79" s="234" t="s">
        <v>2035</v>
      </c>
      <c r="F79" s="234" t="s">
        <v>284</v>
      </c>
      <c r="G79" s="234" t="s">
        <v>1522</v>
      </c>
      <c r="H79" s="234" t="s">
        <v>1523</v>
      </c>
      <c r="I79" s="234" t="s">
        <v>1524</v>
      </c>
      <c r="J79" s="234" t="s">
        <v>1525</v>
      </c>
      <c r="K79" s="233" t="n">
        <v>45777</v>
      </c>
      <c r="L79" s="234"/>
      <c r="M79" s="234" t="s">
        <v>1526</v>
      </c>
      <c r="N79" s="234" t="n">
        <v>1</v>
      </c>
      <c r="O79" s="234" t="s">
        <v>1527</v>
      </c>
      <c r="P79" s="234" t="s">
        <v>1528</v>
      </c>
      <c r="Q79" s="234" t="s">
        <v>1529</v>
      </c>
      <c r="R79" s="234" t="s">
        <v>1530</v>
      </c>
      <c r="S79" s="234"/>
      <c r="T79" s="234"/>
      <c r="U79" s="234" t="s">
        <v>1527</v>
      </c>
      <c r="V79" s="234"/>
      <c r="W79" s="234" t="s">
        <v>1530</v>
      </c>
      <c r="X79" s="234"/>
      <c r="Y79" s="234"/>
      <c r="Z79" s="234" t="s">
        <v>1572</v>
      </c>
      <c r="AA79" s="234" t="n">
        <v>6779.66</v>
      </c>
      <c r="AB79" s="234" t="n">
        <v>8000</v>
      </c>
      <c r="AC79" s="234" t="n">
        <v>0</v>
      </c>
      <c r="AD79" s="234" t="n">
        <v>0</v>
      </c>
      <c r="AE79" s="234" t="s">
        <v>1399</v>
      </c>
      <c r="AF79" s="234"/>
      <c r="AG79" s="233" t="n">
        <v>45777</v>
      </c>
      <c r="AH79" s="234" t="s">
        <v>1537</v>
      </c>
      <c r="AI79" s="234" t="s">
        <v>1870</v>
      </c>
      <c r="AJ79" s="234" t="s">
        <v>1539</v>
      </c>
      <c r="AK79" s="234"/>
      <c r="AL79" s="234"/>
      <c r="AM79" s="234"/>
      <c r="AN79" s="234"/>
      <c r="AO79" s="234"/>
      <c r="AP79" s="234"/>
      <c r="AQ79" s="234"/>
      <c r="AR79" s="234"/>
      <c r="AS79" s="234"/>
      <c r="AT79" s="234" t="s">
        <v>89</v>
      </c>
      <c r="AU79" s="234" t="s">
        <v>1540</v>
      </c>
      <c r="AV79" s="234" t="n">
        <v>0</v>
      </c>
      <c r="AW79" s="234"/>
      <c r="AX79" s="234"/>
      <c r="AY79" s="234"/>
      <c r="AZ79" s="234"/>
      <c r="BA79" s="234"/>
      <c r="BB79" s="234"/>
      <c r="BC79" s="234"/>
      <c r="BD79" s="234" t="s">
        <v>1541</v>
      </c>
      <c r="BE79" s="234" t="s">
        <v>2036</v>
      </c>
      <c r="BF79" s="234" t="n">
        <v>1</v>
      </c>
      <c r="BG79" s="234" t="s">
        <v>1530</v>
      </c>
      <c r="BH79" s="234" t="s">
        <v>1530</v>
      </c>
      <c r="BI79" s="234" t="n">
        <v>6779.66</v>
      </c>
      <c r="BJ79" s="234" t="s">
        <v>1543</v>
      </c>
      <c r="BK79" s="234" t="n">
        <v>6779.66</v>
      </c>
      <c r="BL79" s="234" t="s">
        <v>1544</v>
      </c>
      <c r="BM79" s="234"/>
      <c r="BN79" s="234"/>
      <c r="BO79" s="234"/>
      <c r="BP79" s="234"/>
      <c r="BQ79" s="234"/>
      <c r="BR79" s="234"/>
      <c r="BS79" s="234"/>
      <c r="BT79" s="234"/>
      <c r="BU79" s="234"/>
      <c r="BV79" s="234"/>
      <c r="BW79" s="234"/>
      <c r="BX79" s="234"/>
      <c r="BY79" s="234"/>
      <c r="BZ79" s="234"/>
      <c r="CA79" s="234"/>
      <c r="CB79" s="234"/>
      <c r="CC79" s="234"/>
      <c r="CD79" s="234"/>
      <c r="CE79" s="234"/>
      <c r="CF79" s="234"/>
      <c r="CG79" s="234"/>
      <c r="CH79" s="234"/>
      <c r="CI79" s="234" t="s">
        <v>0</v>
      </c>
      <c r="CJ79" s="234" t="s">
        <v>1551</v>
      </c>
      <c r="CK79" s="234" t="s">
        <v>1552</v>
      </c>
      <c r="CL79" s="234" t="s">
        <v>1553</v>
      </c>
      <c r="CM79" s="234" t="s">
        <v>1554</v>
      </c>
      <c r="CN79" s="234" t="s">
        <v>1549</v>
      </c>
      <c r="CO79" s="234" t="s">
        <v>1555</v>
      </c>
      <c r="CP79" s="234" t="s">
        <v>1556</v>
      </c>
      <c r="CQ79" s="234" t="s">
        <v>1557</v>
      </c>
      <c r="CR79" s="234" t="s">
        <v>1530</v>
      </c>
      <c r="CS79" s="234" t="s">
        <v>1530</v>
      </c>
      <c r="CT79" s="234" t="s">
        <v>1558</v>
      </c>
      <c r="CU79" s="234" t="s">
        <v>1530</v>
      </c>
      <c r="CV79" s="234" t="s">
        <v>1530</v>
      </c>
      <c r="CW79" s="234" t="s">
        <v>1530</v>
      </c>
      <c r="CX79" s="234" t="s">
        <v>2037</v>
      </c>
      <c r="CY79" s="234" t="s">
        <v>1530</v>
      </c>
      <c r="CZ79" s="234" t="s">
        <v>1530</v>
      </c>
      <c r="DA79" s="234" t="s">
        <v>1530</v>
      </c>
      <c r="DB79" s="234" t="s">
        <v>2037</v>
      </c>
      <c r="DC79" s="234" t="s">
        <v>1530</v>
      </c>
      <c r="DD79" s="234"/>
      <c r="DE79" s="234"/>
      <c r="DF79" s="234"/>
      <c r="DG79" s="234"/>
      <c r="DH79" s="234"/>
      <c r="DI79" s="234" t="s">
        <v>1572</v>
      </c>
      <c r="DJ79" s="234"/>
      <c r="DK79" s="234"/>
      <c r="DL79" s="234"/>
      <c r="DM79" s="234"/>
      <c r="DN79" s="234"/>
      <c r="DO79" s="234"/>
      <c r="DP79" s="234" t="s">
        <v>1560</v>
      </c>
      <c r="DQ79" s="234" t="n">
        <v>0</v>
      </c>
      <c r="DR79" s="234"/>
      <c r="DS79" s="234"/>
      <c r="DT79" s="234"/>
      <c r="DU79" s="234"/>
      <c r="DV79" s="234"/>
      <c r="DW79" s="234"/>
      <c r="DX79" s="234" t="s">
        <v>1561</v>
      </c>
      <c r="DY79" s="234"/>
      <c r="DZ79" s="234"/>
      <c r="EA79" s="234"/>
      <c r="EB79" s="234"/>
      <c r="EC79" s="234"/>
      <c r="ED79" s="234"/>
      <c r="EE79" s="234"/>
      <c r="EF79" s="234"/>
      <c r="EG79" s="234"/>
      <c r="EH79" s="234" t="s">
        <v>1562</v>
      </c>
      <c r="EI79" s="234"/>
      <c r="EJ79" s="234"/>
      <c r="EK79" s="234" t="s">
        <v>1563</v>
      </c>
      <c r="EL79" s="234"/>
      <c r="EM79" s="234" t="s">
        <v>1564</v>
      </c>
      <c r="EN79" s="234" t="s">
        <v>1565</v>
      </c>
      <c r="EO79" s="234" t="s">
        <v>1566</v>
      </c>
      <c r="EP79" s="234" t="s">
        <v>1558</v>
      </c>
      <c r="EQ79" s="234" t="n">
        <v>1220.34</v>
      </c>
      <c r="ER79" s="234" t="s">
        <v>1567</v>
      </c>
      <c r="ES79" s="234"/>
      <c r="ET79" s="234"/>
    </row>
    <row r="80" customFormat="false" ht="13.5" hidden="false" customHeight="false" outlineLevel="0" collapsed="false">
      <c r="A80" s="233" t="n">
        <v>45777</v>
      </c>
      <c r="B80" s="234" t="s">
        <v>2038</v>
      </c>
      <c r="C80" s="236" t="s">
        <v>1017</v>
      </c>
      <c r="D80" s="234" t="s">
        <v>897</v>
      </c>
      <c r="E80" s="234" t="s">
        <v>1631</v>
      </c>
      <c r="F80" s="234" t="s">
        <v>898</v>
      </c>
      <c r="G80" s="234" t="s">
        <v>1632</v>
      </c>
      <c r="H80" s="234" t="s">
        <v>1633</v>
      </c>
      <c r="I80" s="234" t="s">
        <v>1524</v>
      </c>
      <c r="J80" s="234" t="s">
        <v>1525</v>
      </c>
      <c r="K80" s="233" t="n">
        <v>45777</v>
      </c>
      <c r="L80" s="234"/>
      <c r="M80" s="234" t="s">
        <v>1526</v>
      </c>
      <c r="N80" s="234" t="n">
        <v>1</v>
      </c>
      <c r="O80" s="234" t="s">
        <v>1527</v>
      </c>
      <c r="P80" s="234" t="s">
        <v>1528</v>
      </c>
      <c r="Q80" s="234" t="s">
        <v>1529</v>
      </c>
      <c r="R80" s="234" t="s">
        <v>1530</v>
      </c>
      <c r="S80" s="234"/>
      <c r="T80" s="234"/>
      <c r="U80" s="234" t="s">
        <v>1527</v>
      </c>
      <c r="V80" s="234"/>
      <c r="W80" s="234" t="s">
        <v>1530</v>
      </c>
      <c r="X80" s="234"/>
      <c r="Y80" s="234"/>
      <c r="Z80" s="234" t="s">
        <v>1572</v>
      </c>
      <c r="AA80" s="234" t="n">
        <v>5497.46</v>
      </c>
      <c r="AB80" s="236" t="n">
        <v>6487</v>
      </c>
      <c r="AC80" s="234" t="n">
        <v>0</v>
      </c>
      <c r="AD80" s="234" t="n">
        <v>0</v>
      </c>
      <c r="AE80" s="234" t="s">
        <v>1399</v>
      </c>
      <c r="AF80" s="234"/>
      <c r="AG80" s="233" t="n">
        <v>45777</v>
      </c>
      <c r="AH80" s="234" t="s">
        <v>1537</v>
      </c>
      <c r="AI80" s="234" t="s">
        <v>1870</v>
      </c>
      <c r="AJ80" s="234" t="s">
        <v>1539</v>
      </c>
      <c r="AK80" s="234"/>
      <c r="AL80" s="234"/>
      <c r="AM80" s="234"/>
      <c r="AN80" s="234"/>
      <c r="AO80" s="234"/>
      <c r="AP80" s="234"/>
      <c r="AQ80" s="234"/>
      <c r="AR80" s="234"/>
      <c r="AS80" s="234"/>
      <c r="AT80" s="234" t="s">
        <v>89</v>
      </c>
      <c r="AU80" s="234" t="s">
        <v>1540</v>
      </c>
      <c r="AV80" s="234" t="n">
        <v>0</v>
      </c>
      <c r="AW80" s="234"/>
      <c r="AX80" s="234"/>
      <c r="AY80" s="234"/>
      <c r="AZ80" s="234"/>
      <c r="BA80" s="234"/>
      <c r="BB80" s="234"/>
      <c r="BC80" s="234"/>
      <c r="BD80" s="234" t="s">
        <v>1541</v>
      </c>
      <c r="BE80" s="234" t="s">
        <v>2039</v>
      </c>
      <c r="BF80" s="234" t="n">
        <v>1</v>
      </c>
      <c r="BG80" s="234" t="s">
        <v>1530</v>
      </c>
      <c r="BH80" s="234" t="s">
        <v>1530</v>
      </c>
      <c r="BI80" s="234" t="n">
        <v>5497.46</v>
      </c>
      <c r="BJ80" s="234" t="s">
        <v>1543</v>
      </c>
      <c r="BK80" s="234" t="n">
        <v>5497.46</v>
      </c>
      <c r="BL80" s="234" t="s">
        <v>1544</v>
      </c>
      <c r="BM80" s="234"/>
      <c r="BN80" s="234"/>
      <c r="BO80" s="234"/>
      <c r="BP80" s="234"/>
      <c r="BQ80" s="234"/>
      <c r="BR80" s="234"/>
      <c r="BS80" s="234"/>
      <c r="BT80" s="234"/>
      <c r="BU80" s="234"/>
      <c r="BV80" s="234"/>
      <c r="BW80" s="234"/>
      <c r="BX80" s="234"/>
      <c r="BY80" s="234"/>
      <c r="BZ80" s="234"/>
      <c r="CA80" s="234"/>
      <c r="CB80" s="234"/>
      <c r="CC80" s="234"/>
      <c r="CD80" s="234"/>
      <c r="CE80" s="234"/>
      <c r="CF80" s="234"/>
      <c r="CG80" s="234"/>
      <c r="CH80" s="234"/>
      <c r="CI80" s="234" t="s">
        <v>0</v>
      </c>
      <c r="CJ80" s="234" t="s">
        <v>1551</v>
      </c>
      <c r="CK80" s="234" t="s">
        <v>1552</v>
      </c>
      <c r="CL80" s="234" t="s">
        <v>1553</v>
      </c>
      <c r="CM80" s="234" t="s">
        <v>1554</v>
      </c>
      <c r="CN80" s="234" t="s">
        <v>1549</v>
      </c>
      <c r="CO80" s="234" t="s">
        <v>1555</v>
      </c>
      <c r="CP80" s="234" t="s">
        <v>1556</v>
      </c>
      <c r="CQ80" s="234" t="s">
        <v>1557</v>
      </c>
      <c r="CR80" s="234" t="s">
        <v>1635</v>
      </c>
      <c r="CS80" s="234" t="s">
        <v>1635</v>
      </c>
      <c r="CT80" s="234" t="s">
        <v>1530</v>
      </c>
      <c r="CU80" s="234" t="s">
        <v>1530</v>
      </c>
      <c r="CV80" s="234" t="s">
        <v>2040</v>
      </c>
      <c r="CW80" s="234" t="s">
        <v>2040</v>
      </c>
      <c r="CX80" s="234" t="s">
        <v>1530</v>
      </c>
      <c r="CY80" s="234" t="s">
        <v>1530</v>
      </c>
      <c r="CZ80" s="234" t="s">
        <v>2040</v>
      </c>
      <c r="DA80" s="234" t="s">
        <v>2040</v>
      </c>
      <c r="DB80" s="234" t="s">
        <v>1530</v>
      </c>
      <c r="DC80" s="234" t="s">
        <v>1530</v>
      </c>
      <c r="DD80" s="234"/>
      <c r="DE80" s="234"/>
      <c r="DF80" s="234"/>
      <c r="DG80" s="234"/>
      <c r="DH80" s="234"/>
      <c r="DI80" s="234" t="s">
        <v>1572</v>
      </c>
      <c r="DJ80" s="234"/>
      <c r="DK80" s="234"/>
      <c r="DL80" s="234"/>
      <c r="DM80" s="234"/>
      <c r="DN80" s="234"/>
      <c r="DO80" s="234"/>
      <c r="DP80" s="234" t="s">
        <v>1560</v>
      </c>
      <c r="DQ80" s="234" t="n">
        <v>0</v>
      </c>
      <c r="DR80" s="234"/>
      <c r="DS80" s="234"/>
      <c r="DT80" s="234"/>
      <c r="DU80" s="234"/>
      <c r="DV80" s="234"/>
      <c r="DW80" s="234"/>
      <c r="DX80" s="234" t="s">
        <v>1561</v>
      </c>
      <c r="DY80" s="234"/>
      <c r="DZ80" s="234"/>
      <c r="EA80" s="234"/>
      <c r="EB80" s="234"/>
      <c r="EC80" s="234"/>
      <c r="ED80" s="234"/>
      <c r="EE80" s="234"/>
      <c r="EF80" s="234"/>
      <c r="EG80" s="234"/>
      <c r="EH80" s="234" t="s">
        <v>1562</v>
      </c>
      <c r="EI80" s="234"/>
      <c r="EJ80" s="234"/>
      <c r="EK80" s="234" t="s">
        <v>1563</v>
      </c>
      <c r="EL80" s="234"/>
      <c r="EM80" s="234" t="s">
        <v>1564</v>
      </c>
      <c r="EN80" s="234" t="s">
        <v>1637</v>
      </c>
      <c r="EO80" s="234" t="s">
        <v>1638</v>
      </c>
      <c r="EP80" s="234" t="s">
        <v>1558</v>
      </c>
      <c r="EQ80" s="234" t="n">
        <v>989.54</v>
      </c>
      <c r="ER80" s="234" t="s">
        <v>1639</v>
      </c>
      <c r="ES80" s="234"/>
      <c r="ET80" s="234"/>
    </row>
    <row r="81" customFormat="false" ht="13.5" hidden="false" customHeight="false" outlineLevel="0" collapsed="false">
      <c r="A81" s="233" t="n">
        <v>45777</v>
      </c>
      <c r="B81" s="234" t="s">
        <v>2041</v>
      </c>
      <c r="C81" s="236" t="s">
        <v>1018</v>
      </c>
      <c r="D81" s="234" t="s">
        <v>897</v>
      </c>
      <c r="E81" s="234" t="s">
        <v>1631</v>
      </c>
      <c r="F81" s="234" t="s">
        <v>898</v>
      </c>
      <c r="G81" s="234" t="s">
        <v>1632</v>
      </c>
      <c r="H81" s="234" t="s">
        <v>1633</v>
      </c>
      <c r="I81" s="234" t="s">
        <v>1524</v>
      </c>
      <c r="J81" s="234" t="s">
        <v>1525</v>
      </c>
      <c r="K81" s="233" t="n">
        <v>45777</v>
      </c>
      <c r="L81" s="234"/>
      <c r="M81" s="234" t="s">
        <v>1526</v>
      </c>
      <c r="N81" s="234" t="n">
        <v>1</v>
      </c>
      <c r="O81" s="234" t="s">
        <v>1527</v>
      </c>
      <c r="P81" s="234" t="s">
        <v>1528</v>
      </c>
      <c r="Q81" s="234" t="s">
        <v>1529</v>
      </c>
      <c r="R81" s="234" t="s">
        <v>1530</v>
      </c>
      <c r="S81" s="234"/>
      <c r="T81" s="234"/>
      <c r="U81" s="234" t="s">
        <v>1527</v>
      </c>
      <c r="V81" s="234"/>
      <c r="W81" s="234" t="s">
        <v>1530</v>
      </c>
      <c r="X81" s="234"/>
      <c r="Y81" s="234"/>
      <c r="Z81" s="234" t="s">
        <v>1572</v>
      </c>
      <c r="AA81" s="234" t="n">
        <v>5000</v>
      </c>
      <c r="AB81" s="237" t="n">
        <v>5900</v>
      </c>
      <c r="AC81" s="234" t="n">
        <v>0</v>
      </c>
      <c r="AD81" s="234" t="n">
        <v>0</v>
      </c>
      <c r="AE81" s="234" t="s">
        <v>1399</v>
      </c>
      <c r="AF81" s="234"/>
      <c r="AG81" s="233" t="n">
        <v>45777</v>
      </c>
      <c r="AH81" s="234" t="s">
        <v>1537</v>
      </c>
      <c r="AI81" s="234" t="s">
        <v>1870</v>
      </c>
      <c r="AJ81" s="234" t="s">
        <v>1539</v>
      </c>
      <c r="AK81" s="234"/>
      <c r="AL81" s="234"/>
      <c r="AM81" s="234"/>
      <c r="AN81" s="234"/>
      <c r="AO81" s="234"/>
      <c r="AP81" s="234"/>
      <c r="AQ81" s="234"/>
      <c r="AR81" s="234"/>
      <c r="AS81" s="234"/>
      <c r="AT81" s="234" t="s">
        <v>89</v>
      </c>
      <c r="AU81" s="234" t="s">
        <v>1540</v>
      </c>
      <c r="AV81" s="234" t="n">
        <v>0</v>
      </c>
      <c r="AW81" s="234"/>
      <c r="AX81" s="234"/>
      <c r="AY81" s="234"/>
      <c r="AZ81" s="234"/>
      <c r="BA81" s="234"/>
      <c r="BB81" s="234"/>
      <c r="BC81" s="234"/>
      <c r="BD81" s="234" t="s">
        <v>1541</v>
      </c>
      <c r="BE81" s="234" t="s">
        <v>2042</v>
      </c>
      <c r="BF81" s="234" t="n">
        <v>1</v>
      </c>
      <c r="BG81" s="234" t="s">
        <v>1530</v>
      </c>
      <c r="BH81" s="234" t="s">
        <v>1530</v>
      </c>
      <c r="BI81" s="234" t="n">
        <v>5000</v>
      </c>
      <c r="BJ81" s="234" t="s">
        <v>1543</v>
      </c>
      <c r="BK81" s="234" t="n">
        <v>5000</v>
      </c>
      <c r="BL81" s="234" t="s">
        <v>1544</v>
      </c>
      <c r="BM81" s="234"/>
      <c r="BN81" s="234"/>
      <c r="BO81" s="234"/>
      <c r="BP81" s="234"/>
      <c r="BQ81" s="234"/>
      <c r="BR81" s="234"/>
      <c r="BS81" s="234"/>
      <c r="BT81" s="234"/>
      <c r="BU81" s="234"/>
      <c r="BV81" s="234"/>
      <c r="BW81" s="234"/>
      <c r="BX81" s="234"/>
      <c r="BY81" s="234"/>
      <c r="BZ81" s="234"/>
      <c r="CA81" s="234"/>
      <c r="CB81" s="234"/>
      <c r="CC81" s="234"/>
      <c r="CD81" s="234"/>
      <c r="CE81" s="234"/>
      <c r="CF81" s="234"/>
      <c r="CG81" s="234"/>
      <c r="CH81" s="234"/>
      <c r="CI81" s="234" t="s">
        <v>0</v>
      </c>
      <c r="CJ81" s="234" t="s">
        <v>1551</v>
      </c>
      <c r="CK81" s="234" t="s">
        <v>1552</v>
      </c>
      <c r="CL81" s="234" t="s">
        <v>1553</v>
      </c>
      <c r="CM81" s="234" t="s">
        <v>1554</v>
      </c>
      <c r="CN81" s="234" t="s">
        <v>1549</v>
      </c>
      <c r="CO81" s="234" t="s">
        <v>1555</v>
      </c>
      <c r="CP81" s="234" t="s">
        <v>1556</v>
      </c>
      <c r="CQ81" s="234" t="s">
        <v>1557</v>
      </c>
      <c r="CR81" s="234" t="s">
        <v>1635</v>
      </c>
      <c r="CS81" s="234" t="s">
        <v>1635</v>
      </c>
      <c r="CT81" s="234" t="s">
        <v>1530</v>
      </c>
      <c r="CU81" s="234" t="s">
        <v>1530</v>
      </c>
      <c r="CV81" s="234" t="s">
        <v>1644</v>
      </c>
      <c r="CW81" s="234" t="s">
        <v>1644</v>
      </c>
      <c r="CX81" s="234" t="s">
        <v>1530</v>
      </c>
      <c r="CY81" s="234" t="s">
        <v>1530</v>
      </c>
      <c r="CZ81" s="234" t="s">
        <v>1644</v>
      </c>
      <c r="DA81" s="234" t="s">
        <v>1644</v>
      </c>
      <c r="DB81" s="234" t="s">
        <v>1530</v>
      </c>
      <c r="DC81" s="234" t="s">
        <v>1530</v>
      </c>
      <c r="DD81" s="234"/>
      <c r="DE81" s="234"/>
      <c r="DF81" s="234"/>
      <c r="DG81" s="234"/>
      <c r="DH81" s="234"/>
      <c r="DI81" s="234" t="s">
        <v>1572</v>
      </c>
      <c r="DJ81" s="234"/>
      <c r="DK81" s="234"/>
      <c r="DL81" s="234"/>
      <c r="DM81" s="234"/>
      <c r="DN81" s="234"/>
      <c r="DO81" s="234"/>
      <c r="DP81" s="234" t="s">
        <v>1560</v>
      </c>
      <c r="DQ81" s="234" t="n">
        <v>0</v>
      </c>
      <c r="DR81" s="234"/>
      <c r="DS81" s="234"/>
      <c r="DT81" s="234"/>
      <c r="DU81" s="234"/>
      <c r="DV81" s="234"/>
      <c r="DW81" s="234"/>
      <c r="DX81" s="234" t="s">
        <v>1561</v>
      </c>
      <c r="DY81" s="234"/>
      <c r="DZ81" s="234"/>
      <c r="EA81" s="234"/>
      <c r="EB81" s="234"/>
      <c r="EC81" s="234"/>
      <c r="ED81" s="234"/>
      <c r="EE81" s="234"/>
      <c r="EF81" s="234"/>
      <c r="EG81" s="234"/>
      <c r="EH81" s="234" t="s">
        <v>1562</v>
      </c>
      <c r="EI81" s="234"/>
      <c r="EJ81" s="234"/>
      <c r="EK81" s="234" t="s">
        <v>1563</v>
      </c>
      <c r="EL81" s="234"/>
      <c r="EM81" s="234" t="s">
        <v>1564</v>
      </c>
      <c r="EN81" s="234" t="s">
        <v>1637</v>
      </c>
      <c r="EO81" s="234" t="s">
        <v>1638</v>
      </c>
      <c r="EP81" s="234" t="s">
        <v>1558</v>
      </c>
      <c r="EQ81" s="234" t="n">
        <v>900</v>
      </c>
      <c r="ER81" s="234" t="s">
        <v>1639</v>
      </c>
      <c r="ES81" s="234"/>
      <c r="ET81" s="234"/>
    </row>
    <row r="82" customFormat="false" ht="13.5" hidden="false" customHeight="false" outlineLevel="0" collapsed="false">
      <c r="A82" s="233" t="n">
        <v>45777</v>
      </c>
      <c r="B82" s="234" t="s">
        <v>2043</v>
      </c>
      <c r="C82" s="234" t="s">
        <v>2044</v>
      </c>
      <c r="D82" s="234" t="s">
        <v>2045</v>
      </c>
      <c r="E82" s="234" t="s">
        <v>1631</v>
      </c>
      <c r="F82" s="234" t="s">
        <v>898</v>
      </c>
      <c r="G82" s="234" t="s">
        <v>1632</v>
      </c>
      <c r="H82" s="234" t="s">
        <v>1633</v>
      </c>
      <c r="I82" s="234" t="s">
        <v>1524</v>
      </c>
      <c r="J82" s="234" t="s">
        <v>1525</v>
      </c>
      <c r="K82" s="233" t="n">
        <v>45777</v>
      </c>
      <c r="L82" s="234"/>
      <c r="M82" s="234" t="s">
        <v>1526</v>
      </c>
      <c r="N82" s="234" t="n">
        <v>1</v>
      </c>
      <c r="O82" s="234" t="s">
        <v>1527</v>
      </c>
      <c r="P82" s="234" t="s">
        <v>1528</v>
      </c>
      <c r="Q82" s="234" t="s">
        <v>1529</v>
      </c>
      <c r="R82" s="234" t="s">
        <v>1530</v>
      </c>
      <c r="S82" s="234"/>
      <c r="T82" s="234"/>
      <c r="U82" s="234" t="s">
        <v>1527</v>
      </c>
      <c r="V82" s="234"/>
      <c r="W82" s="234" t="s">
        <v>1530</v>
      </c>
      <c r="X82" s="234"/>
      <c r="Y82" s="234"/>
      <c r="Z82" s="234" t="s">
        <v>1572</v>
      </c>
      <c r="AA82" s="234" t="n">
        <v>1</v>
      </c>
      <c r="AB82" s="234" t="n">
        <v>1.18</v>
      </c>
      <c r="AC82" s="234" t="n">
        <v>1.18</v>
      </c>
      <c r="AD82" s="234" t="n">
        <v>0</v>
      </c>
      <c r="AE82" s="234" t="s">
        <v>1399</v>
      </c>
      <c r="AF82" s="234"/>
      <c r="AG82" s="234"/>
      <c r="AH82" s="234" t="s">
        <v>1537</v>
      </c>
      <c r="AI82" s="234" t="s">
        <v>1870</v>
      </c>
      <c r="AJ82" s="234" t="s">
        <v>1539</v>
      </c>
      <c r="AK82" s="234"/>
      <c r="AL82" s="234"/>
      <c r="AM82" s="234"/>
      <c r="AN82" s="234"/>
      <c r="AO82" s="234"/>
      <c r="AP82" s="234"/>
      <c r="AQ82" s="234"/>
      <c r="AR82" s="234"/>
      <c r="AS82" s="234"/>
      <c r="AT82" s="234" t="s">
        <v>89</v>
      </c>
      <c r="AU82" s="234" t="s">
        <v>1540</v>
      </c>
      <c r="AV82" s="234" t="n">
        <v>0</v>
      </c>
      <c r="AW82" s="234"/>
      <c r="AX82" s="234"/>
      <c r="AY82" s="234"/>
      <c r="AZ82" s="234"/>
      <c r="BA82" s="234"/>
      <c r="BB82" s="234"/>
      <c r="BC82" s="234"/>
      <c r="BD82" s="234" t="s">
        <v>1541</v>
      </c>
      <c r="BE82" s="234"/>
      <c r="BF82" s="234" t="n">
        <v>1</v>
      </c>
      <c r="BG82" s="234" t="s">
        <v>1530</v>
      </c>
      <c r="BH82" s="234" t="s">
        <v>1530</v>
      </c>
      <c r="BI82" s="234" t="n">
        <v>1</v>
      </c>
      <c r="BJ82" s="234" t="s">
        <v>1543</v>
      </c>
      <c r="BK82" s="234" t="n">
        <v>1</v>
      </c>
      <c r="BL82" s="234" t="s">
        <v>1544</v>
      </c>
      <c r="BM82" s="234"/>
      <c r="BN82" s="234"/>
      <c r="BO82" s="234"/>
      <c r="BP82" s="234"/>
      <c r="BQ82" s="234"/>
      <c r="BR82" s="234"/>
      <c r="BS82" s="234"/>
      <c r="BT82" s="234"/>
      <c r="BU82" s="234"/>
      <c r="BV82" s="234"/>
      <c r="BW82" s="234"/>
      <c r="BX82" s="234"/>
      <c r="BY82" s="234"/>
      <c r="BZ82" s="234"/>
      <c r="CA82" s="234"/>
      <c r="CB82" s="234"/>
      <c r="CC82" s="234"/>
      <c r="CD82" s="234"/>
      <c r="CE82" s="234"/>
      <c r="CF82" s="234"/>
      <c r="CG82" s="234"/>
      <c r="CH82" s="234"/>
      <c r="CI82" s="234" t="s">
        <v>0</v>
      </c>
      <c r="CJ82" s="234" t="s">
        <v>1551</v>
      </c>
      <c r="CK82" s="234" t="s">
        <v>1552</v>
      </c>
      <c r="CL82" s="234" t="s">
        <v>1553</v>
      </c>
      <c r="CM82" s="234" t="s">
        <v>1554</v>
      </c>
      <c r="CN82" s="234" t="s">
        <v>1549</v>
      </c>
      <c r="CO82" s="234" t="s">
        <v>1555</v>
      </c>
      <c r="CP82" s="234" t="s">
        <v>1556</v>
      </c>
      <c r="CQ82" s="234" t="s">
        <v>1557</v>
      </c>
      <c r="CR82" s="234" t="s">
        <v>1635</v>
      </c>
      <c r="CS82" s="234" t="s">
        <v>1635</v>
      </c>
      <c r="CT82" s="234" t="s">
        <v>1530</v>
      </c>
      <c r="CU82" s="234" t="s">
        <v>1530</v>
      </c>
      <c r="CV82" s="234" t="s">
        <v>2046</v>
      </c>
      <c r="CW82" s="234" t="s">
        <v>2046</v>
      </c>
      <c r="CX82" s="234" t="s">
        <v>1530</v>
      </c>
      <c r="CY82" s="234" t="s">
        <v>1530</v>
      </c>
      <c r="CZ82" s="234" t="s">
        <v>2046</v>
      </c>
      <c r="DA82" s="234" t="s">
        <v>2046</v>
      </c>
      <c r="DB82" s="234" t="s">
        <v>1530</v>
      </c>
      <c r="DC82" s="234" t="s">
        <v>1530</v>
      </c>
      <c r="DD82" s="234"/>
      <c r="DE82" s="234"/>
      <c r="DF82" s="234"/>
      <c r="DG82" s="234"/>
      <c r="DH82" s="234"/>
      <c r="DI82" s="234" t="s">
        <v>1572</v>
      </c>
      <c r="DJ82" s="234"/>
      <c r="DK82" s="234"/>
      <c r="DL82" s="234"/>
      <c r="DM82" s="234"/>
      <c r="DN82" s="234"/>
      <c r="DO82" s="234"/>
      <c r="DP82" s="234" t="s">
        <v>1560</v>
      </c>
      <c r="DQ82" s="234" t="n">
        <v>0</v>
      </c>
      <c r="DR82" s="234"/>
      <c r="DS82" s="234"/>
      <c r="DT82" s="234"/>
      <c r="DU82" s="234"/>
      <c r="DV82" s="234"/>
      <c r="DW82" s="234"/>
      <c r="DX82" s="234" t="s">
        <v>1561</v>
      </c>
      <c r="DY82" s="234"/>
      <c r="DZ82" s="234"/>
      <c r="EA82" s="234"/>
      <c r="EB82" s="234"/>
      <c r="EC82" s="234"/>
      <c r="ED82" s="234"/>
      <c r="EE82" s="234"/>
      <c r="EF82" s="234"/>
      <c r="EG82" s="234"/>
      <c r="EH82" s="234" t="s">
        <v>1562</v>
      </c>
      <c r="EI82" s="234"/>
      <c r="EJ82" s="234"/>
      <c r="EK82" s="234" t="s">
        <v>1563</v>
      </c>
      <c r="EL82" s="234"/>
      <c r="EM82" s="234" t="s">
        <v>1564</v>
      </c>
      <c r="EN82" s="234" t="s">
        <v>1637</v>
      </c>
      <c r="EO82" s="234" t="s">
        <v>1638</v>
      </c>
      <c r="EP82" s="234" t="s">
        <v>1558</v>
      </c>
      <c r="EQ82" s="234" t="n">
        <v>0.18</v>
      </c>
      <c r="ER82" s="234" t="s">
        <v>1639</v>
      </c>
      <c r="ES82" s="234"/>
      <c r="ET82" s="234"/>
    </row>
    <row r="83" customFormat="false" ht="13.5" hidden="false" customHeight="false" outlineLevel="0" collapsed="false">
      <c r="A83" s="233" t="n">
        <v>45777</v>
      </c>
      <c r="B83" s="234" t="s">
        <v>2047</v>
      </c>
      <c r="C83" s="234" t="s">
        <v>2048</v>
      </c>
      <c r="D83" s="234" t="s">
        <v>2045</v>
      </c>
      <c r="E83" s="234" t="s">
        <v>1631</v>
      </c>
      <c r="F83" s="234" t="s">
        <v>898</v>
      </c>
      <c r="G83" s="234" t="s">
        <v>1632</v>
      </c>
      <c r="H83" s="234" t="s">
        <v>1633</v>
      </c>
      <c r="I83" s="234" t="s">
        <v>1524</v>
      </c>
      <c r="J83" s="234" t="s">
        <v>1525</v>
      </c>
      <c r="K83" s="233" t="n">
        <v>45777</v>
      </c>
      <c r="L83" s="234"/>
      <c r="M83" s="234" t="s">
        <v>1526</v>
      </c>
      <c r="N83" s="234" t="n">
        <v>1</v>
      </c>
      <c r="O83" s="234" t="s">
        <v>1527</v>
      </c>
      <c r="P83" s="234" t="s">
        <v>1528</v>
      </c>
      <c r="Q83" s="234" t="s">
        <v>1529</v>
      </c>
      <c r="R83" s="234" t="s">
        <v>1530</v>
      </c>
      <c r="S83" s="234"/>
      <c r="T83" s="234"/>
      <c r="U83" s="234" t="s">
        <v>1527</v>
      </c>
      <c r="V83" s="234"/>
      <c r="W83" s="234" t="s">
        <v>1530</v>
      </c>
      <c r="X83" s="234"/>
      <c r="Y83" s="234"/>
      <c r="Z83" s="234" t="s">
        <v>1572</v>
      </c>
      <c r="AA83" s="234" t="n">
        <v>1</v>
      </c>
      <c r="AB83" s="234" t="n">
        <v>1.18</v>
      </c>
      <c r="AC83" s="234" t="n">
        <v>1.18</v>
      </c>
      <c r="AD83" s="234" t="n">
        <v>0</v>
      </c>
      <c r="AE83" s="234" t="s">
        <v>1399</v>
      </c>
      <c r="AF83" s="234"/>
      <c r="AG83" s="234"/>
      <c r="AH83" s="234" t="s">
        <v>1537</v>
      </c>
      <c r="AI83" s="234" t="s">
        <v>1870</v>
      </c>
      <c r="AJ83" s="234" t="s">
        <v>1539</v>
      </c>
      <c r="AK83" s="234"/>
      <c r="AL83" s="234"/>
      <c r="AM83" s="234"/>
      <c r="AN83" s="234"/>
      <c r="AO83" s="234"/>
      <c r="AP83" s="234"/>
      <c r="AQ83" s="234"/>
      <c r="AR83" s="234"/>
      <c r="AS83" s="234"/>
      <c r="AT83" s="234" t="s">
        <v>89</v>
      </c>
      <c r="AU83" s="234" t="s">
        <v>1540</v>
      </c>
      <c r="AV83" s="234" t="n">
        <v>0</v>
      </c>
      <c r="AW83" s="234"/>
      <c r="AX83" s="234"/>
      <c r="AY83" s="234"/>
      <c r="AZ83" s="234"/>
      <c r="BA83" s="234"/>
      <c r="BB83" s="234"/>
      <c r="BC83" s="234"/>
      <c r="BD83" s="234" t="s">
        <v>1541</v>
      </c>
      <c r="BE83" s="234"/>
      <c r="BF83" s="234" t="n">
        <v>1</v>
      </c>
      <c r="BG83" s="234" t="s">
        <v>1530</v>
      </c>
      <c r="BH83" s="234" t="s">
        <v>1530</v>
      </c>
      <c r="BI83" s="234" t="n">
        <v>1</v>
      </c>
      <c r="BJ83" s="234" t="s">
        <v>1543</v>
      </c>
      <c r="BK83" s="234" t="n">
        <v>1</v>
      </c>
      <c r="BL83" s="234" t="s">
        <v>1544</v>
      </c>
      <c r="BM83" s="234"/>
      <c r="BN83" s="234"/>
      <c r="BO83" s="234"/>
      <c r="BP83" s="234"/>
      <c r="BQ83" s="234"/>
      <c r="BR83" s="234"/>
      <c r="BS83" s="234"/>
      <c r="BT83" s="234"/>
      <c r="BU83" s="234"/>
      <c r="BV83" s="234"/>
      <c r="BW83" s="234"/>
      <c r="BX83" s="234"/>
      <c r="BY83" s="234"/>
      <c r="BZ83" s="234"/>
      <c r="CA83" s="234"/>
      <c r="CB83" s="234"/>
      <c r="CC83" s="234"/>
      <c r="CD83" s="234"/>
      <c r="CE83" s="234"/>
      <c r="CF83" s="234"/>
      <c r="CG83" s="234"/>
      <c r="CH83" s="234"/>
      <c r="CI83" s="234" t="s">
        <v>0</v>
      </c>
      <c r="CJ83" s="234" t="s">
        <v>1551</v>
      </c>
      <c r="CK83" s="234" t="s">
        <v>1552</v>
      </c>
      <c r="CL83" s="234" t="s">
        <v>1553</v>
      </c>
      <c r="CM83" s="234" t="s">
        <v>1554</v>
      </c>
      <c r="CN83" s="234" t="s">
        <v>1549</v>
      </c>
      <c r="CO83" s="234" t="s">
        <v>1555</v>
      </c>
      <c r="CP83" s="234" t="s">
        <v>1556</v>
      </c>
      <c r="CQ83" s="234" t="s">
        <v>1557</v>
      </c>
      <c r="CR83" s="234" t="s">
        <v>1635</v>
      </c>
      <c r="CS83" s="234" t="s">
        <v>1635</v>
      </c>
      <c r="CT83" s="234" t="s">
        <v>1530</v>
      </c>
      <c r="CU83" s="234" t="s">
        <v>1530</v>
      </c>
      <c r="CV83" s="234" t="s">
        <v>2046</v>
      </c>
      <c r="CW83" s="234" t="s">
        <v>2046</v>
      </c>
      <c r="CX83" s="234" t="s">
        <v>1530</v>
      </c>
      <c r="CY83" s="234" t="s">
        <v>1530</v>
      </c>
      <c r="CZ83" s="234" t="s">
        <v>2046</v>
      </c>
      <c r="DA83" s="234" t="s">
        <v>2046</v>
      </c>
      <c r="DB83" s="234" t="s">
        <v>1530</v>
      </c>
      <c r="DC83" s="234" t="s">
        <v>1530</v>
      </c>
      <c r="DD83" s="234"/>
      <c r="DE83" s="234"/>
      <c r="DF83" s="234"/>
      <c r="DG83" s="234"/>
      <c r="DH83" s="234"/>
      <c r="DI83" s="234" t="s">
        <v>1572</v>
      </c>
      <c r="DJ83" s="234"/>
      <c r="DK83" s="234"/>
      <c r="DL83" s="234"/>
      <c r="DM83" s="234"/>
      <c r="DN83" s="234"/>
      <c r="DO83" s="234"/>
      <c r="DP83" s="234" t="s">
        <v>1560</v>
      </c>
      <c r="DQ83" s="234" t="n">
        <v>0</v>
      </c>
      <c r="DR83" s="234"/>
      <c r="DS83" s="234"/>
      <c r="DT83" s="234"/>
      <c r="DU83" s="234"/>
      <c r="DV83" s="234"/>
      <c r="DW83" s="234"/>
      <c r="DX83" s="234" t="s">
        <v>1561</v>
      </c>
      <c r="DY83" s="234"/>
      <c r="DZ83" s="234"/>
      <c r="EA83" s="234"/>
      <c r="EB83" s="234"/>
      <c r="EC83" s="234"/>
      <c r="ED83" s="234"/>
      <c r="EE83" s="234"/>
      <c r="EF83" s="234"/>
      <c r="EG83" s="234"/>
      <c r="EH83" s="234" t="s">
        <v>1562</v>
      </c>
      <c r="EI83" s="234"/>
      <c r="EJ83" s="234"/>
      <c r="EK83" s="234" t="s">
        <v>1563</v>
      </c>
      <c r="EL83" s="234"/>
      <c r="EM83" s="234" t="s">
        <v>1564</v>
      </c>
      <c r="EN83" s="234" t="s">
        <v>1637</v>
      </c>
      <c r="EO83" s="234" t="s">
        <v>1638</v>
      </c>
      <c r="EP83" s="234" t="s">
        <v>1558</v>
      </c>
      <c r="EQ83" s="234" t="n">
        <v>0.18</v>
      </c>
      <c r="ER83" s="234" t="s">
        <v>1639</v>
      </c>
      <c r="ES83" s="234"/>
      <c r="ET83" s="234"/>
    </row>
    <row r="84" customFormat="false" ht="13.5" hidden="false" customHeight="false" outlineLevel="0" collapsed="false">
      <c r="A84" s="233" t="n">
        <v>45777</v>
      </c>
      <c r="B84" s="234" t="s">
        <v>2049</v>
      </c>
      <c r="C84" s="234" t="s">
        <v>2050</v>
      </c>
      <c r="D84" s="234" t="s">
        <v>2045</v>
      </c>
      <c r="E84" s="234" t="s">
        <v>1631</v>
      </c>
      <c r="F84" s="234" t="s">
        <v>898</v>
      </c>
      <c r="G84" s="234" t="s">
        <v>1632</v>
      </c>
      <c r="H84" s="234" t="s">
        <v>1633</v>
      </c>
      <c r="I84" s="234" t="s">
        <v>1524</v>
      </c>
      <c r="J84" s="234" t="s">
        <v>1525</v>
      </c>
      <c r="K84" s="233" t="n">
        <v>45777</v>
      </c>
      <c r="L84" s="234"/>
      <c r="M84" s="234" t="s">
        <v>1526</v>
      </c>
      <c r="N84" s="234" t="n">
        <v>1</v>
      </c>
      <c r="O84" s="234" t="s">
        <v>1527</v>
      </c>
      <c r="P84" s="234" t="s">
        <v>1528</v>
      </c>
      <c r="Q84" s="234" t="s">
        <v>1529</v>
      </c>
      <c r="R84" s="234" t="s">
        <v>1530</v>
      </c>
      <c r="S84" s="234"/>
      <c r="T84" s="234"/>
      <c r="U84" s="234" t="s">
        <v>1527</v>
      </c>
      <c r="V84" s="234"/>
      <c r="W84" s="234" t="s">
        <v>1530</v>
      </c>
      <c r="X84" s="234"/>
      <c r="Y84" s="234"/>
      <c r="Z84" s="234" t="s">
        <v>1572</v>
      </c>
      <c r="AA84" s="234" t="n">
        <v>1</v>
      </c>
      <c r="AB84" s="234" t="n">
        <v>1.18</v>
      </c>
      <c r="AC84" s="234" t="n">
        <v>1.18</v>
      </c>
      <c r="AD84" s="234" t="n">
        <v>0</v>
      </c>
      <c r="AE84" s="234" t="s">
        <v>1399</v>
      </c>
      <c r="AF84" s="234"/>
      <c r="AG84" s="234"/>
      <c r="AH84" s="234" t="s">
        <v>1537</v>
      </c>
      <c r="AI84" s="234" t="s">
        <v>1870</v>
      </c>
      <c r="AJ84" s="234" t="s">
        <v>1539</v>
      </c>
      <c r="AK84" s="234"/>
      <c r="AL84" s="234"/>
      <c r="AM84" s="234"/>
      <c r="AN84" s="234"/>
      <c r="AO84" s="234"/>
      <c r="AP84" s="234"/>
      <c r="AQ84" s="234"/>
      <c r="AR84" s="234"/>
      <c r="AS84" s="234"/>
      <c r="AT84" s="234" t="s">
        <v>89</v>
      </c>
      <c r="AU84" s="234" t="s">
        <v>1540</v>
      </c>
      <c r="AV84" s="234" t="n">
        <v>0</v>
      </c>
      <c r="AW84" s="234"/>
      <c r="AX84" s="234"/>
      <c r="AY84" s="234"/>
      <c r="AZ84" s="234"/>
      <c r="BA84" s="234"/>
      <c r="BB84" s="234"/>
      <c r="BC84" s="234"/>
      <c r="BD84" s="234" t="s">
        <v>1541</v>
      </c>
      <c r="BE84" s="234"/>
      <c r="BF84" s="234" t="n">
        <v>1</v>
      </c>
      <c r="BG84" s="234" t="s">
        <v>1530</v>
      </c>
      <c r="BH84" s="234" t="s">
        <v>1530</v>
      </c>
      <c r="BI84" s="234" t="n">
        <v>1</v>
      </c>
      <c r="BJ84" s="234" t="s">
        <v>1543</v>
      </c>
      <c r="BK84" s="234" t="n">
        <v>1</v>
      </c>
      <c r="BL84" s="234" t="s">
        <v>1544</v>
      </c>
      <c r="BM84" s="234"/>
      <c r="BN84" s="234"/>
      <c r="BO84" s="234"/>
      <c r="BP84" s="234"/>
      <c r="BQ84" s="234"/>
      <c r="BR84" s="234"/>
      <c r="BS84" s="234"/>
      <c r="BT84" s="234"/>
      <c r="BU84" s="234"/>
      <c r="BV84" s="234"/>
      <c r="BW84" s="234"/>
      <c r="BX84" s="234"/>
      <c r="BY84" s="234"/>
      <c r="BZ84" s="234"/>
      <c r="CA84" s="234"/>
      <c r="CB84" s="234"/>
      <c r="CC84" s="234"/>
      <c r="CD84" s="234"/>
      <c r="CE84" s="234"/>
      <c r="CF84" s="234"/>
      <c r="CG84" s="234"/>
      <c r="CH84" s="234"/>
      <c r="CI84" s="234" t="s">
        <v>0</v>
      </c>
      <c r="CJ84" s="234" t="s">
        <v>1551</v>
      </c>
      <c r="CK84" s="234" t="s">
        <v>1552</v>
      </c>
      <c r="CL84" s="234" t="s">
        <v>1553</v>
      </c>
      <c r="CM84" s="234" t="s">
        <v>1554</v>
      </c>
      <c r="CN84" s="234" t="s">
        <v>1549</v>
      </c>
      <c r="CO84" s="234" t="s">
        <v>1555</v>
      </c>
      <c r="CP84" s="234" t="s">
        <v>1556</v>
      </c>
      <c r="CQ84" s="234" t="s">
        <v>1557</v>
      </c>
      <c r="CR84" s="234" t="s">
        <v>1635</v>
      </c>
      <c r="CS84" s="234" t="s">
        <v>1635</v>
      </c>
      <c r="CT84" s="234" t="s">
        <v>1530</v>
      </c>
      <c r="CU84" s="234" t="s">
        <v>1530</v>
      </c>
      <c r="CV84" s="234" t="s">
        <v>2046</v>
      </c>
      <c r="CW84" s="234" t="s">
        <v>2046</v>
      </c>
      <c r="CX84" s="234" t="s">
        <v>1530</v>
      </c>
      <c r="CY84" s="234" t="s">
        <v>1530</v>
      </c>
      <c r="CZ84" s="234" t="s">
        <v>2046</v>
      </c>
      <c r="DA84" s="234" t="s">
        <v>2046</v>
      </c>
      <c r="DB84" s="234" t="s">
        <v>1530</v>
      </c>
      <c r="DC84" s="234" t="s">
        <v>1530</v>
      </c>
      <c r="DD84" s="234"/>
      <c r="DE84" s="234"/>
      <c r="DF84" s="234"/>
      <c r="DG84" s="234"/>
      <c r="DH84" s="234"/>
      <c r="DI84" s="234" t="s">
        <v>1572</v>
      </c>
      <c r="DJ84" s="234"/>
      <c r="DK84" s="234"/>
      <c r="DL84" s="234"/>
      <c r="DM84" s="234"/>
      <c r="DN84" s="234"/>
      <c r="DO84" s="234"/>
      <c r="DP84" s="234" t="s">
        <v>1560</v>
      </c>
      <c r="DQ84" s="234" t="n">
        <v>0</v>
      </c>
      <c r="DR84" s="234"/>
      <c r="DS84" s="234"/>
      <c r="DT84" s="234"/>
      <c r="DU84" s="234"/>
      <c r="DV84" s="234"/>
      <c r="DW84" s="234"/>
      <c r="DX84" s="234" t="s">
        <v>1561</v>
      </c>
      <c r="DY84" s="234"/>
      <c r="DZ84" s="234"/>
      <c r="EA84" s="234"/>
      <c r="EB84" s="234"/>
      <c r="EC84" s="234"/>
      <c r="ED84" s="234"/>
      <c r="EE84" s="234"/>
      <c r="EF84" s="234"/>
      <c r="EG84" s="234"/>
      <c r="EH84" s="234" t="s">
        <v>1562</v>
      </c>
      <c r="EI84" s="234"/>
      <c r="EJ84" s="234"/>
      <c r="EK84" s="234" t="s">
        <v>1563</v>
      </c>
      <c r="EL84" s="234"/>
      <c r="EM84" s="234" t="s">
        <v>1564</v>
      </c>
      <c r="EN84" s="234" t="s">
        <v>1637</v>
      </c>
      <c r="EO84" s="234" t="s">
        <v>1638</v>
      </c>
      <c r="EP84" s="234" t="s">
        <v>1558</v>
      </c>
      <c r="EQ84" s="234" t="n">
        <v>0.18</v>
      </c>
      <c r="ER84" s="234" t="s">
        <v>1639</v>
      </c>
      <c r="ES84" s="234"/>
      <c r="ET84" s="234"/>
    </row>
    <row r="85" customFormat="false" ht="13.5" hidden="false" customHeight="false" outlineLevel="0" collapsed="false">
      <c r="A85" s="233" t="n">
        <v>45777</v>
      </c>
      <c r="B85" s="234" t="s">
        <v>2051</v>
      </c>
      <c r="C85" s="234" t="s">
        <v>2052</v>
      </c>
      <c r="D85" s="234" t="s">
        <v>2045</v>
      </c>
      <c r="E85" s="234" t="s">
        <v>1631</v>
      </c>
      <c r="F85" s="234" t="s">
        <v>898</v>
      </c>
      <c r="G85" s="234" t="s">
        <v>1632</v>
      </c>
      <c r="H85" s="234" t="s">
        <v>1633</v>
      </c>
      <c r="I85" s="234" t="s">
        <v>1524</v>
      </c>
      <c r="J85" s="234" t="s">
        <v>1525</v>
      </c>
      <c r="K85" s="233" t="n">
        <v>45777</v>
      </c>
      <c r="L85" s="234"/>
      <c r="M85" s="234" t="s">
        <v>1526</v>
      </c>
      <c r="N85" s="234" t="n">
        <v>1</v>
      </c>
      <c r="O85" s="234" t="s">
        <v>1527</v>
      </c>
      <c r="P85" s="234" t="s">
        <v>1528</v>
      </c>
      <c r="Q85" s="234" t="s">
        <v>1529</v>
      </c>
      <c r="R85" s="234" t="s">
        <v>1530</v>
      </c>
      <c r="S85" s="234"/>
      <c r="T85" s="234"/>
      <c r="U85" s="234" t="s">
        <v>1527</v>
      </c>
      <c r="V85" s="234"/>
      <c r="W85" s="234" t="s">
        <v>1530</v>
      </c>
      <c r="X85" s="234"/>
      <c r="Y85" s="234"/>
      <c r="Z85" s="234" t="s">
        <v>1572</v>
      </c>
      <c r="AA85" s="234" t="n">
        <v>1</v>
      </c>
      <c r="AB85" s="234" t="n">
        <v>1.18</v>
      </c>
      <c r="AC85" s="234" t="n">
        <v>1.18</v>
      </c>
      <c r="AD85" s="234" t="n">
        <v>0</v>
      </c>
      <c r="AE85" s="234" t="s">
        <v>1399</v>
      </c>
      <c r="AF85" s="234"/>
      <c r="AG85" s="234"/>
      <c r="AH85" s="234" t="s">
        <v>1537</v>
      </c>
      <c r="AI85" s="234" t="s">
        <v>1870</v>
      </c>
      <c r="AJ85" s="234" t="s">
        <v>1539</v>
      </c>
      <c r="AK85" s="234"/>
      <c r="AL85" s="234"/>
      <c r="AM85" s="234"/>
      <c r="AN85" s="234"/>
      <c r="AO85" s="234"/>
      <c r="AP85" s="234"/>
      <c r="AQ85" s="234"/>
      <c r="AR85" s="234"/>
      <c r="AS85" s="234"/>
      <c r="AT85" s="234" t="s">
        <v>89</v>
      </c>
      <c r="AU85" s="234" t="s">
        <v>1540</v>
      </c>
      <c r="AV85" s="234" t="n">
        <v>0</v>
      </c>
      <c r="AW85" s="234"/>
      <c r="AX85" s="234"/>
      <c r="AY85" s="234"/>
      <c r="AZ85" s="234"/>
      <c r="BA85" s="234"/>
      <c r="BB85" s="234"/>
      <c r="BC85" s="234"/>
      <c r="BD85" s="234" t="s">
        <v>1541</v>
      </c>
      <c r="BE85" s="234"/>
      <c r="BF85" s="234" t="n">
        <v>1</v>
      </c>
      <c r="BG85" s="234" t="s">
        <v>1530</v>
      </c>
      <c r="BH85" s="234" t="s">
        <v>1530</v>
      </c>
      <c r="BI85" s="234" t="n">
        <v>1</v>
      </c>
      <c r="BJ85" s="234" t="s">
        <v>1543</v>
      </c>
      <c r="BK85" s="234" t="n">
        <v>1</v>
      </c>
      <c r="BL85" s="234" t="s">
        <v>1544</v>
      </c>
      <c r="BM85" s="234"/>
      <c r="BN85" s="234"/>
      <c r="BO85" s="234"/>
      <c r="BP85" s="234"/>
      <c r="BQ85" s="234"/>
      <c r="BR85" s="234"/>
      <c r="BS85" s="234"/>
      <c r="BT85" s="234"/>
      <c r="BU85" s="234"/>
      <c r="BV85" s="234"/>
      <c r="BW85" s="234"/>
      <c r="BX85" s="234"/>
      <c r="BY85" s="234"/>
      <c r="BZ85" s="234"/>
      <c r="CA85" s="234"/>
      <c r="CB85" s="234"/>
      <c r="CC85" s="234"/>
      <c r="CD85" s="234"/>
      <c r="CE85" s="234"/>
      <c r="CF85" s="234"/>
      <c r="CG85" s="234"/>
      <c r="CH85" s="234"/>
      <c r="CI85" s="234" t="s">
        <v>0</v>
      </c>
      <c r="CJ85" s="234" t="s">
        <v>1551</v>
      </c>
      <c r="CK85" s="234" t="s">
        <v>1552</v>
      </c>
      <c r="CL85" s="234" t="s">
        <v>1553</v>
      </c>
      <c r="CM85" s="234" t="s">
        <v>1554</v>
      </c>
      <c r="CN85" s="234" t="s">
        <v>1549</v>
      </c>
      <c r="CO85" s="234" t="s">
        <v>1555</v>
      </c>
      <c r="CP85" s="234" t="s">
        <v>1556</v>
      </c>
      <c r="CQ85" s="234" t="s">
        <v>1557</v>
      </c>
      <c r="CR85" s="234" t="s">
        <v>1635</v>
      </c>
      <c r="CS85" s="234" t="s">
        <v>1635</v>
      </c>
      <c r="CT85" s="234" t="s">
        <v>1530</v>
      </c>
      <c r="CU85" s="234" t="s">
        <v>1530</v>
      </c>
      <c r="CV85" s="234" t="s">
        <v>2046</v>
      </c>
      <c r="CW85" s="234" t="s">
        <v>2046</v>
      </c>
      <c r="CX85" s="234" t="s">
        <v>1530</v>
      </c>
      <c r="CY85" s="234" t="s">
        <v>1530</v>
      </c>
      <c r="CZ85" s="234" t="s">
        <v>2046</v>
      </c>
      <c r="DA85" s="234" t="s">
        <v>2046</v>
      </c>
      <c r="DB85" s="234" t="s">
        <v>1530</v>
      </c>
      <c r="DC85" s="234" t="s">
        <v>1530</v>
      </c>
      <c r="DD85" s="234"/>
      <c r="DE85" s="234"/>
      <c r="DF85" s="234"/>
      <c r="DG85" s="234"/>
      <c r="DH85" s="234"/>
      <c r="DI85" s="234" t="s">
        <v>1572</v>
      </c>
      <c r="DJ85" s="234"/>
      <c r="DK85" s="234"/>
      <c r="DL85" s="234"/>
      <c r="DM85" s="234"/>
      <c r="DN85" s="234"/>
      <c r="DO85" s="234"/>
      <c r="DP85" s="234" t="s">
        <v>1560</v>
      </c>
      <c r="DQ85" s="234" t="n">
        <v>0</v>
      </c>
      <c r="DR85" s="234"/>
      <c r="DS85" s="234"/>
      <c r="DT85" s="234"/>
      <c r="DU85" s="234"/>
      <c r="DV85" s="234"/>
      <c r="DW85" s="234"/>
      <c r="DX85" s="234" t="s">
        <v>1561</v>
      </c>
      <c r="DY85" s="234"/>
      <c r="DZ85" s="234"/>
      <c r="EA85" s="234"/>
      <c r="EB85" s="234"/>
      <c r="EC85" s="234"/>
      <c r="ED85" s="234"/>
      <c r="EE85" s="234"/>
      <c r="EF85" s="234"/>
      <c r="EG85" s="234"/>
      <c r="EH85" s="234" t="s">
        <v>1562</v>
      </c>
      <c r="EI85" s="234"/>
      <c r="EJ85" s="234"/>
      <c r="EK85" s="234" t="s">
        <v>1563</v>
      </c>
      <c r="EL85" s="234"/>
      <c r="EM85" s="234" t="s">
        <v>1564</v>
      </c>
      <c r="EN85" s="234" t="s">
        <v>1637</v>
      </c>
      <c r="EO85" s="234" t="s">
        <v>1638</v>
      </c>
      <c r="EP85" s="234" t="s">
        <v>1558</v>
      </c>
      <c r="EQ85" s="234" t="n">
        <v>0.18</v>
      </c>
      <c r="ER85" s="234" t="s">
        <v>1639</v>
      </c>
      <c r="ES85" s="234"/>
      <c r="ET85" s="234"/>
    </row>
    <row r="86" customFormat="false" ht="13.5" hidden="false" customHeight="false" outlineLevel="0" collapsed="false">
      <c r="A86" s="233" t="n">
        <v>45777</v>
      </c>
      <c r="B86" s="234" t="s">
        <v>2053</v>
      </c>
      <c r="C86" s="234" t="s">
        <v>2054</v>
      </c>
      <c r="D86" s="234" t="s">
        <v>2045</v>
      </c>
      <c r="E86" s="234" t="s">
        <v>1631</v>
      </c>
      <c r="F86" s="234" t="s">
        <v>898</v>
      </c>
      <c r="G86" s="234" t="s">
        <v>1632</v>
      </c>
      <c r="H86" s="234" t="s">
        <v>1633</v>
      </c>
      <c r="I86" s="234" t="s">
        <v>1524</v>
      </c>
      <c r="J86" s="234" t="s">
        <v>1525</v>
      </c>
      <c r="K86" s="233" t="n">
        <v>45777</v>
      </c>
      <c r="L86" s="234"/>
      <c r="M86" s="234" t="s">
        <v>1526</v>
      </c>
      <c r="N86" s="234" t="n">
        <v>1</v>
      </c>
      <c r="O86" s="234" t="s">
        <v>1527</v>
      </c>
      <c r="P86" s="234" t="s">
        <v>1528</v>
      </c>
      <c r="Q86" s="234" t="s">
        <v>1529</v>
      </c>
      <c r="R86" s="234" t="s">
        <v>1530</v>
      </c>
      <c r="S86" s="234"/>
      <c r="T86" s="234"/>
      <c r="U86" s="234" t="s">
        <v>1527</v>
      </c>
      <c r="V86" s="234"/>
      <c r="W86" s="234" t="s">
        <v>1530</v>
      </c>
      <c r="X86" s="234"/>
      <c r="Y86" s="234"/>
      <c r="Z86" s="234" t="s">
        <v>1572</v>
      </c>
      <c r="AA86" s="234" t="n">
        <v>1</v>
      </c>
      <c r="AB86" s="234" t="n">
        <v>1.18</v>
      </c>
      <c r="AC86" s="234" t="n">
        <v>1.18</v>
      </c>
      <c r="AD86" s="234" t="n">
        <v>0</v>
      </c>
      <c r="AE86" s="234" t="s">
        <v>1399</v>
      </c>
      <c r="AF86" s="234"/>
      <c r="AG86" s="234"/>
      <c r="AH86" s="234" t="s">
        <v>1537</v>
      </c>
      <c r="AI86" s="234" t="s">
        <v>1870</v>
      </c>
      <c r="AJ86" s="234" t="s">
        <v>1539</v>
      </c>
      <c r="AK86" s="234"/>
      <c r="AL86" s="234"/>
      <c r="AM86" s="234"/>
      <c r="AN86" s="234"/>
      <c r="AO86" s="234"/>
      <c r="AP86" s="234"/>
      <c r="AQ86" s="234"/>
      <c r="AR86" s="234"/>
      <c r="AS86" s="234"/>
      <c r="AT86" s="234" t="s">
        <v>89</v>
      </c>
      <c r="AU86" s="234" t="s">
        <v>1540</v>
      </c>
      <c r="AV86" s="234" t="n">
        <v>0</v>
      </c>
      <c r="AW86" s="234"/>
      <c r="AX86" s="234"/>
      <c r="AY86" s="234"/>
      <c r="AZ86" s="234"/>
      <c r="BA86" s="234"/>
      <c r="BB86" s="234"/>
      <c r="BC86" s="234"/>
      <c r="BD86" s="234" t="s">
        <v>1541</v>
      </c>
      <c r="BE86" s="234"/>
      <c r="BF86" s="234" t="n">
        <v>1</v>
      </c>
      <c r="BG86" s="234" t="s">
        <v>1530</v>
      </c>
      <c r="BH86" s="234" t="s">
        <v>1530</v>
      </c>
      <c r="BI86" s="234" t="n">
        <v>1</v>
      </c>
      <c r="BJ86" s="234" t="s">
        <v>1543</v>
      </c>
      <c r="BK86" s="234" t="n">
        <v>1</v>
      </c>
      <c r="BL86" s="234" t="s">
        <v>1544</v>
      </c>
      <c r="BM86" s="234"/>
      <c r="BN86" s="234"/>
      <c r="BO86" s="234"/>
      <c r="BP86" s="234"/>
      <c r="BQ86" s="234"/>
      <c r="BR86" s="234"/>
      <c r="BS86" s="234"/>
      <c r="BT86" s="234"/>
      <c r="BU86" s="234"/>
      <c r="BV86" s="234"/>
      <c r="BW86" s="234"/>
      <c r="BX86" s="234"/>
      <c r="BY86" s="234"/>
      <c r="BZ86" s="234"/>
      <c r="CA86" s="234"/>
      <c r="CB86" s="234"/>
      <c r="CC86" s="234"/>
      <c r="CD86" s="234"/>
      <c r="CE86" s="234"/>
      <c r="CF86" s="234"/>
      <c r="CG86" s="234"/>
      <c r="CH86" s="234"/>
      <c r="CI86" s="234" t="s">
        <v>0</v>
      </c>
      <c r="CJ86" s="234" t="s">
        <v>1551</v>
      </c>
      <c r="CK86" s="234" t="s">
        <v>1552</v>
      </c>
      <c r="CL86" s="234" t="s">
        <v>1553</v>
      </c>
      <c r="CM86" s="234" t="s">
        <v>1554</v>
      </c>
      <c r="CN86" s="234" t="s">
        <v>1549</v>
      </c>
      <c r="CO86" s="234" t="s">
        <v>1555</v>
      </c>
      <c r="CP86" s="234" t="s">
        <v>1556</v>
      </c>
      <c r="CQ86" s="234" t="s">
        <v>1557</v>
      </c>
      <c r="CR86" s="234" t="s">
        <v>1635</v>
      </c>
      <c r="CS86" s="234" t="s">
        <v>1635</v>
      </c>
      <c r="CT86" s="234" t="s">
        <v>1530</v>
      </c>
      <c r="CU86" s="234" t="s">
        <v>1530</v>
      </c>
      <c r="CV86" s="234" t="s">
        <v>2046</v>
      </c>
      <c r="CW86" s="234" t="s">
        <v>2046</v>
      </c>
      <c r="CX86" s="234" t="s">
        <v>1530</v>
      </c>
      <c r="CY86" s="234" t="s">
        <v>1530</v>
      </c>
      <c r="CZ86" s="234" t="s">
        <v>2046</v>
      </c>
      <c r="DA86" s="234" t="s">
        <v>2046</v>
      </c>
      <c r="DB86" s="234" t="s">
        <v>1530</v>
      </c>
      <c r="DC86" s="234" t="s">
        <v>1530</v>
      </c>
      <c r="DD86" s="234"/>
      <c r="DE86" s="234"/>
      <c r="DF86" s="234"/>
      <c r="DG86" s="234"/>
      <c r="DH86" s="234"/>
      <c r="DI86" s="234" t="s">
        <v>1572</v>
      </c>
      <c r="DJ86" s="234"/>
      <c r="DK86" s="234"/>
      <c r="DL86" s="234"/>
      <c r="DM86" s="234"/>
      <c r="DN86" s="234"/>
      <c r="DO86" s="234"/>
      <c r="DP86" s="234" t="s">
        <v>1560</v>
      </c>
      <c r="DQ86" s="234" t="n">
        <v>0</v>
      </c>
      <c r="DR86" s="234"/>
      <c r="DS86" s="234"/>
      <c r="DT86" s="234"/>
      <c r="DU86" s="234"/>
      <c r="DV86" s="234"/>
      <c r="DW86" s="234"/>
      <c r="DX86" s="234" t="s">
        <v>1561</v>
      </c>
      <c r="DY86" s="234"/>
      <c r="DZ86" s="234"/>
      <c r="EA86" s="234"/>
      <c r="EB86" s="234"/>
      <c r="EC86" s="234"/>
      <c r="ED86" s="234"/>
      <c r="EE86" s="234"/>
      <c r="EF86" s="234"/>
      <c r="EG86" s="234"/>
      <c r="EH86" s="234" t="s">
        <v>1562</v>
      </c>
      <c r="EI86" s="234"/>
      <c r="EJ86" s="234"/>
      <c r="EK86" s="234" t="s">
        <v>1563</v>
      </c>
      <c r="EL86" s="234"/>
      <c r="EM86" s="234" t="s">
        <v>1564</v>
      </c>
      <c r="EN86" s="234" t="s">
        <v>1637</v>
      </c>
      <c r="EO86" s="234" t="s">
        <v>1638</v>
      </c>
      <c r="EP86" s="234" t="s">
        <v>1558</v>
      </c>
      <c r="EQ86" s="234" t="n">
        <v>0.18</v>
      </c>
      <c r="ER86" s="234" t="s">
        <v>1639</v>
      </c>
      <c r="ES86" s="234"/>
      <c r="ET86" s="234"/>
    </row>
    <row r="87" customFormat="false" ht="13.5" hidden="false" customHeight="false" outlineLevel="0" collapsed="false">
      <c r="A87" s="233" t="n">
        <v>45777</v>
      </c>
      <c r="B87" s="234" t="s">
        <v>2055</v>
      </c>
      <c r="C87" s="234" t="s">
        <v>2056</v>
      </c>
      <c r="D87" s="234" t="s">
        <v>2045</v>
      </c>
      <c r="E87" s="234" t="s">
        <v>1631</v>
      </c>
      <c r="F87" s="234" t="s">
        <v>898</v>
      </c>
      <c r="G87" s="234" t="s">
        <v>1632</v>
      </c>
      <c r="H87" s="234" t="s">
        <v>1633</v>
      </c>
      <c r="I87" s="234" t="s">
        <v>1524</v>
      </c>
      <c r="J87" s="234" t="s">
        <v>1525</v>
      </c>
      <c r="K87" s="233" t="n">
        <v>45777</v>
      </c>
      <c r="L87" s="234"/>
      <c r="M87" s="234" t="s">
        <v>1526</v>
      </c>
      <c r="N87" s="234" t="n">
        <v>1</v>
      </c>
      <c r="O87" s="234" t="s">
        <v>1527</v>
      </c>
      <c r="P87" s="234" t="s">
        <v>1528</v>
      </c>
      <c r="Q87" s="234" t="s">
        <v>1529</v>
      </c>
      <c r="R87" s="234" t="s">
        <v>1530</v>
      </c>
      <c r="S87" s="234"/>
      <c r="T87" s="234"/>
      <c r="U87" s="234" t="s">
        <v>1527</v>
      </c>
      <c r="V87" s="234"/>
      <c r="W87" s="234" t="s">
        <v>1530</v>
      </c>
      <c r="X87" s="234"/>
      <c r="Y87" s="234"/>
      <c r="Z87" s="234" t="s">
        <v>1572</v>
      </c>
      <c r="AA87" s="234" t="n">
        <v>1</v>
      </c>
      <c r="AB87" s="234" t="n">
        <v>1.18</v>
      </c>
      <c r="AC87" s="234" t="n">
        <v>1.18</v>
      </c>
      <c r="AD87" s="234" t="n">
        <v>0</v>
      </c>
      <c r="AE87" s="234" t="s">
        <v>1399</v>
      </c>
      <c r="AF87" s="234"/>
      <c r="AG87" s="234"/>
      <c r="AH87" s="234" t="s">
        <v>1537</v>
      </c>
      <c r="AI87" s="234" t="s">
        <v>1870</v>
      </c>
      <c r="AJ87" s="234" t="s">
        <v>1539</v>
      </c>
      <c r="AK87" s="234"/>
      <c r="AL87" s="234"/>
      <c r="AM87" s="234"/>
      <c r="AN87" s="234"/>
      <c r="AO87" s="234"/>
      <c r="AP87" s="234"/>
      <c r="AQ87" s="234"/>
      <c r="AR87" s="234"/>
      <c r="AS87" s="234"/>
      <c r="AT87" s="234" t="s">
        <v>89</v>
      </c>
      <c r="AU87" s="234" t="s">
        <v>1540</v>
      </c>
      <c r="AV87" s="234" t="n">
        <v>0</v>
      </c>
      <c r="AW87" s="234"/>
      <c r="AX87" s="234"/>
      <c r="AY87" s="234"/>
      <c r="AZ87" s="234"/>
      <c r="BA87" s="234"/>
      <c r="BB87" s="234"/>
      <c r="BC87" s="234"/>
      <c r="BD87" s="234" t="s">
        <v>1541</v>
      </c>
      <c r="BE87" s="234"/>
      <c r="BF87" s="234" t="n">
        <v>1</v>
      </c>
      <c r="BG87" s="234" t="s">
        <v>1530</v>
      </c>
      <c r="BH87" s="234" t="s">
        <v>1530</v>
      </c>
      <c r="BI87" s="234" t="n">
        <v>1</v>
      </c>
      <c r="BJ87" s="234" t="s">
        <v>1543</v>
      </c>
      <c r="BK87" s="234" t="n">
        <v>1</v>
      </c>
      <c r="BL87" s="234" t="s">
        <v>1544</v>
      </c>
      <c r="BM87" s="234"/>
      <c r="BN87" s="234"/>
      <c r="BO87" s="234"/>
      <c r="BP87" s="234"/>
      <c r="BQ87" s="234"/>
      <c r="BR87" s="234"/>
      <c r="BS87" s="234"/>
      <c r="BT87" s="234"/>
      <c r="BU87" s="234"/>
      <c r="BV87" s="234"/>
      <c r="BW87" s="234"/>
      <c r="BX87" s="234"/>
      <c r="BY87" s="234"/>
      <c r="BZ87" s="234"/>
      <c r="CA87" s="234"/>
      <c r="CB87" s="234"/>
      <c r="CC87" s="234"/>
      <c r="CD87" s="234"/>
      <c r="CE87" s="234"/>
      <c r="CF87" s="234"/>
      <c r="CG87" s="234"/>
      <c r="CH87" s="234"/>
      <c r="CI87" s="234" t="s">
        <v>0</v>
      </c>
      <c r="CJ87" s="234" t="s">
        <v>1551</v>
      </c>
      <c r="CK87" s="234" t="s">
        <v>1552</v>
      </c>
      <c r="CL87" s="234" t="s">
        <v>1553</v>
      </c>
      <c r="CM87" s="234" t="s">
        <v>1554</v>
      </c>
      <c r="CN87" s="234" t="s">
        <v>1549</v>
      </c>
      <c r="CO87" s="234" t="s">
        <v>1555</v>
      </c>
      <c r="CP87" s="234" t="s">
        <v>1556</v>
      </c>
      <c r="CQ87" s="234" t="s">
        <v>1557</v>
      </c>
      <c r="CR87" s="234" t="s">
        <v>1635</v>
      </c>
      <c r="CS87" s="234" t="s">
        <v>1635</v>
      </c>
      <c r="CT87" s="234" t="s">
        <v>1530</v>
      </c>
      <c r="CU87" s="234" t="s">
        <v>1530</v>
      </c>
      <c r="CV87" s="234" t="s">
        <v>2046</v>
      </c>
      <c r="CW87" s="234" t="s">
        <v>2046</v>
      </c>
      <c r="CX87" s="234" t="s">
        <v>1530</v>
      </c>
      <c r="CY87" s="234" t="s">
        <v>1530</v>
      </c>
      <c r="CZ87" s="234" t="s">
        <v>2046</v>
      </c>
      <c r="DA87" s="234" t="s">
        <v>2046</v>
      </c>
      <c r="DB87" s="234" t="s">
        <v>1530</v>
      </c>
      <c r="DC87" s="234" t="s">
        <v>1530</v>
      </c>
      <c r="DD87" s="234"/>
      <c r="DE87" s="234"/>
      <c r="DF87" s="234"/>
      <c r="DG87" s="234"/>
      <c r="DH87" s="234"/>
      <c r="DI87" s="234" t="s">
        <v>1572</v>
      </c>
      <c r="DJ87" s="234"/>
      <c r="DK87" s="234"/>
      <c r="DL87" s="234"/>
      <c r="DM87" s="234"/>
      <c r="DN87" s="234"/>
      <c r="DO87" s="234"/>
      <c r="DP87" s="234" t="s">
        <v>1560</v>
      </c>
      <c r="DQ87" s="234" t="n">
        <v>0</v>
      </c>
      <c r="DR87" s="234"/>
      <c r="DS87" s="234"/>
      <c r="DT87" s="234"/>
      <c r="DU87" s="234"/>
      <c r="DV87" s="234"/>
      <c r="DW87" s="234"/>
      <c r="DX87" s="234" t="s">
        <v>1561</v>
      </c>
      <c r="DY87" s="234"/>
      <c r="DZ87" s="234"/>
      <c r="EA87" s="234"/>
      <c r="EB87" s="234"/>
      <c r="EC87" s="234"/>
      <c r="ED87" s="234"/>
      <c r="EE87" s="234"/>
      <c r="EF87" s="234"/>
      <c r="EG87" s="234"/>
      <c r="EH87" s="234" t="s">
        <v>1562</v>
      </c>
      <c r="EI87" s="234"/>
      <c r="EJ87" s="234"/>
      <c r="EK87" s="234" t="s">
        <v>1563</v>
      </c>
      <c r="EL87" s="234"/>
      <c r="EM87" s="234" t="s">
        <v>1564</v>
      </c>
      <c r="EN87" s="234" t="s">
        <v>1637</v>
      </c>
      <c r="EO87" s="234" t="s">
        <v>1638</v>
      </c>
      <c r="EP87" s="234" t="s">
        <v>1558</v>
      </c>
      <c r="EQ87" s="234" t="n">
        <v>0.18</v>
      </c>
      <c r="ER87" s="234" t="s">
        <v>1639</v>
      </c>
      <c r="ES87" s="234"/>
      <c r="ET87" s="234"/>
    </row>
    <row r="88" customFormat="false" ht="13.5" hidden="false" customHeight="false" outlineLevel="0" collapsed="false">
      <c r="A88" s="233" t="n">
        <v>45777</v>
      </c>
      <c r="B88" s="234" t="s">
        <v>2057</v>
      </c>
      <c r="C88" s="236" t="s">
        <v>1019</v>
      </c>
      <c r="D88" s="234" t="s">
        <v>897</v>
      </c>
      <c r="E88" s="234" t="s">
        <v>1631</v>
      </c>
      <c r="F88" s="234" t="s">
        <v>898</v>
      </c>
      <c r="G88" s="234" t="s">
        <v>1632</v>
      </c>
      <c r="H88" s="234" t="s">
        <v>1633</v>
      </c>
      <c r="I88" s="234" t="s">
        <v>1524</v>
      </c>
      <c r="J88" s="234" t="s">
        <v>1525</v>
      </c>
      <c r="K88" s="233" t="n">
        <v>45777</v>
      </c>
      <c r="L88" s="234"/>
      <c r="M88" s="234" t="s">
        <v>1526</v>
      </c>
      <c r="N88" s="234" t="n">
        <v>1</v>
      </c>
      <c r="O88" s="234" t="s">
        <v>1527</v>
      </c>
      <c r="P88" s="234" t="s">
        <v>1528</v>
      </c>
      <c r="Q88" s="234" t="s">
        <v>1529</v>
      </c>
      <c r="R88" s="234" t="s">
        <v>1530</v>
      </c>
      <c r="S88" s="234"/>
      <c r="T88" s="234"/>
      <c r="U88" s="234" t="s">
        <v>1527</v>
      </c>
      <c r="V88" s="234"/>
      <c r="W88" s="234" t="s">
        <v>1530</v>
      </c>
      <c r="X88" s="234"/>
      <c r="Y88" s="234"/>
      <c r="Z88" s="234" t="s">
        <v>1572</v>
      </c>
      <c r="AA88" s="234" t="n">
        <v>2117.8</v>
      </c>
      <c r="AB88" s="234" t="n">
        <v>2499</v>
      </c>
      <c r="AC88" s="234" t="n">
        <v>0</v>
      </c>
      <c r="AD88" s="234" t="n">
        <v>0</v>
      </c>
      <c r="AE88" s="234" t="s">
        <v>1399</v>
      </c>
      <c r="AF88" s="234"/>
      <c r="AG88" s="233" t="n">
        <v>45777</v>
      </c>
      <c r="AH88" s="234" t="s">
        <v>1537</v>
      </c>
      <c r="AI88" s="234" t="s">
        <v>1870</v>
      </c>
      <c r="AJ88" s="234" t="s">
        <v>1539</v>
      </c>
      <c r="AK88" s="234"/>
      <c r="AL88" s="234"/>
      <c r="AM88" s="234"/>
      <c r="AN88" s="234"/>
      <c r="AO88" s="234"/>
      <c r="AP88" s="234"/>
      <c r="AQ88" s="234"/>
      <c r="AR88" s="234"/>
      <c r="AS88" s="234"/>
      <c r="AT88" s="234" t="s">
        <v>89</v>
      </c>
      <c r="AU88" s="234" t="s">
        <v>1540</v>
      </c>
      <c r="AV88" s="234" t="n">
        <v>0</v>
      </c>
      <c r="AW88" s="234"/>
      <c r="AX88" s="234"/>
      <c r="AY88" s="234"/>
      <c r="AZ88" s="234"/>
      <c r="BA88" s="234"/>
      <c r="BB88" s="234"/>
      <c r="BC88" s="234"/>
      <c r="BD88" s="234" t="s">
        <v>1541</v>
      </c>
      <c r="BE88" s="235" t="s">
        <v>2058</v>
      </c>
      <c r="BF88" s="234" t="n">
        <v>1</v>
      </c>
      <c r="BG88" s="234" t="s">
        <v>1530</v>
      </c>
      <c r="BH88" s="234" t="s">
        <v>1530</v>
      </c>
      <c r="BI88" s="234" t="n">
        <v>2117.8</v>
      </c>
      <c r="BJ88" s="234" t="s">
        <v>1543</v>
      </c>
      <c r="BK88" s="234" t="n">
        <v>2117.8</v>
      </c>
      <c r="BL88" s="234" t="s">
        <v>1544</v>
      </c>
      <c r="BM88" s="234"/>
      <c r="BN88" s="234"/>
      <c r="BO88" s="234"/>
      <c r="BP88" s="234"/>
      <c r="BQ88" s="234"/>
      <c r="BR88" s="234"/>
      <c r="BS88" s="234"/>
      <c r="BT88" s="234"/>
      <c r="BU88" s="234"/>
      <c r="BV88" s="234"/>
      <c r="BW88" s="234"/>
      <c r="BX88" s="234"/>
      <c r="BY88" s="234"/>
      <c r="BZ88" s="234"/>
      <c r="CA88" s="234"/>
      <c r="CB88" s="234"/>
      <c r="CC88" s="234"/>
      <c r="CD88" s="234"/>
      <c r="CE88" s="234"/>
      <c r="CF88" s="234"/>
      <c r="CG88" s="234"/>
      <c r="CH88" s="234"/>
      <c r="CI88" s="234" t="s">
        <v>0</v>
      </c>
      <c r="CJ88" s="234" t="s">
        <v>1551</v>
      </c>
      <c r="CK88" s="234" t="s">
        <v>1552</v>
      </c>
      <c r="CL88" s="234" t="s">
        <v>1553</v>
      </c>
      <c r="CM88" s="234" t="s">
        <v>1554</v>
      </c>
      <c r="CN88" s="234" t="s">
        <v>1549</v>
      </c>
      <c r="CO88" s="234" t="s">
        <v>1555</v>
      </c>
      <c r="CP88" s="234" t="s">
        <v>1556</v>
      </c>
      <c r="CQ88" s="234" t="s">
        <v>1557</v>
      </c>
      <c r="CR88" s="234" t="s">
        <v>1635</v>
      </c>
      <c r="CS88" s="234" t="s">
        <v>1635</v>
      </c>
      <c r="CT88" s="234" t="s">
        <v>1530</v>
      </c>
      <c r="CU88" s="234" t="s">
        <v>1530</v>
      </c>
      <c r="CV88" s="234" t="s">
        <v>2059</v>
      </c>
      <c r="CW88" s="234" t="s">
        <v>2059</v>
      </c>
      <c r="CX88" s="234" t="s">
        <v>1530</v>
      </c>
      <c r="CY88" s="234" t="s">
        <v>1530</v>
      </c>
      <c r="CZ88" s="234" t="s">
        <v>2059</v>
      </c>
      <c r="DA88" s="234" t="s">
        <v>2059</v>
      </c>
      <c r="DB88" s="234" t="s">
        <v>1530</v>
      </c>
      <c r="DC88" s="234" t="s">
        <v>1530</v>
      </c>
      <c r="DD88" s="234"/>
      <c r="DE88" s="234"/>
      <c r="DF88" s="234"/>
      <c r="DG88" s="234"/>
      <c r="DH88" s="234"/>
      <c r="DI88" s="234" t="s">
        <v>1572</v>
      </c>
      <c r="DJ88" s="234"/>
      <c r="DK88" s="234"/>
      <c r="DL88" s="234"/>
      <c r="DM88" s="234"/>
      <c r="DN88" s="234"/>
      <c r="DO88" s="234"/>
      <c r="DP88" s="234" t="s">
        <v>1560</v>
      </c>
      <c r="DQ88" s="234" t="n">
        <v>0</v>
      </c>
      <c r="DR88" s="234"/>
      <c r="DS88" s="234"/>
      <c r="DT88" s="234"/>
      <c r="DU88" s="234"/>
      <c r="DV88" s="234"/>
      <c r="DW88" s="234"/>
      <c r="DX88" s="234" t="s">
        <v>1561</v>
      </c>
      <c r="DY88" s="234"/>
      <c r="DZ88" s="234"/>
      <c r="EA88" s="234"/>
      <c r="EB88" s="234"/>
      <c r="EC88" s="234"/>
      <c r="ED88" s="234"/>
      <c r="EE88" s="234"/>
      <c r="EF88" s="234"/>
      <c r="EG88" s="234"/>
      <c r="EH88" s="234" t="s">
        <v>1562</v>
      </c>
      <c r="EI88" s="234"/>
      <c r="EJ88" s="234"/>
      <c r="EK88" s="234" t="s">
        <v>1563</v>
      </c>
      <c r="EL88" s="234"/>
      <c r="EM88" s="234" t="s">
        <v>1564</v>
      </c>
      <c r="EN88" s="234" t="s">
        <v>1637</v>
      </c>
      <c r="EO88" s="234" t="s">
        <v>1638</v>
      </c>
      <c r="EP88" s="234" t="s">
        <v>1558</v>
      </c>
      <c r="EQ88" s="234" t="n">
        <v>381.2</v>
      </c>
      <c r="ER88" s="234" t="s">
        <v>1639</v>
      </c>
      <c r="ES88" s="234"/>
      <c r="ET88" s="234"/>
    </row>
    <row r="89" customFormat="false" ht="13.5" hidden="false" customHeight="false" outlineLevel="0" collapsed="false">
      <c r="A89" s="233" t="n">
        <v>45777</v>
      </c>
      <c r="B89" s="234" t="s">
        <v>2060</v>
      </c>
      <c r="C89" s="236" t="s">
        <v>1020</v>
      </c>
      <c r="D89" s="234" t="s">
        <v>897</v>
      </c>
      <c r="E89" s="234" t="s">
        <v>1631</v>
      </c>
      <c r="F89" s="234" t="s">
        <v>898</v>
      </c>
      <c r="G89" s="234" t="s">
        <v>1632</v>
      </c>
      <c r="H89" s="234" t="s">
        <v>1633</v>
      </c>
      <c r="I89" s="234" t="s">
        <v>1524</v>
      </c>
      <c r="J89" s="234" t="s">
        <v>1525</v>
      </c>
      <c r="K89" s="233" t="n">
        <v>45777</v>
      </c>
      <c r="L89" s="234"/>
      <c r="M89" s="234" t="s">
        <v>1526</v>
      </c>
      <c r="N89" s="234" t="n">
        <v>1</v>
      </c>
      <c r="O89" s="234" t="s">
        <v>1527</v>
      </c>
      <c r="P89" s="234" t="s">
        <v>1528</v>
      </c>
      <c r="Q89" s="234" t="s">
        <v>1529</v>
      </c>
      <c r="R89" s="234" t="s">
        <v>1530</v>
      </c>
      <c r="S89" s="234"/>
      <c r="T89" s="234"/>
      <c r="U89" s="234" t="s">
        <v>1527</v>
      </c>
      <c r="V89" s="234"/>
      <c r="W89" s="234" t="s">
        <v>1530</v>
      </c>
      <c r="X89" s="234"/>
      <c r="Y89" s="234"/>
      <c r="Z89" s="234" t="s">
        <v>1572</v>
      </c>
      <c r="AA89" s="234" t="n">
        <v>2117.8</v>
      </c>
      <c r="AB89" s="234" t="n">
        <v>2499</v>
      </c>
      <c r="AC89" s="234" t="n">
        <v>0</v>
      </c>
      <c r="AD89" s="234" t="n">
        <v>0</v>
      </c>
      <c r="AE89" s="234" t="s">
        <v>1399</v>
      </c>
      <c r="AF89" s="234"/>
      <c r="AG89" s="233" t="n">
        <v>45777</v>
      </c>
      <c r="AH89" s="234" t="s">
        <v>1537</v>
      </c>
      <c r="AI89" s="234" t="s">
        <v>1870</v>
      </c>
      <c r="AJ89" s="234" t="s">
        <v>1539</v>
      </c>
      <c r="AK89" s="234"/>
      <c r="AL89" s="234"/>
      <c r="AM89" s="234"/>
      <c r="AN89" s="234"/>
      <c r="AO89" s="234"/>
      <c r="AP89" s="234"/>
      <c r="AQ89" s="234"/>
      <c r="AR89" s="234"/>
      <c r="AS89" s="234"/>
      <c r="AT89" s="234" t="s">
        <v>89</v>
      </c>
      <c r="AU89" s="234" t="s">
        <v>1540</v>
      </c>
      <c r="AV89" s="234" t="n">
        <v>0</v>
      </c>
      <c r="AW89" s="234"/>
      <c r="AX89" s="234"/>
      <c r="AY89" s="234"/>
      <c r="AZ89" s="234"/>
      <c r="BA89" s="234"/>
      <c r="BB89" s="234"/>
      <c r="BC89" s="234"/>
      <c r="BD89" s="234" t="s">
        <v>1541</v>
      </c>
      <c r="BE89" s="235" t="s">
        <v>2061</v>
      </c>
      <c r="BF89" s="234" t="n">
        <v>1</v>
      </c>
      <c r="BG89" s="234" t="s">
        <v>1530</v>
      </c>
      <c r="BH89" s="234" t="s">
        <v>1530</v>
      </c>
      <c r="BI89" s="234" t="n">
        <v>2117.8</v>
      </c>
      <c r="BJ89" s="234" t="s">
        <v>1543</v>
      </c>
      <c r="BK89" s="234" t="n">
        <v>2117.8</v>
      </c>
      <c r="BL89" s="234" t="s">
        <v>1544</v>
      </c>
      <c r="BM89" s="234"/>
      <c r="BN89" s="234"/>
      <c r="BO89" s="234"/>
      <c r="BP89" s="234"/>
      <c r="BQ89" s="234"/>
      <c r="BR89" s="234"/>
      <c r="BS89" s="234"/>
      <c r="BT89" s="234"/>
      <c r="BU89" s="234"/>
      <c r="BV89" s="234"/>
      <c r="BW89" s="234"/>
      <c r="BX89" s="234"/>
      <c r="BY89" s="234"/>
      <c r="BZ89" s="234"/>
      <c r="CA89" s="234"/>
      <c r="CB89" s="234"/>
      <c r="CC89" s="234"/>
      <c r="CD89" s="234"/>
      <c r="CE89" s="234"/>
      <c r="CF89" s="234"/>
      <c r="CG89" s="234"/>
      <c r="CH89" s="234"/>
      <c r="CI89" s="234" t="s">
        <v>0</v>
      </c>
      <c r="CJ89" s="234" t="s">
        <v>1551</v>
      </c>
      <c r="CK89" s="234" t="s">
        <v>1552</v>
      </c>
      <c r="CL89" s="234" t="s">
        <v>1553</v>
      </c>
      <c r="CM89" s="234" t="s">
        <v>1554</v>
      </c>
      <c r="CN89" s="234" t="s">
        <v>1549</v>
      </c>
      <c r="CO89" s="234" t="s">
        <v>1555</v>
      </c>
      <c r="CP89" s="234" t="s">
        <v>1556</v>
      </c>
      <c r="CQ89" s="234" t="s">
        <v>1557</v>
      </c>
      <c r="CR89" s="234" t="s">
        <v>1635</v>
      </c>
      <c r="CS89" s="234" t="s">
        <v>1635</v>
      </c>
      <c r="CT89" s="234" t="s">
        <v>1530</v>
      </c>
      <c r="CU89" s="234" t="s">
        <v>1530</v>
      </c>
      <c r="CV89" s="234" t="s">
        <v>2059</v>
      </c>
      <c r="CW89" s="234" t="s">
        <v>2059</v>
      </c>
      <c r="CX89" s="234" t="s">
        <v>1530</v>
      </c>
      <c r="CY89" s="234" t="s">
        <v>1530</v>
      </c>
      <c r="CZ89" s="234" t="s">
        <v>2059</v>
      </c>
      <c r="DA89" s="234" t="s">
        <v>2059</v>
      </c>
      <c r="DB89" s="234" t="s">
        <v>1530</v>
      </c>
      <c r="DC89" s="234" t="s">
        <v>1530</v>
      </c>
      <c r="DD89" s="234"/>
      <c r="DE89" s="234"/>
      <c r="DF89" s="234"/>
      <c r="DG89" s="234"/>
      <c r="DH89" s="234"/>
      <c r="DI89" s="234" t="s">
        <v>1572</v>
      </c>
      <c r="DJ89" s="234"/>
      <c r="DK89" s="234"/>
      <c r="DL89" s="234"/>
      <c r="DM89" s="234"/>
      <c r="DN89" s="234"/>
      <c r="DO89" s="234"/>
      <c r="DP89" s="234" t="s">
        <v>1560</v>
      </c>
      <c r="DQ89" s="234" t="n">
        <v>0</v>
      </c>
      <c r="DR89" s="234"/>
      <c r="DS89" s="234"/>
      <c r="DT89" s="234"/>
      <c r="DU89" s="234"/>
      <c r="DV89" s="234"/>
      <c r="DW89" s="234"/>
      <c r="DX89" s="234" t="s">
        <v>1561</v>
      </c>
      <c r="DY89" s="234"/>
      <c r="DZ89" s="234"/>
      <c r="EA89" s="234"/>
      <c r="EB89" s="234"/>
      <c r="EC89" s="234"/>
      <c r="ED89" s="234"/>
      <c r="EE89" s="234"/>
      <c r="EF89" s="234"/>
      <c r="EG89" s="234"/>
      <c r="EH89" s="234" t="s">
        <v>1562</v>
      </c>
      <c r="EI89" s="234"/>
      <c r="EJ89" s="234"/>
      <c r="EK89" s="234" t="s">
        <v>1563</v>
      </c>
      <c r="EL89" s="234"/>
      <c r="EM89" s="234" t="s">
        <v>1564</v>
      </c>
      <c r="EN89" s="234" t="s">
        <v>1637</v>
      </c>
      <c r="EO89" s="234" t="s">
        <v>1638</v>
      </c>
      <c r="EP89" s="234" t="s">
        <v>1558</v>
      </c>
      <c r="EQ89" s="234" t="n">
        <v>381.2</v>
      </c>
      <c r="ER89" s="234" t="s">
        <v>1639</v>
      </c>
      <c r="ES89" s="234"/>
      <c r="ET89" s="234"/>
    </row>
    <row r="90" customFormat="false" ht="13.5" hidden="false" customHeight="false" outlineLevel="0" collapsed="false">
      <c r="A90" s="233" t="n">
        <v>45777</v>
      </c>
      <c r="B90" s="234" t="s">
        <v>2062</v>
      </c>
      <c r="C90" s="236" t="s">
        <v>1021</v>
      </c>
      <c r="D90" s="234" t="s">
        <v>897</v>
      </c>
      <c r="E90" s="234" t="s">
        <v>1631</v>
      </c>
      <c r="F90" s="234" t="s">
        <v>898</v>
      </c>
      <c r="G90" s="234" t="s">
        <v>1632</v>
      </c>
      <c r="H90" s="234" t="s">
        <v>1633</v>
      </c>
      <c r="I90" s="234" t="s">
        <v>1524</v>
      </c>
      <c r="J90" s="234" t="s">
        <v>1525</v>
      </c>
      <c r="K90" s="233" t="n">
        <v>45777</v>
      </c>
      <c r="L90" s="234"/>
      <c r="M90" s="234" t="s">
        <v>1526</v>
      </c>
      <c r="N90" s="234" t="n">
        <v>1</v>
      </c>
      <c r="O90" s="234" t="s">
        <v>1527</v>
      </c>
      <c r="P90" s="234" t="s">
        <v>1528</v>
      </c>
      <c r="Q90" s="234" t="s">
        <v>1529</v>
      </c>
      <c r="R90" s="234" t="s">
        <v>1530</v>
      </c>
      <c r="S90" s="234"/>
      <c r="T90" s="234"/>
      <c r="U90" s="234" t="s">
        <v>1527</v>
      </c>
      <c r="V90" s="234"/>
      <c r="W90" s="234" t="s">
        <v>1530</v>
      </c>
      <c r="X90" s="234"/>
      <c r="Y90" s="234"/>
      <c r="Z90" s="234" t="s">
        <v>1572</v>
      </c>
      <c r="AA90" s="234" t="n">
        <v>2117.8</v>
      </c>
      <c r="AB90" s="234" t="n">
        <v>2499</v>
      </c>
      <c r="AC90" s="234" t="n">
        <v>0</v>
      </c>
      <c r="AD90" s="234" t="n">
        <v>0</v>
      </c>
      <c r="AE90" s="234" t="s">
        <v>1399</v>
      </c>
      <c r="AF90" s="234"/>
      <c r="AG90" s="233" t="n">
        <v>45777</v>
      </c>
      <c r="AH90" s="234" t="s">
        <v>1537</v>
      </c>
      <c r="AI90" s="234" t="s">
        <v>1870</v>
      </c>
      <c r="AJ90" s="234" t="s">
        <v>1539</v>
      </c>
      <c r="AK90" s="234"/>
      <c r="AL90" s="234"/>
      <c r="AM90" s="234"/>
      <c r="AN90" s="234"/>
      <c r="AO90" s="234"/>
      <c r="AP90" s="234"/>
      <c r="AQ90" s="234"/>
      <c r="AR90" s="234"/>
      <c r="AS90" s="234"/>
      <c r="AT90" s="234" t="s">
        <v>89</v>
      </c>
      <c r="AU90" s="234" t="s">
        <v>1540</v>
      </c>
      <c r="AV90" s="234" t="n">
        <v>0</v>
      </c>
      <c r="AW90" s="234"/>
      <c r="AX90" s="234"/>
      <c r="AY90" s="234"/>
      <c r="AZ90" s="234"/>
      <c r="BA90" s="234"/>
      <c r="BB90" s="234"/>
      <c r="BC90" s="234"/>
      <c r="BD90" s="234" t="s">
        <v>1541</v>
      </c>
      <c r="BE90" s="235" t="s">
        <v>2063</v>
      </c>
      <c r="BF90" s="234" t="n">
        <v>1</v>
      </c>
      <c r="BG90" s="234" t="s">
        <v>1530</v>
      </c>
      <c r="BH90" s="234" t="s">
        <v>1530</v>
      </c>
      <c r="BI90" s="234" t="n">
        <v>2117.8</v>
      </c>
      <c r="BJ90" s="234" t="s">
        <v>1543</v>
      </c>
      <c r="BK90" s="234" t="n">
        <v>2117.8</v>
      </c>
      <c r="BL90" s="234" t="s">
        <v>1544</v>
      </c>
      <c r="BM90" s="234"/>
      <c r="BN90" s="234"/>
      <c r="BO90" s="234"/>
      <c r="BP90" s="234"/>
      <c r="BQ90" s="234"/>
      <c r="BR90" s="234"/>
      <c r="BS90" s="234"/>
      <c r="BT90" s="234"/>
      <c r="BU90" s="234"/>
      <c r="BV90" s="234"/>
      <c r="BW90" s="234"/>
      <c r="BX90" s="234"/>
      <c r="BY90" s="234"/>
      <c r="BZ90" s="234"/>
      <c r="CA90" s="234"/>
      <c r="CB90" s="234"/>
      <c r="CC90" s="234"/>
      <c r="CD90" s="234"/>
      <c r="CE90" s="234"/>
      <c r="CF90" s="234"/>
      <c r="CG90" s="234"/>
      <c r="CH90" s="234"/>
      <c r="CI90" s="234" t="s">
        <v>0</v>
      </c>
      <c r="CJ90" s="234" t="s">
        <v>1551</v>
      </c>
      <c r="CK90" s="234" t="s">
        <v>1552</v>
      </c>
      <c r="CL90" s="234" t="s">
        <v>1553</v>
      </c>
      <c r="CM90" s="234" t="s">
        <v>1554</v>
      </c>
      <c r="CN90" s="234" t="s">
        <v>1549</v>
      </c>
      <c r="CO90" s="234" t="s">
        <v>1555</v>
      </c>
      <c r="CP90" s="234" t="s">
        <v>1556</v>
      </c>
      <c r="CQ90" s="234" t="s">
        <v>1557</v>
      </c>
      <c r="CR90" s="234" t="s">
        <v>1635</v>
      </c>
      <c r="CS90" s="234" t="s">
        <v>1635</v>
      </c>
      <c r="CT90" s="234" t="s">
        <v>1530</v>
      </c>
      <c r="CU90" s="234" t="s">
        <v>1530</v>
      </c>
      <c r="CV90" s="234" t="s">
        <v>2059</v>
      </c>
      <c r="CW90" s="234" t="s">
        <v>2059</v>
      </c>
      <c r="CX90" s="234" t="s">
        <v>1530</v>
      </c>
      <c r="CY90" s="234" t="s">
        <v>1530</v>
      </c>
      <c r="CZ90" s="234" t="s">
        <v>2059</v>
      </c>
      <c r="DA90" s="234" t="s">
        <v>2059</v>
      </c>
      <c r="DB90" s="234" t="s">
        <v>1530</v>
      </c>
      <c r="DC90" s="234" t="s">
        <v>1530</v>
      </c>
      <c r="DD90" s="234"/>
      <c r="DE90" s="234"/>
      <c r="DF90" s="234"/>
      <c r="DG90" s="234"/>
      <c r="DH90" s="234"/>
      <c r="DI90" s="234" t="s">
        <v>1572</v>
      </c>
      <c r="DJ90" s="234"/>
      <c r="DK90" s="234"/>
      <c r="DL90" s="234"/>
      <c r="DM90" s="234"/>
      <c r="DN90" s="234"/>
      <c r="DO90" s="234"/>
      <c r="DP90" s="234" t="s">
        <v>1560</v>
      </c>
      <c r="DQ90" s="234" t="n">
        <v>0</v>
      </c>
      <c r="DR90" s="234"/>
      <c r="DS90" s="234"/>
      <c r="DT90" s="234"/>
      <c r="DU90" s="234"/>
      <c r="DV90" s="234"/>
      <c r="DW90" s="234"/>
      <c r="DX90" s="234" t="s">
        <v>1561</v>
      </c>
      <c r="DY90" s="234"/>
      <c r="DZ90" s="234"/>
      <c r="EA90" s="234"/>
      <c r="EB90" s="234"/>
      <c r="EC90" s="234"/>
      <c r="ED90" s="234"/>
      <c r="EE90" s="234"/>
      <c r="EF90" s="234"/>
      <c r="EG90" s="234"/>
      <c r="EH90" s="234" t="s">
        <v>1562</v>
      </c>
      <c r="EI90" s="234"/>
      <c r="EJ90" s="234"/>
      <c r="EK90" s="234" t="s">
        <v>1563</v>
      </c>
      <c r="EL90" s="234"/>
      <c r="EM90" s="234" t="s">
        <v>1564</v>
      </c>
      <c r="EN90" s="234" t="s">
        <v>1637</v>
      </c>
      <c r="EO90" s="234" t="s">
        <v>1638</v>
      </c>
      <c r="EP90" s="234" t="s">
        <v>1558</v>
      </c>
      <c r="EQ90" s="234" t="n">
        <v>381.2</v>
      </c>
      <c r="ER90" s="234" t="s">
        <v>1639</v>
      </c>
      <c r="ES90" s="234"/>
      <c r="ET90" s="234"/>
    </row>
    <row r="91" customFormat="false" ht="13.5" hidden="false" customHeight="false" outlineLevel="0" collapsed="false">
      <c r="A91" s="233" t="n">
        <v>45777</v>
      </c>
      <c r="B91" s="234" t="s">
        <v>2064</v>
      </c>
      <c r="C91" s="236" t="s">
        <v>1022</v>
      </c>
      <c r="D91" s="234" t="s">
        <v>897</v>
      </c>
      <c r="E91" s="234" t="s">
        <v>1631</v>
      </c>
      <c r="F91" s="234" t="s">
        <v>898</v>
      </c>
      <c r="G91" s="234" t="s">
        <v>1632</v>
      </c>
      <c r="H91" s="234" t="s">
        <v>1633</v>
      </c>
      <c r="I91" s="234" t="s">
        <v>1524</v>
      </c>
      <c r="J91" s="234" t="s">
        <v>1525</v>
      </c>
      <c r="K91" s="233" t="n">
        <v>45777</v>
      </c>
      <c r="L91" s="234"/>
      <c r="M91" s="234" t="s">
        <v>1526</v>
      </c>
      <c r="N91" s="234" t="n">
        <v>1</v>
      </c>
      <c r="O91" s="234" t="s">
        <v>1527</v>
      </c>
      <c r="P91" s="234" t="s">
        <v>1528</v>
      </c>
      <c r="Q91" s="234" t="s">
        <v>1529</v>
      </c>
      <c r="R91" s="234" t="s">
        <v>1530</v>
      </c>
      <c r="S91" s="234"/>
      <c r="T91" s="234"/>
      <c r="U91" s="234" t="s">
        <v>1527</v>
      </c>
      <c r="V91" s="234"/>
      <c r="W91" s="234" t="s">
        <v>1530</v>
      </c>
      <c r="X91" s="234"/>
      <c r="Y91" s="234"/>
      <c r="Z91" s="234" t="s">
        <v>1572</v>
      </c>
      <c r="AA91" s="234" t="n">
        <v>2117.8</v>
      </c>
      <c r="AB91" s="234" t="n">
        <v>2499</v>
      </c>
      <c r="AC91" s="234" t="n">
        <v>0</v>
      </c>
      <c r="AD91" s="234" t="n">
        <v>0</v>
      </c>
      <c r="AE91" s="234" t="s">
        <v>1399</v>
      </c>
      <c r="AF91" s="234"/>
      <c r="AG91" s="233" t="n">
        <v>45777</v>
      </c>
      <c r="AH91" s="234" t="s">
        <v>1537</v>
      </c>
      <c r="AI91" s="234" t="s">
        <v>1870</v>
      </c>
      <c r="AJ91" s="234" t="s">
        <v>1539</v>
      </c>
      <c r="AK91" s="234"/>
      <c r="AL91" s="234"/>
      <c r="AM91" s="234"/>
      <c r="AN91" s="234"/>
      <c r="AO91" s="234"/>
      <c r="AP91" s="234"/>
      <c r="AQ91" s="234"/>
      <c r="AR91" s="234"/>
      <c r="AS91" s="234"/>
      <c r="AT91" s="234" t="s">
        <v>89</v>
      </c>
      <c r="AU91" s="234" t="s">
        <v>1540</v>
      </c>
      <c r="AV91" s="234" t="n">
        <v>0</v>
      </c>
      <c r="AW91" s="234"/>
      <c r="AX91" s="234"/>
      <c r="AY91" s="234"/>
      <c r="AZ91" s="234"/>
      <c r="BA91" s="234"/>
      <c r="BB91" s="234"/>
      <c r="BC91" s="234"/>
      <c r="BD91" s="234" t="s">
        <v>1541</v>
      </c>
      <c r="BE91" s="235" t="s">
        <v>2065</v>
      </c>
      <c r="BF91" s="234" t="n">
        <v>1</v>
      </c>
      <c r="BG91" s="234" t="s">
        <v>1530</v>
      </c>
      <c r="BH91" s="234" t="s">
        <v>1530</v>
      </c>
      <c r="BI91" s="234" t="n">
        <v>2117.8</v>
      </c>
      <c r="BJ91" s="234" t="s">
        <v>1543</v>
      </c>
      <c r="BK91" s="234" t="n">
        <v>2117.8</v>
      </c>
      <c r="BL91" s="234" t="s">
        <v>1544</v>
      </c>
      <c r="BM91" s="234"/>
      <c r="BN91" s="234"/>
      <c r="BO91" s="234"/>
      <c r="BP91" s="234"/>
      <c r="BQ91" s="234"/>
      <c r="BR91" s="234"/>
      <c r="BS91" s="234"/>
      <c r="BT91" s="234"/>
      <c r="BU91" s="234"/>
      <c r="BV91" s="234"/>
      <c r="BW91" s="234"/>
      <c r="BX91" s="234"/>
      <c r="BY91" s="234"/>
      <c r="BZ91" s="234"/>
      <c r="CA91" s="234"/>
      <c r="CB91" s="234"/>
      <c r="CC91" s="234"/>
      <c r="CD91" s="234"/>
      <c r="CE91" s="234"/>
      <c r="CF91" s="234"/>
      <c r="CG91" s="234"/>
      <c r="CH91" s="234"/>
      <c r="CI91" s="234" t="s">
        <v>0</v>
      </c>
      <c r="CJ91" s="234" t="s">
        <v>1551</v>
      </c>
      <c r="CK91" s="234" t="s">
        <v>1552</v>
      </c>
      <c r="CL91" s="234" t="s">
        <v>1553</v>
      </c>
      <c r="CM91" s="234" t="s">
        <v>1554</v>
      </c>
      <c r="CN91" s="234" t="s">
        <v>1549</v>
      </c>
      <c r="CO91" s="234" t="s">
        <v>1555</v>
      </c>
      <c r="CP91" s="234" t="s">
        <v>1556</v>
      </c>
      <c r="CQ91" s="234" t="s">
        <v>1557</v>
      </c>
      <c r="CR91" s="234" t="s">
        <v>1635</v>
      </c>
      <c r="CS91" s="234" t="s">
        <v>1635</v>
      </c>
      <c r="CT91" s="234" t="s">
        <v>1530</v>
      </c>
      <c r="CU91" s="234" t="s">
        <v>1530</v>
      </c>
      <c r="CV91" s="234" t="s">
        <v>2059</v>
      </c>
      <c r="CW91" s="234" t="s">
        <v>2059</v>
      </c>
      <c r="CX91" s="234" t="s">
        <v>1530</v>
      </c>
      <c r="CY91" s="234" t="s">
        <v>1530</v>
      </c>
      <c r="CZ91" s="234" t="s">
        <v>2059</v>
      </c>
      <c r="DA91" s="234" t="s">
        <v>2059</v>
      </c>
      <c r="DB91" s="234" t="s">
        <v>1530</v>
      </c>
      <c r="DC91" s="234" t="s">
        <v>1530</v>
      </c>
      <c r="DD91" s="234"/>
      <c r="DE91" s="234"/>
      <c r="DF91" s="234"/>
      <c r="DG91" s="234"/>
      <c r="DH91" s="234"/>
      <c r="DI91" s="234" t="s">
        <v>1572</v>
      </c>
      <c r="DJ91" s="234"/>
      <c r="DK91" s="234"/>
      <c r="DL91" s="234"/>
      <c r="DM91" s="234"/>
      <c r="DN91" s="234"/>
      <c r="DO91" s="234"/>
      <c r="DP91" s="234" t="s">
        <v>1560</v>
      </c>
      <c r="DQ91" s="234" t="n">
        <v>0</v>
      </c>
      <c r="DR91" s="234"/>
      <c r="DS91" s="234"/>
      <c r="DT91" s="234"/>
      <c r="DU91" s="234"/>
      <c r="DV91" s="234"/>
      <c r="DW91" s="234"/>
      <c r="DX91" s="234" t="s">
        <v>1561</v>
      </c>
      <c r="DY91" s="234"/>
      <c r="DZ91" s="234"/>
      <c r="EA91" s="234"/>
      <c r="EB91" s="234"/>
      <c r="EC91" s="234"/>
      <c r="ED91" s="234"/>
      <c r="EE91" s="234"/>
      <c r="EF91" s="234"/>
      <c r="EG91" s="234"/>
      <c r="EH91" s="234" t="s">
        <v>1562</v>
      </c>
      <c r="EI91" s="234"/>
      <c r="EJ91" s="234"/>
      <c r="EK91" s="234" t="s">
        <v>1563</v>
      </c>
      <c r="EL91" s="234"/>
      <c r="EM91" s="234" t="s">
        <v>1564</v>
      </c>
      <c r="EN91" s="234" t="s">
        <v>1637</v>
      </c>
      <c r="EO91" s="234" t="s">
        <v>1638</v>
      </c>
      <c r="EP91" s="234" t="s">
        <v>1558</v>
      </c>
      <c r="EQ91" s="234" t="n">
        <v>381.2</v>
      </c>
      <c r="ER91" s="234" t="s">
        <v>1639</v>
      </c>
      <c r="ES91" s="234"/>
      <c r="ET91" s="234"/>
    </row>
    <row r="92" customFormat="false" ht="13.5" hidden="false" customHeight="false" outlineLevel="0" collapsed="false">
      <c r="A92" s="233" t="n">
        <v>45777</v>
      </c>
      <c r="B92" s="234" t="s">
        <v>2066</v>
      </c>
      <c r="C92" s="236" t="s">
        <v>1023</v>
      </c>
      <c r="D92" s="234" t="s">
        <v>897</v>
      </c>
      <c r="E92" s="234" t="s">
        <v>1631</v>
      </c>
      <c r="F92" s="234" t="s">
        <v>898</v>
      </c>
      <c r="G92" s="234" t="s">
        <v>1632</v>
      </c>
      <c r="H92" s="234" t="s">
        <v>1633</v>
      </c>
      <c r="I92" s="234" t="s">
        <v>1524</v>
      </c>
      <c r="J92" s="234" t="s">
        <v>1525</v>
      </c>
      <c r="K92" s="233" t="n">
        <v>45777</v>
      </c>
      <c r="L92" s="234"/>
      <c r="M92" s="234" t="s">
        <v>1526</v>
      </c>
      <c r="N92" s="234" t="n">
        <v>1</v>
      </c>
      <c r="O92" s="234" t="s">
        <v>1527</v>
      </c>
      <c r="P92" s="234" t="s">
        <v>1528</v>
      </c>
      <c r="Q92" s="234" t="s">
        <v>1529</v>
      </c>
      <c r="R92" s="234" t="s">
        <v>1530</v>
      </c>
      <c r="S92" s="234"/>
      <c r="T92" s="234"/>
      <c r="U92" s="234" t="s">
        <v>1527</v>
      </c>
      <c r="V92" s="234"/>
      <c r="W92" s="234" t="s">
        <v>1530</v>
      </c>
      <c r="X92" s="234"/>
      <c r="Y92" s="234"/>
      <c r="Z92" s="234" t="s">
        <v>1572</v>
      </c>
      <c r="AA92" s="234" t="n">
        <v>2117.8</v>
      </c>
      <c r="AB92" s="234" t="n">
        <v>2499</v>
      </c>
      <c r="AC92" s="234" t="n">
        <v>0</v>
      </c>
      <c r="AD92" s="234" t="n">
        <v>0</v>
      </c>
      <c r="AE92" s="234" t="s">
        <v>1399</v>
      </c>
      <c r="AF92" s="234"/>
      <c r="AG92" s="233" t="n">
        <v>45777</v>
      </c>
      <c r="AH92" s="234" t="s">
        <v>1537</v>
      </c>
      <c r="AI92" s="234" t="s">
        <v>1870</v>
      </c>
      <c r="AJ92" s="234" t="s">
        <v>1539</v>
      </c>
      <c r="AK92" s="234"/>
      <c r="AL92" s="234"/>
      <c r="AM92" s="234"/>
      <c r="AN92" s="234"/>
      <c r="AO92" s="234"/>
      <c r="AP92" s="234"/>
      <c r="AQ92" s="234"/>
      <c r="AR92" s="234"/>
      <c r="AS92" s="234"/>
      <c r="AT92" s="234" t="s">
        <v>89</v>
      </c>
      <c r="AU92" s="234" t="s">
        <v>1540</v>
      </c>
      <c r="AV92" s="234" t="n">
        <v>0</v>
      </c>
      <c r="AW92" s="234"/>
      <c r="AX92" s="234"/>
      <c r="AY92" s="234"/>
      <c r="AZ92" s="234"/>
      <c r="BA92" s="234"/>
      <c r="BB92" s="234"/>
      <c r="BC92" s="234"/>
      <c r="BD92" s="234" t="s">
        <v>1541</v>
      </c>
      <c r="BE92" s="235" t="s">
        <v>2067</v>
      </c>
      <c r="BF92" s="234" t="n">
        <v>1</v>
      </c>
      <c r="BG92" s="234" t="s">
        <v>1530</v>
      </c>
      <c r="BH92" s="234" t="s">
        <v>1530</v>
      </c>
      <c r="BI92" s="234" t="n">
        <v>2117.8</v>
      </c>
      <c r="BJ92" s="234" t="s">
        <v>1543</v>
      </c>
      <c r="BK92" s="234" t="n">
        <v>2117.8</v>
      </c>
      <c r="BL92" s="234" t="s">
        <v>1544</v>
      </c>
      <c r="BM92" s="234"/>
      <c r="BN92" s="234"/>
      <c r="BO92" s="234"/>
      <c r="BP92" s="234"/>
      <c r="BQ92" s="234"/>
      <c r="BR92" s="234"/>
      <c r="BS92" s="234"/>
      <c r="BT92" s="234"/>
      <c r="BU92" s="234"/>
      <c r="BV92" s="234"/>
      <c r="BW92" s="234"/>
      <c r="BX92" s="234"/>
      <c r="BY92" s="234"/>
      <c r="BZ92" s="234"/>
      <c r="CA92" s="234"/>
      <c r="CB92" s="234"/>
      <c r="CC92" s="234"/>
      <c r="CD92" s="234"/>
      <c r="CE92" s="234"/>
      <c r="CF92" s="234"/>
      <c r="CG92" s="234"/>
      <c r="CH92" s="234"/>
      <c r="CI92" s="234" t="s">
        <v>0</v>
      </c>
      <c r="CJ92" s="234" t="s">
        <v>1551</v>
      </c>
      <c r="CK92" s="234" t="s">
        <v>1552</v>
      </c>
      <c r="CL92" s="234" t="s">
        <v>1553</v>
      </c>
      <c r="CM92" s="234" t="s">
        <v>1554</v>
      </c>
      <c r="CN92" s="234" t="s">
        <v>1549</v>
      </c>
      <c r="CO92" s="234" t="s">
        <v>1555</v>
      </c>
      <c r="CP92" s="234" t="s">
        <v>1556</v>
      </c>
      <c r="CQ92" s="234" t="s">
        <v>1557</v>
      </c>
      <c r="CR92" s="234" t="s">
        <v>1635</v>
      </c>
      <c r="CS92" s="234" t="s">
        <v>1635</v>
      </c>
      <c r="CT92" s="234" t="s">
        <v>1530</v>
      </c>
      <c r="CU92" s="234" t="s">
        <v>1530</v>
      </c>
      <c r="CV92" s="234" t="s">
        <v>2059</v>
      </c>
      <c r="CW92" s="234" t="s">
        <v>2059</v>
      </c>
      <c r="CX92" s="234" t="s">
        <v>1530</v>
      </c>
      <c r="CY92" s="234" t="s">
        <v>1530</v>
      </c>
      <c r="CZ92" s="234" t="s">
        <v>2059</v>
      </c>
      <c r="DA92" s="234" t="s">
        <v>2059</v>
      </c>
      <c r="DB92" s="234" t="s">
        <v>1530</v>
      </c>
      <c r="DC92" s="234" t="s">
        <v>1530</v>
      </c>
      <c r="DD92" s="234"/>
      <c r="DE92" s="234"/>
      <c r="DF92" s="234"/>
      <c r="DG92" s="234"/>
      <c r="DH92" s="234"/>
      <c r="DI92" s="234" t="s">
        <v>1572</v>
      </c>
      <c r="DJ92" s="234"/>
      <c r="DK92" s="234"/>
      <c r="DL92" s="234"/>
      <c r="DM92" s="234"/>
      <c r="DN92" s="234"/>
      <c r="DO92" s="234"/>
      <c r="DP92" s="234" t="s">
        <v>1560</v>
      </c>
      <c r="DQ92" s="234" t="n">
        <v>0</v>
      </c>
      <c r="DR92" s="234"/>
      <c r="DS92" s="234"/>
      <c r="DT92" s="234"/>
      <c r="DU92" s="234"/>
      <c r="DV92" s="234"/>
      <c r="DW92" s="234"/>
      <c r="DX92" s="234" t="s">
        <v>1561</v>
      </c>
      <c r="DY92" s="234"/>
      <c r="DZ92" s="234"/>
      <c r="EA92" s="234"/>
      <c r="EB92" s="234"/>
      <c r="EC92" s="234"/>
      <c r="ED92" s="234"/>
      <c r="EE92" s="234"/>
      <c r="EF92" s="234"/>
      <c r="EG92" s="234"/>
      <c r="EH92" s="234" t="s">
        <v>1562</v>
      </c>
      <c r="EI92" s="234"/>
      <c r="EJ92" s="234"/>
      <c r="EK92" s="234" t="s">
        <v>1563</v>
      </c>
      <c r="EL92" s="234"/>
      <c r="EM92" s="234" t="s">
        <v>1564</v>
      </c>
      <c r="EN92" s="234" t="s">
        <v>1637</v>
      </c>
      <c r="EO92" s="234" t="s">
        <v>1638</v>
      </c>
      <c r="EP92" s="234" t="s">
        <v>1558</v>
      </c>
      <c r="EQ92" s="234" t="n">
        <v>381.2</v>
      </c>
      <c r="ER92" s="234" t="s">
        <v>1639</v>
      </c>
      <c r="ES92" s="234"/>
      <c r="ET92" s="234"/>
    </row>
    <row r="93" customFormat="false" ht="13.5" hidden="false" customHeight="false" outlineLevel="0" collapsed="false">
      <c r="A93" s="233" t="n">
        <v>45777</v>
      </c>
      <c r="B93" s="234" t="s">
        <v>2068</v>
      </c>
      <c r="C93" s="236" t="s">
        <v>1024</v>
      </c>
      <c r="D93" s="234" t="s">
        <v>897</v>
      </c>
      <c r="E93" s="234" t="s">
        <v>1631</v>
      </c>
      <c r="F93" s="234" t="s">
        <v>898</v>
      </c>
      <c r="G93" s="234" t="s">
        <v>1632</v>
      </c>
      <c r="H93" s="234" t="s">
        <v>1633</v>
      </c>
      <c r="I93" s="234" t="s">
        <v>1524</v>
      </c>
      <c r="J93" s="234" t="s">
        <v>1525</v>
      </c>
      <c r="K93" s="233" t="n">
        <v>45777</v>
      </c>
      <c r="L93" s="234"/>
      <c r="M93" s="234" t="s">
        <v>1526</v>
      </c>
      <c r="N93" s="234" t="n">
        <v>1</v>
      </c>
      <c r="O93" s="234" t="s">
        <v>1527</v>
      </c>
      <c r="P93" s="234" t="s">
        <v>1528</v>
      </c>
      <c r="Q93" s="234" t="s">
        <v>1529</v>
      </c>
      <c r="R93" s="234" t="s">
        <v>1530</v>
      </c>
      <c r="S93" s="234"/>
      <c r="T93" s="234"/>
      <c r="U93" s="234" t="s">
        <v>1527</v>
      </c>
      <c r="V93" s="234"/>
      <c r="W93" s="234" t="s">
        <v>1530</v>
      </c>
      <c r="X93" s="234"/>
      <c r="Y93" s="234"/>
      <c r="Z93" s="234" t="s">
        <v>1572</v>
      </c>
      <c r="AA93" s="234" t="n">
        <v>2117.8</v>
      </c>
      <c r="AB93" s="234" t="n">
        <v>2499</v>
      </c>
      <c r="AC93" s="234" t="n">
        <v>0</v>
      </c>
      <c r="AD93" s="234" t="n">
        <v>0</v>
      </c>
      <c r="AE93" s="234" t="s">
        <v>1399</v>
      </c>
      <c r="AF93" s="234"/>
      <c r="AG93" s="233" t="n">
        <v>45777</v>
      </c>
      <c r="AH93" s="234" t="s">
        <v>1537</v>
      </c>
      <c r="AI93" s="234" t="s">
        <v>1870</v>
      </c>
      <c r="AJ93" s="234" t="s">
        <v>1539</v>
      </c>
      <c r="AK93" s="234"/>
      <c r="AL93" s="234"/>
      <c r="AM93" s="234"/>
      <c r="AN93" s="234"/>
      <c r="AO93" s="234"/>
      <c r="AP93" s="234"/>
      <c r="AQ93" s="234"/>
      <c r="AR93" s="234"/>
      <c r="AS93" s="234"/>
      <c r="AT93" s="234" t="s">
        <v>89</v>
      </c>
      <c r="AU93" s="234" t="s">
        <v>1540</v>
      </c>
      <c r="AV93" s="234" t="n">
        <v>0</v>
      </c>
      <c r="AW93" s="234"/>
      <c r="AX93" s="234"/>
      <c r="AY93" s="234"/>
      <c r="AZ93" s="234"/>
      <c r="BA93" s="234"/>
      <c r="BB93" s="234"/>
      <c r="BC93" s="234"/>
      <c r="BD93" s="234" t="s">
        <v>1541</v>
      </c>
      <c r="BE93" s="235" t="s">
        <v>2069</v>
      </c>
      <c r="BF93" s="234" t="n">
        <v>1</v>
      </c>
      <c r="BG93" s="234" t="s">
        <v>1530</v>
      </c>
      <c r="BH93" s="234" t="s">
        <v>1530</v>
      </c>
      <c r="BI93" s="234" t="n">
        <v>2117.8</v>
      </c>
      <c r="BJ93" s="234" t="s">
        <v>1543</v>
      </c>
      <c r="BK93" s="234" t="n">
        <v>2117.8</v>
      </c>
      <c r="BL93" s="234" t="s">
        <v>1544</v>
      </c>
      <c r="BM93" s="234"/>
      <c r="BN93" s="234"/>
      <c r="BO93" s="234"/>
      <c r="BP93" s="234"/>
      <c r="BQ93" s="234"/>
      <c r="BR93" s="234"/>
      <c r="BS93" s="234"/>
      <c r="BT93" s="234"/>
      <c r="BU93" s="234"/>
      <c r="BV93" s="234"/>
      <c r="BW93" s="234"/>
      <c r="BX93" s="234"/>
      <c r="BY93" s="234"/>
      <c r="BZ93" s="234"/>
      <c r="CA93" s="234"/>
      <c r="CB93" s="234"/>
      <c r="CC93" s="234"/>
      <c r="CD93" s="234"/>
      <c r="CE93" s="234"/>
      <c r="CF93" s="234"/>
      <c r="CG93" s="234"/>
      <c r="CH93" s="234"/>
      <c r="CI93" s="234" t="s">
        <v>0</v>
      </c>
      <c r="CJ93" s="234" t="s">
        <v>1551</v>
      </c>
      <c r="CK93" s="234" t="s">
        <v>1552</v>
      </c>
      <c r="CL93" s="234" t="s">
        <v>1553</v>
      </c>
      <c r="CM93" s="234" t="s">
        <v>1554</v>
      </c>
      <c r="CN93" s="234" t="s">
        <v>1549</v>
      </c>
      <c r="CO93" s="234" t="s">
        <v>1555</v>
      </c>
      <c r="CP93" s="234" t="s">
        <v>1556</v>
      </c>
      <c r="CQ93" s="234" t="s">
        <v>1557</v>
      </c>
      <c r="CR93" s="234" t="s">
        <v>1635</v>
      </c>
      <c r="CS93" s="234" t="s">
        <v>1635</v>
      </c>
      <c r="CT93" s="234" t="s">
        <v>1530</v>
      </c>
      <c r="CU93" s="234" t="s">
        <v>1530</v>
      </c>
      <c r="CV93" s="234" t="s">
        <v>2059</v>
      </c>
      <c r="CW93" s="234" t="s">
        <v>2059</v>
      </c>
      <c r="CX93" s="234" t="s">
        <v>1530</v>
      </c>
      <c r="CY93" s="234" t="s">
        <v>1530</v>
      </c>
      <c r="CZ93" s="234" t="s">
        <v>2059</v>
      </c>
      <c r="DA93" s="234" t="s">
        <v>2059</v>
      </c>
      <c r="DB93" s="234" t="s">
        <v>1530</v>
      </c>
      <c r="DC93" s="234" t="s">
        <v>1530</v>
      </c>
      <c r="DD93" s="234"/>
      <c r="DE93" s="234"/>
      <c r="DF93" s="234"/>
      <c r="DG93" s="234"/>
      <c r="DH93" s="234"/>
      <c r="DI93" s="234" t="s">
        <v>1572</v>
      </c>
      <c r="DJ93" s="234"/>
      <c r="DK93" s="234"/>
      <c r="DL93" s="234"/>
      <c r="DM93" s="234"/>
      <c r="DN93" s="234"/>
      <c r="DO93" s="234"/>
      <c r="DP93" s="234" t="s">
        <v>1560</v>
      </c>
      <c r="DQ93" s="234" t="n">
        <v>0</v>
      </c>
      <c r="DR93" s="234"/>
      <c r="DS93" s="234"/>
      <c r="DT93" s="234"/>
      <c r="DU93" s="234"/>
      <c r="DV93" s="234"/>
      <c r="DW93" s="234"/>
      <c r="DX93" s="234" t="s">
        <v>1561</v>
      </c>
      <c r="DY93" s="234"/>
      <c r="DZ93" s="234"/>
      <c r="EA93" s="234"/>
      <c r="EB93" s="234"/>
      <c r="EC93" s="234"/>
      <c r="ED93" s="234"/>
      <c r="EE93" s="234"/>
      <c r="EF93" s="234"/>
      <c r="EG93" s="234"/>
      <c r="EH93" s="234" t="s">
        <v>1562</v>
      </c>
      <c r="EI93" s="234"/>
      <c r="EJ93" s="234"/>
      <c r="EK93" s="234" t="s">
        <v>1563</v>
      </c>
      <c r="EL93" s="234"/>
      <c r="EM93" s="234" t="s">
        <v>1564</v>
      </c>
      <c r="EN93" s="234" t="s">
        <v>1637</v>
      </c>
      <c r="EO93" s="234" t="s">
        <v>1638</v>
      </c>
      <c r="EP93" s="234" t="s">
        <v>1558</v>
      </c>
      <c r="EQ93" s="234" t="n">
        <v>381.2</v>
      </c>
      <c r="ER93" s="234" t="s">
        <v>1639</v>
      </c>
      <c r="ES93" s="234"/>
      <c r="ET93" s="234"/>
    </row>
    <row r="94" customFormat="false" ht="13.5" hidden="false" customHeight="false" outlineLevel="0" collapsed="false">
      <c r="A94" s="233" t="n">
        <v>45777</v>
      </c>
      <c r="B94" s="234" t="s">
        <v>2070</v>
      </c>
      <c r="C94" s="236" t="s">
        <v>1025</v>
      </c>
      <c r="D94" s="234" t="s">
        <v>897</v>
      </c>
      <c r="E94" s="234" t="s">
        <v>1631</v>
      </c>
      <c r="F94" s="234" t="s">
        <v>898</v>
      </c>
      <c r="G94" s="234" t="s">
        <v>1632</v>
      </c>
      <c r="H94" s="234" t="s">
        <v>1633</v>
      </c>
      <c r="I94" s="234" t="s">
        <v>1524</v>
      </c>
      <c r="J94" s="234" t="s">
        <v>1525</v>
      </c>
      <c r="K94" s="233" t="n">
        <v>45777</v>
      </c>
      <c r="L94" s="234"/>
      <c r="M94" s="234" t="s">
        <v>1526</v>
      </c>
      <c r="N94" s="234" t="n">
        <v>1</v>
      </c>
      <c r="O94" s="234" t="s">
        <v>1527</v>
      </c>
      <c r="P94" s="234" t="s">
        <v>1528</v>
      </c>
      <c r="Q94" s="234" t="s">
        <v>1529</v>
      </c>
      <c r="R94" s="234" t="s">
        <v>1530</v>
      </c>
      <c r="S94" s="234"/>
      <c r="T94" s="234"/>
      <c r="U94" s="234" t="s">
        <v>1527</v>
      </c>
      <c r="V94" s="234"/>
      <c r="W94" s="234" t="s">
        <v>1530</v>
      </c>
      <c r="X94" s="234"/>
      <c r="Y94" s="234"/>
      <c r="Z94" s="234" t="s">
        <v>1572</v>
      </c>
      <c r="AA94" s="234" t="n">
        <v>2117.8</v>
      </c>
      <c r="AB94" s="234" t="n">
        <v>2499</v>
      </c>
      <c r="AC94" s="234" t="n">
        <v>0</v>
      </c>
      <c r="AD94" s="234" t="n">
        <v>0</v>
      </c>
      <c r="AE94" s="234" t="s">
        <v>1399</v>
      </c>
      <c r="AF94" s="234"/>
      <c r="AG94" s="233" t="n">
        <v>45777</v>
      </c>
      <c r="AH94" s="234" t="s">
        <v>1537</v>
      </c>
      <c r="AI94" s="234" t="s">
        <v>1870</v>
      </c>
      <c r="AJ94" s="234" t="s">
        <v>1539</v>
      </c>
      <c r="AK94" s="234"/>
      <c r="AL94" s="234"/>
      <c r="AM94" s="234"/>
      <c r="AN94" s="234"/>
      <c r="AO94" s="234"/>
      <c r="AP94" s="234"/>
      <c r="AQ94" s="234"/>
      <c r="AR94" s="234"/>
      <c r="AS94" s="234"/>
      <c r="AT94" s="234" t="s">
        <v>89</v>
      </c>
      <c r="AU94" s="234" t="s">
        <v>1540</v>
      </c>
      <c r="AV94" s="234" t="n">
        <v>0</v>
      </c>
      <c r="AW94" s="234"/>
      <c r="AX94" s="234"/>
      <c r="AY94" s="234"/>
      <c r="AZ94" s="234"/>
      <c r="BA94" s="234"/>
      <c r="BB94" s="234"/>
      <c r="BC94" s="234"/>
      <c r="BD94" s="234" t="s">
        <v>1541</v>
      </c>
      <c r="BE94" s="235" t="s">
        <v>2071</v>
      </c>
      <c r="BF94" s="234" t="n">
        <v>1</v>
      </c>
      <c r="BG94" s="234" t="s">
        <v>1530</v>
      </c>
      <c r="BH94" s="234" t="s">
        <v>1530</v>
      </c>
      <c r="BI94" s="234" t="n">
        <v>2117.8</v>
      </c>
      <c r="BJ94" s="234" t="s">
        <v>1543</v>
      </c>
      <c r="BK94" s="234" t="n">
        <v>2117.8</v>
      </c>
      <c r="BL94" s="234" t="s">
        <v>1544</v>
      </c>
      <c r="BM94" s="234"/>
      <c r="BN94" s="234"/>
      <c r="BO94" s="234"/>
      <c r="BP94" s="234"/>
      <c r="BQ94" s="234"/>
      <c r="BR94" s="234"/>
      <c r="BS94" s="234"/>
      <c r="BT94" s="234"/>
      <c r="BU94" s="234"/>
      <c r="BV94" s="234"/>
      <c r="BW94" s="234"/>
      <c r="BX94" s="234"/>
      <c r="BY94" s="234"/>
      <c r="BZ94" s="234"/>
      <c r="CA94" s="234"/>
      <c r="CB94" s="234"/>
      <c r="CC94" s="234"/>
      <c r="CD94" s="234"/>
      <c r="CE94" s="234"/>
      <c r="CF94" s="234"/>
      <c r="CG94" s="234"/>
      <c r="CH94" s="234"/>
      <c r="CI94" s="234" t="s">
        <v>0</v>
      </c>
      <c r="CJ94" s="234" t="s">
        <v>1551</v>
      </c>
      <c r="CK94" s="234" t="s">
        <v>1552</v>
      </c>
      <c r="CL94" s="234" t="s">
        <v>1553</v>
      </c>
      <c r="CM94" s="234" t="s">
        <v>1554</v>
      </c>
      <c r="CN94" s="234" t="s">
        <v>1549</v>
      </c>
      <c r="CO94" s="234" t="s">
        <v>1555</v>
      </c>
      <c r="CP94" s="234" t="s">
        <v>1556</v>
      </c>
      <c r="CQ94" s="234" t="s">
        <v>1557</v>
      </c>
      <c r="CR94" s="234" t="s">
        <v>1635</v>
      </c>
      <c r="CS94" s="234" t="s">
        <v>1635</v>
      </c>
      <c r="CT94" s="234" t="s">
        <v>1530</v>
      </c>
      <c r="CU94" s="234" t="s">
        <v>1530</v>
      </c>
      <c r="CV94" s="234" t="s">
        <v>2059</v>
      </c>
      <c r="CW94" s="234" t="s">
        <v>2059</v>
      </c>
      <c r="CX94" s="234" t="s">
        <v>1530</v>
      </c>
      <c r="CY94" s="234" t="s">
        <v>1530</v>
      </c>
      <c r="CZ94" s="234" t="s">
        <v>2059</v>
      </c>
      <c r="DA94" s="234" t="s">
        <v>2059</v>
      </c>
      <c r="DB94" s="234" t="s">
        <v>1530</v>
      </c>
      <c r="DC94" s="234" t="s">
        <v>1530</v>
      </c>
      <c r="DD94" s="234"/>
      <c r="DE94" s="234"/>
      <c r="DF94" s="234"/>
      <c r="DG94" s="234"/>
      <c r="DH94" s="234"/>
      <c r="DI94" s="234" t="s">
        <v>1572</v>
      </c>
      <c r="DJ94" s="234"/>
      <c r="DK94" s="234"/>
      <c r="DL94" s="234"/>
      <c r="DM94" s="234"/>
      <c r="DN94" s="234"/>
      <c r="DO94" s="234"/>
      <c r="DP94" s="234" t="s">
        <v>1560</v>
      </c>
      <c r="DQ94" s="234" t="n">
        <v>0</v>
      </c>
      <c r="DR94" s="234"/>
      <c r="DS94" s="234"/>
      <c r="DT94" s="234"/>
      <c r="DU94" s="234"/>
      <c r="DV94" s="234"/>
      <c r="DW94" s="234"/>
      <c r="DX94" s="234" t="s">
        <v>1561</v>
      </c>
      <c r="DY94" s="234"/>
      <c r="DZ94" s="234"/>
      <c r="EA94" s="234"/>
      <c r="EB94" s="234"/>
      <c r="EC94" s="234"/>
      <c r="ED94" s="234"/>
      <c r="EE94" s="234"/>
      <c r="EF94" s="234"/>
      <c r="EG94" s="234"/>
      <c r="EH94" s="234" t="s">
        <v>1562</v>
      </c>
      <c r="EI94" s="234"/>
      <c r="EJ94" s="234"/>
      <c r="EK94" s="234" t="s">
        <v>1563</v>
      </c>
      <c r="EL94" s="234"/>
      <c r="EM94" s="234" t="s">
        <v>1564</v>
      </c>
      <c r="EN94" s="234" t="s">
        <v>1637</v>
      </c>
      <c r="EO94" s="234" t="s">
        <v>1638</v>
      </c>
      <c r="EP94" s="234" t="s">
        <v>1558</v>
      </c>
      <c r="EQ94" s="234" t="n">
        <v>381.2</v>
      </c>
      <c r="ER94" s="234" t="s">
        <v>1639</v>
      </c>
      <c r="ES94" s="234"/>
      <c r="ET94" s="234"/>
    </row>
    <row r="96" customFormat="false" ht="13.5" hidden="false" customHeight="false" outlineLevel="0" collapsed="false">
      <c r="AA96" s="231" t="n">
        <f aca="false">SUM(AA2:AA94)</f>
        <v>4082644.17</v>
      </c>
      <c r="AB96" s="231" t="n">
        <f aca="false">SUBTOTAL(9,AB1:AB95)</f>
        <v>4744118.13</v>
      </c>
    </row>
    <row r="97" customFormat="false" ht="13.5" hidden="false" customHeight="false" outlineLevel="0" collapsed="false">
      <c r="AA97" s="238"/>
      <c r="AB97" s="231" t="n">
        <v>43956</v>
      </c>
    </row>
    <row r="98" customFormat="false" ht="13.5" hidden="false" customHeight="false" outlineLevel="0" collapsed="false">
      <c r="AA98" s="238"/>
      <c r="AB98" s="231" t="n">
        <f aca="false">AB96-AB97</f>
        <v>4700162.13</v>
      </c>
    </row>
  </sheetData>
  <autoFilter ref="A1:ET94"/>
  <conditionalFormatting sqref="C1:C1048576">
    <cfRule type="duplicateValues" priority="2" aboveAverage="0" equalAverage="0" bottom="0" percent="0" rank="0" text="" dxfId="176"/>
  </conditionalFormatting>
  <conditionalFormatting sqref="F1:F1048576">
    <cfRule type="duplicateValues" priority="3" aboveAverage="0" equalAverage="0" bottom="0" percent="0" rank="0" text="" dxfId="17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3" activeCellId="1" sqref="AC4:AE412 G113"/>
    </sheetView>
  </sheetViews>
  <sheetFormatPr defaultColWidth="8.73046875" defaultRowHeight="13.5" zeroHeight="false" outlineLevelRow="0" outlineLevelCol="0"/>
  <cols>
    <col collapsed="false" customWidth="true" hidden="false" outlineLevel="0" max="1" min="1" style="239" width="54.18"/>
    <col collapsed="false" customWidth="true" hidden="false" outlineLevel="0" max="2" min="2" style="239" width="19.54"/>
    <col collapsed="false" customWidth="true" hidden="false" outlineLevel="0" max="3" min="3" style="239" width="11.18"/>
    <col collapsed="false" customWidth="true" hidden="false" outlineLevel="0" max="4" min="4" style="239" width="9.54"/>
    <col collapsed="false" customWidth="false" hidden="false" outlineLevel="0" max="6" min="5" style="239" width="8.73"/>
    <col collapsed="false" customWidth="true" hidden="false" outlineLevel="0" max="7" min="7" style="239" width="36.9"/>
    <col collapsed="false" customWidth="false" hidden="false" outlineLevel="0" max="16384" min="8" style="239" width="8.73"/>
  </cols>
  <sheetData>
    <row r="1" customFormat="false" ht="13.8" hidden="false" customHeight="false" outlineLevel="0" collapsed="false">
      <c r="A1" s="240" t="s">
        <v>2072</v>
      </c>
      <c r="B1" s="241" t="s">
        <v>2073</v>
      </c>
    </row>
    <row r="2" customFormat="false" ht="13.8" hidden="false" customHeight="false" outlineLevel="0" collapsed="false">
      <c r="A2" s="0"/>
      <c r="B2" s="0"/>
      <c r="G2" s="239" t="s">
        <v>2074</v>
      </c>
    </row>
    <row r="3" customFormat="false" ht="13.8" hidden="false" customHeight="false" outlineLevel="0" collapsed="false">
      <c r="A3" s="242" t="s">
        <v>2075</v>
      </c>
      <c r="B3" s="243" t="s">
        <v>2076</v>
      </c>
      <c r="G3" s="160" t="s">
        <v>193</v>
      </c>
    </row>
    <row r="4" customFormat="false" ht="13.8" hidden="false" customHeight="false" outlineLevel="0" collapsed="false">
      <c r="A4" s="244" t="s">
        <v>2077</v>
      </c>
      <c r="B4" s="245" t="n">
        <v>193564.08</v>
      </c>
      <c r="G4" s="150" t="s">
        <v>427</v>
      </c>
    </row>
    <row r="5" customFormat="false" ht="13.8" hidden="false" customHeight="false" outlineLevel="0" collapsed="false">
      <c r="A5" s="246" t="s">
        <v>2078</v>
      </c>
      <c r="B5" s="247" t="n">
        <v>68564.08</v>
      </c>
      <c r="G5" s="248" t="s">
        <v>448</v>
      </c>
    </row>
    <row r="6" customFormat="false" ht="13.8" hidden="false" customHeight="false" outlineLevel="0" collapsed="false">
      <c r="A6" s="249" t="s">
        <v>2079</v>
      </c>
      <c r="B6" s="250" t="n">
        <v>125000</v>
      </c>
      <c r="C6" s="251" t="n">
        <v>118493.15</v>
      </c>
      <c r="D6" s="252" t="n">
        <f aca="false">B6-C6</f>
        <v>6506.85000000001</v>
      </c>
      <c r="G6" s="161" t="s">
        <v>136</v>
      </c>
    </row>
    <row r="7" customFormat="false" ht="13.8" hidden="false" customHeight="false" outlineLevel="0" collapsed="false">
      <c r="A7" s="244" t="s">
        <v>2080</v>
      </c>
      <c r="B7" s="245" t="n">
        <v>300000</v>
      </c>
      <c r="G7" s="161" t="s">
        <v>145</v>
      </c>
    </row>
    <row r="8" customFormat="false" ht="13.8" hidden="false" customHeight="false" outlineLevel="0" collapsed="false">
      <c r="A8" s="246" t="s">
        <v>2081</v>
      </c>
      <c r="B8" s="247" t="n">
        <v>100000</v>
      </c>
      <c r="G8" s="160" t="s">
        <v>232</v>
      </c>
    </row>
    <row r="9" customFormat="false" ht="13.8" hidden="false" customHeight="false" outlineLevel="0" collapsed="false">
      <c r="A9" s="246" t="s">
        <v>2082</v>
      </c>
      <c r="B9" s="247" t="n">
        <v>50000</v>
      </c>
      <c r="G9" s="145" t="s">
        <v>396</v>
      </c>
    </row>
    <row r="10" customFormat="false" ht="13.8" hidden="false" customHeight="false" outlineLevel="0" collapsed="false">
      <c r="A10" s="246" t="s">
        <v>2083</v>
      </c>
      <c r="B10" s="247" t="n">
        <v>100000</v>
      </c>
      <c r="G10" s="161" t="s">
        <v>170</v>
      </c>
    </row>
    <row r="11" customFormat="false" ht="13.8" hidden="false" customHeight="false" outlineLevel="0" collapsed="false">
      <c r="A11" s="249" t="s">
        <v>2084</v>
      </c>
      <c r="B11" s="250" t="n">
        <v>50000</v>
      </c>
      <c r="G11" s="145" t="s">
        <v>393</v>
      </c>
    </row>
    <row r="12" customFormat="false" ht="13.8" hidden="false" customHeight="false" outlineLevel="0" collapsed="false">
      <c r="A12" s="244" t="s">
        <v>2085</v>
      </c>
      <c r="B12" s="245" t="n">
        <v>165000</v>
      </c>
      <c r="G12" s="160" t="s">
        <v>264</v>
      </c>
    </row>
    <row r="13" customFormat="false" ht="14.25" hidden="false" customHeight="false" outlineLevel="0" collapsed="false">
      <c r="A13" s="246" t="s">
        <v>2086</v>
      </c>
      <c r="B13" s="247" t="n">
        <v>100000</v>
      </c>
      <c r="G13" s="253" t="s">
        <v>943</v>
      </c>
    </row>
    <row r="14" customFormat="false" ht="13.8" hidden="false" customHeight="false" outlineLevel="0" collapsed="false">
      <c r="A14" s="249" t="s">
        <v>2087</v>
      </c>
      <c r="B14" s="250" t="n">
        <v>65000</v>
      </c>
      <c r="G14" s="160" t="s">
        <v>199</v>
      </c>
    </row>
    <row r="15" customFormat="false" ht="13.8" hidden="false" customHeight="false" outlineLevel="0" collapsed="false">
      <c r="A15" s="244" t="s">
        <v>2088</v>
      </c>
      <c r="B15" s="245" t="n">
        <v>11285.68</v>
      </c>
      <c r="G15" s="160" t="s">
        <v>236</v>
      </c>
    </row>
    <row r="16" customFormat="false" ht="13.8" hidden="false" customHeight="false" outlineLevel="0" collapsed="false">
      <c r="A16" s="246" t="s">
        <v>2089</v>
      </c>
      <c r="B16" s="247" t="n">
        <v>100</v>
      </c>
      <c r="G16" s="145" t="s">
        <v>2090</v>
      </c>
    </row>
    <row r="17" customFormat="false" ht="13.8" hidden="false" customHeight="false" outlineLevel="0" collapsed="false">
      <c r="A17" s="249" t="s">
        <v>2091</v>
      </c>
      <c r="B17" s="250" t="n">
        <v>11185.68</v>
      </c>
      <c r="G17" s="150" t="s">
        <v>318</v>
      </c>
    </row>
    <row r="18" customFormat="false" ht="13.8" hidden="false" customHeight="false" outlineLevel="0" collapsed="false">
      <c r="A18" s="244" t="s">
        <v>2092</v>
      </c>
      <c r="B18" s="245" t="n">
        <v>384550</v>
      </c>
      <c r="G18" s="161" t="s">
        <v>172</v>
      </c>
    </row>
    <row r="19" customFormat="false" ht="13.8" hidden="false" customHeight="false" outlineLevel="0" collapsed="false">
      <c r="A19" s="249" t="s">
        <v>2093</v>
      </c>
      <c r="B19" s="250" t="n">
        <v>384550</v>
      </c>
      <c r="C19" s="239" t="n">
        <f aca="false">128450-117745.83+10469.9+10677.53</f>
        <v>31851.6</v>
      </c>
      <c r="G19" s="145" t="s">
        <v>418</v>
      </c>
    </row>
    <row r="20" customFormat="false" ht="13.8" hidden="false" customHeight="false" outlineLevel="0" collapsed="false">
      <c r="A20" s="244" t="s">
        <v>2094</v>
      </c>
      <c r="B20" s="245" t="n">
        <v>37365.8</v>
      </c>
      <c r="G20" s="160" t="s">
        <v>205</v>
      </c>
    </row>
    <row r="21" customFormat="false" ht="13.8" hidden="false" customHeight="false" outlineLevel="0" collapsed="false">
      <c r="A21" s="246" t="s">
        <v>2095</v>
      </c>
      <c r="B21" s="247" t="n">
        <v>9956.86</v>
      </c>
      <c r="G21" s="161" t="s">
        <v>120</v>
      </c>
    </row>
    <row r="22" customFormat="false" ht="13.8" hidden="false" customHeight="false" outlineLevel="0" collapsed="false">
      <c r="A22" s="249" t="s">
        <v>2096</v>
      </c>
      <c r="B22" s="250" t="n">
        <v>27408.94</v>
      </c>
      <c r="G22" s="145" t="s">
        <v>401</v>
      </c>
    </row>
    <row r="23" customFormat="false" ht="13.8" hidden="false" customHeight="false" outlineLevel="0" collapsed="false">
      <c r="A23" s="244" t="s">
        <v>2097</v>
      </c>
      <c r="B23" s="245" t="n">
        <v>17028</v>
      </c>
      <c r="G23" s="160" t="s">
        <v>247</v>
      </c>
    </row>
    <row r="24" customFormat="false" ht="13.8" hidden="false" customHeight="false" outlineLevel="0" collapsed="false">
      <c r="A24" s="246" t="s">
        <v>2083</v>
      </c>
      <c r="B24" s="247" t="n">
        <v>14456</v>
      </c>
      <c r="G24" s="160" t="s">
        <v>243</v>
      </c>
    </row>
    <row r="25" customFormat="false" ht="23.85" hidden="false" customHeight="false" outlineLevel="0" collapsed="false">
      <c r="A25" s="249" t="s">
        <v>2084</v>
      </c>
      <c r="B25" s="250" t="n">
        <v>2572</v>
      </c>
      <c r="G25" s="150" t="s">
        <v>397</v>
      </c>
    </row>
    <row r="26" customFormat="false" ht="13.8" hidden="false" customHeight="false" outlineLevel="0" collapsed="false">
      <c r="A26" s="244" t="s">
        <v>2098</v>
      </c>
      <c r="B26" s="245" t="n">
        <v>40245</v>
      </c>
      <c r="G26" s="161" t="s">
        <v>189</v>
      </c>
    </row>
    <row r="27" customFormat="false" ht="13.8" hidden="false" customHeight="false" outlineLevel="0" collapsed="false">
      <c r="A27" s="249" t="s">
        <v>2099</v>
      </c>
      <c r="B27" s="250" t="n">
        <v>40245</v>
      </c>
      <c r="G27" s="160" t="s">
        <v>215</v>
      </c>
    </row>
    <row r="28" customFormat="false" ht="13.8" hidden="false" customHeight="false" outlineLevel="0" collapsed="false">
      <c r="A28" s="81" t="s">
        <v>75</v>
      </c>
      <c r="B28" s="254" t="n">
        <v>1149038.56</v>
      </c>
      <c r="G28" s="161" t="s">
        <v>162</v>
      </c>
    </row>
    <row r="29" customFormat="false" ht="13.8" hidden="false" customHeight="false" outlineLevel="0" collapsed="false">
      <c r="G29" s="160" t="s">
        <v>211</v>
      </c>
    </row>
    <row r="30" customFormat="false" ht="13.8" hidden="false" customHeight="false" outlineLevel="0" collapsed="false">
      <c r="G30" s="161" t="s">
        <v>181</v>
      </c>
    </row>
    <row r="31" customFormat="false" ht="13.8" hidden="false" customHeight="false" outlineLevel="0" collapsed="false">
      <c r="G31" s="161" t="s">
        <v>138</v>
      </c>
    </row>
    <row r="32" customFormat="false" ht="13.8" hidden="false" customHeight="false" outlineLevel="0" collapsed="false">
      <c r="G32" s="150" t="s">
        <v>460</v>
      </c>
    </row>
    <row r="33" customFormat="false" ht="13.8" hidden="false" customHeight="false" outlineLevel="0" collapsed="false">
      <c r="G33" s="160" t="s">
        <v>281</v>
      </c>
    </row>
    <row r="34" customFormat="false" ht="13.8" hidden="false" customHeight="false" outlineLevel="0" collapsed="false">
      <c r="G34" s="160" t="s">
        <v>275</v>
      </c>
    </row>
    <row r="35" customFormat="false" ht="13.8" hidden="false" customHeight="false" outlineLevel="0" collapsed="false">
      <c r="G35" s="145" t="s">
        <v>2100</v>
      </c>
    </row>
    <row r="36" customFormat="false" ht="13.8" hidden="false" customHeight="false" outlineLevel="0" collapsed="false">
      <c r="G36" s="150" t="s">
        <v>429</v>
      </c>
    </row>
    <row r="37" customFormat="false" ht="13.8" hidden="false" customHeight="false" outlineLevel="0" collapsed="false">
      <c r="G37" s="145" t="s">
        <v>423</v>
      </c>
    </row>
    <row r="38" customFormat="false" ht="13.8" hidden="false" customHeight="false" outlineLevel="0" collapsed="false">
      <c r="G38" s="160" t="s">
        <v>256</v>
      </c>
    </row>
    <row r="39" customFormat="false" ht="13.8" hidden="false" customHeight="false" outlineLevel="0" collapsed="false">
      <c r="G39" s="160" t="s">
        <v>267</v>
      </c>
    </row>
    <row r="40" customFormat="false" ht="13.8" hidden="false" customHeight="false" outlineLevel="0" collapsed="false">
      <c r="G40" s="145" t="s">
        <v>410</v>
      </c>
    </row>
    <row r="41" customFormat="false" ht="13.8" hidden="false" customHeight="false" outlineLevel="0" collapsed="false">
      <c r="G41" s="160" t="s">
        <v>219</v>
      </c>
    </row>
    <row r="42" customFormat="false" ht="13.8" hidden="false" customHeight="false" outlineLevel="0" collapsed="false">
      <c r="G42" s="161" t="s">
        <v>152</v>
      </c>
    </row>
    <row r="43" customFormat="false" ht="13.8" hidden="false" customHeight="false" outlineLevel="0" collapsed="false">
      <c r="G43" s="255" t="s">
        <v>1008</v>
      </c>
    </row>
    <row r="44" customFormat="false" ht="13.8" hidden="false" customHeight="false" outlineLevel="0" collapsed="false">
      <c r="G44" s="145" t="s">
        <v>408</v>
      </c>
    </row>
    <row r="45" customFormat="false" ht="13.8" hidden="false" customHeight="false" outlineLevel="0" collapsed="false">
      <c r="G45" s="145" t="s">
        <v>442</v>
      </c>
    </row>
    <row r="46" customFormat="false" ht="13.8" hidden="false" customHeight="false" outlineLevel="0" collapsed="false">
      <c r="G46" s="161" t="s">
        <v>168</v>
      </c>
    </row>
    <row r="47" customFormat="false" ht="13.8" hidden="false" customHeight="false" outlineLevel="0" collapsed="false">
      <c r="G47" s="145" t="s">
        <v>388</v>
      </c>
    </row>
    <row r="48" customFormat="false" ht="13.8" hidden="false" customHeight="false" outlineLevel="0" collapsed="false">
      <c r="G48" s="160" t="s">
        <v>207</v>
      </c>
    </row>
    <row r="49" customFormat="false" ht="13.8" hidden="false" customHeight="false" outlineLevel="0" collapsed="false">
      <c r="G49" s="160" t="s">
        <v>260</v>
      </c>
    </row>
    <row r="50" customFormat="false" ht="13.8" hidden="false" customHeight="false" outlineLevel="0" collapsed="false">
      <c r="G50" s="160" t="s">
        <v>269</v>
      </c>
    </row>
    <row r="51" customFormat="false" ht="13.8" hidden="false" customHeight="false" outlineLevel="0" collapsed="false">
      <c r="G51" s="161" t="s">
        <v>142</v>
      </c>
    </row>
    <row r="52" customFormat="false" ht="13.8" hidden="false" customHeight="false" outlineLevel="0" collapsed="false">
      <c r="G52" s="160" t="s">
        <v>258</v>
      </c>
    </row>
    <row r="53" customFormat="false" ht="13.8" hidden="false" customHeight="false" outlineLevel="0" collapsed="false">
      <c r="G53" s="150" t="s">
        <v>383</v>
      </c>
    </row>
    <row r="54" customFormat="false" ht="13.8" hidden="false" customHeight="false" outlineLevel="0" collapsed="false">
      <c r="G54" s="161" t="s">
        <v>125</v>
      </c>
    </row>
    <row r="55" customFormat="false" ht="13.8" hidden="false" customHeight="false" outlineLevel="0" collapsed="false">
      <c r="G55" s="178" t="s">
        <v>227</v>
      </c>
    </row>
    <row r="56" customFormat="false" ht="13.8" hidden="false" customHeight="false" outlineLevel="0" collapsed="false">
      <c r="G56" s="160" t="s">
        <v>278</v>
      </c>
    </row>
    <row r="57" customFormat="false" ht="13.8" hidden="false" customHeight="false" outlineLevel="0" collapsed="false">
      <c r="G57" s="160" t="s">
        <v>223</v>
      </c>
    </row>
    <row r="58" customFormat="false" ht="13.8" hidden="false" customHeight="false" outlineLevel="0" collapsed="false">
      <c r="G58" s="145" t="s">
        <v>451</v>
      </c>
    </row>
    <row r="59" customFormat="false" ht="13.8" hidden="false" customHeight="false" outlineLevel="0" collapsed="false">
      <c r="G59" s="161" t="s">
        <v>164</v>
      </c>
    </row>
    <row r="60" customFormat="false" ht="13.8" hidden="false" customHeight="false" outlineLevel="0" collapsed="false">
      <c r="G60" s="150" t="s">
        <v>483</v>
      </c>
    </row>
    <row r="61" customFormat="false" ht="13.8" hidden="false" customHeight="false" outlineLevel="0" collapsed="false">
      <c r="G61" s="145" t="s">
        <v>420</v>
      </c>
    </row>
    <row r="62" customFormat="false" ht="13.8" hidden="false" customHeight="false" outlineLevel="0" collapsed="false">
      <c r="G62" s="145" t="s">
        <v>488</v>
      </c>
    </row>
    <row r="63" customFormat="false" ht="13.8" hidden="false" customHeight="false" outlineLevel="0" collapsed="false">
      <c r="G63" s="150" t="s">
        <v>455</v>
      </c>
    </row>
    <row r="64" customFormat="false" ht="13.8" hidden="false" customHeight="false" outlineLevel="0" collapsed="false">
      <c r="G64" s="145" t="s">
        <v>2101</v>
      </c>
    </row>
    <row r="65" customFormat="false" ht="13.8" hidden="false" customHeight="false" outlineLevel="0" collapsed="false">
      <c r="G65" s="150" t="s">
        <v>2102</v>
      </c>
    </row>
    <row r="66" customFormat="false" ht="13.8" hidden="false" customHeight="false" outlineLevel="0" collapsed="false">
      <c r="G66" s="150" t="s">
        <v>431</v>
      </c>
    </row>
    <row r="67" customFormat="false" ht="13.8" hidden="false" customHeight="false" outlineLevel="0" collapsed="false">
      <c r="G67" s="145" t="s">
        <v>414</v>
      </c>
    </row>
    <row r="68" customFormat="false" ht="13.8" hidden="false" customHeight="false" outlineLevel="0" collapsed="false">
      <c r="G68" s="150" t="s">
        <v>2103</v>
      </c>
    </row>
    <row r="69" customFormat="false" ht="13.8" hidden="false" customHeight="false" outlineLevel="0" collapsed="false">
      <c r="G69" s="150" t="s">
        <v>2104</v>
      </c>
    </row>
    <row r="70" customFormat="false" ht="13.8" hidden="false" customHeight="false" outlineLevel="0" collapsed="false">
      <c r="G70" s="150" t="s">
        <v>434</v>
      </c>
    </row>
    <row r="71" customFormat="false" ht="13.8" hidden="false" customHeight="false" outlineLevel="0" collapsed="false">
      <c r="G71" s="161" t="s">
        <v>191</v>
      </c>
    </row>
    <row r="72" customFormat="false" ht="13.8" hidden="false" customHeight="false" outlineLevel="0" collapsed="false">
      <c r="G72" s="160" t="s">
        <v>262</v>
      </c>
    </row>
    <row r="73" customFormat="false" ht="13.8" hidden="false" customHeight="false" outlineLevel="0" collapsed="false">
      <c r="G73" s="145" t="s">
        <v>405</v>
      </c>
    </row>
    <row r="74" customFormat="false" ht="13.8" hidden="false" customHeight="false" outlineLevel="0" collapsed="false">
      <c r="G74" s="150" t="s">
        <v>462</v>
      </c>
    </row>
    <row r="75" customFormat="false" ht="13.8" hidden="false" customHeight="false" outlineLevel="0" collapsed="false">
      <c r="G75" s="160" t="s">
        <v>273</v>
      </c>
    </row>
    <row r="76" customFormat="false" ht="13.8" hidden="false" customHeight="false" outlineLevel="0" collapsed="false">
      <c r="G76" s="160" t="s">
        <v>254</v>
      </c>
    </row>
    <row r="77" customFormat="false" ht="13.8" hidden="false" customHeight="false" outlineLevel="0" collapsed="false">
      <c r="G77" s="160" t="s">
        <v>230</v>
      </c>
    </row>
    <row r="78" customFormat="false" ht="13.8" hidden="false" customHeight="false" outlineLevel="0" collapsed="false">
      <c r="G78" s="160" t="s">
        <v>201</v>
      </c>
    </row>
    <row r="79" customFormat="false" ht="13.8" hidden="false" customHeight="false" outlineLevel="0" collapsed="false">
      <c r="G79" s="160" t="s">
        <v>238</v>
      </c>
    </row>
    <row r="80" customFormat="false" ht="13.8" hidden="false" customHeight="false" outlineLevel="0" collapsed="false">
      <c r="G80" s="150" t="s">
        <v>386</v>
      </c>
    </row>
    <row r="81" customFormat="false" ht="13.8" hidden="false" customHeight="false" outlineLevel="0" collapsed="false">
      <c r="G81" s="161" t="s">
        <v>154</v>
      </c>
    </row>
    <row r="82" customFormat="false" ht="13.8" hidden="false" customHeight="false" outlineLevel="0" collapsed="false">
      <c r="G82" s="161" t="s">
        <v>184</v>
      </c>
    </row>
    <row r="83" customFormat="false" ht="13.8" hidden="false" customHeight="false" outlineLevel="0" collapsed="false">
      <c r="G83" s="161" t="s">
        <v>147</v>
      </c>
    </row>
    <row r="84" customFormat="false" ht="13.8" hidden="false" customHeight="false" outlineLevel="0" collapsed="false">
      <c r="G84" s="161" t="s">
        <v>174</v>
      </c>
    </row>
    <row r="85" customFormat="false" ht="13.8" hidden="false" customHeight="false" outlineLevel="0" collapsed="false">
      <c r="G85" s="145" t="s">
        <v>416</v>
      </c>
    </row>
    <row r="86" customFormat="false" ht="13.8" hidden="false" customHeight="false" outlineLevel="0" collapsed="false">
      <c r="G86" s="160" t="s">
        <v>197</v>
      </c>
    </row>
    <row r="87" customFormat="false" ht="13.8" hidden="false" customHeight="false" outlineLevel="0" collapsed="false">
      <c r="G87" s="160" t="s">
        <v>195</v>
      </c>
    </row>
    <row r="88" customFormat="false" ht="13.8" hidden="false" customHeight="false" outlineLevel="0" collapsed="false">
      <c r="G88" s="160" t="s">
        <v>213</v>
      </c>
    </row>
    <row r="89" customFormat="false" ht="13.8" hidden="false" customHeight="false" outlineLevel="0" collapsed="false">
      <c r="G89" s="160" t="s">
        <v>225</v>
      </c>
    </row>
    <row r="90" customFormat="false" ht="13.8" hidden="false" customHeight="false" outlineLevel="0" collapsed="false">
      <c r="G90" s="150" t="s">
        <v>425</v>
      </c>
    </row>
    <row r="91" customFormat="false" ht="13.8" hidden="false" customHeight="false" outlineLevel="0" collapsed="false">
      <c r="G91" s="160" t="s">
        <v>271</v>
      </c>
    </row>
    <row r="92" customFormat="false" ht="13.8" hidden="false" customHeight="false" outlineLevel="0" collapsed="false">
      <c r="G92" s="160" t="s">
        <v>241</v>
      </c>
    </row>
    <row r="93" customFormat="false" ht="13.8" hidden="false" customHeight="false" outlineLevel="0" collapsed="false">
      <c r="G93" s="150" t="s">
        <v>458</v>
      </c>
    </row>
    <row r="94" customFormat="false" ht="13.8" hidden="false" customHeight="false" outlineLevel="0" collapsed="false">
      <c r="G94" s="161" t="s">
        <v>179</v>
      </c>
    </row>
    <row r="95" customFormat="false" ht="13.8" hidden="false" customHeight="false" outlineLevel="0" collapsed="false">
      <c r="G95" s="150" t="s">
        <v>436</v>
      </c>
    </row>
    <row r="96" customFormat="false" ht="13.8" hidden="false" customHeight="false" outlineLevel="0" collapsed="false">
      <c r="G96" s="230" t="s">
        <v>209</v>
      </c>
    </row>
    <row r="97" customFormat="false" ht="13.8" hidden="false" customHeight="false" outlineLevel="0" collapsed="false">
      <c r="G97" s="160" t="s">
        <v>245</v>
      </c>
    </row>
    <row r="98" customFormat="false" ht="13.8" hidden="false" customHeight="false" outlineLevel="0" collapsed="false">
      <c r="G98" s="160" t="s">
        <v>249</v>
      </c>
    </row>
    <row r="99" customFormat="false" ht="13.8" hidden="false" customHeight="false" outlineLevel="0" collapsed="false">
      <c r="G99" s="160" t="s">
        <v>217</v>
      </c>
    </row>
    <row r="100" customFormat="false" ht="13.8" hidden="false" customHeight="false" outlineLevel="0" collapsed="false">
      <c r="G100" s="145" t="s">
        <v>2105</v>
      </c>
    </row>
    <row r="101" customFormat="false" ht="13.8" hidden="false" customHeight="false" outlineLevel="0" collapsed="false">
      <c r="G101" s="160" t="s">
        <v>203</v>
      </c>
    </row>
    <row r="102" customFormat="false" ht="13.8" hidden="false" customHeight="false" outlineLevel="0" collapsed="false">
      <c r="G102" s="160" t="s">
        <v>284</v>
      </c>
    </row>
    <row r="103" customFormat="false" ht="13.8" hidden="false" customHeight="false" outlineLevel="0" collapsed="false">
      <c r="G103" s="160" t="s">
        <v>252</v>
      </c>
    </row>
    <row r="104" customFormat="false" ht="13.8" hidden="false" customHeight="false" outlineLevel="0" collapsed="false">
      <c r="G104" s="161" t="s">
        <v>157</v>
      </c>
    </row>
    <row r="105" customFormat="false" ht="13.8" hidden="false" customHeight="false" outlineLevel="0" collapsed="false">
      <c r="G105" s="161" t="s">
        <v>999</v>
      </c>
    </row>
    <row r="106" customFormat="false" ht="13.8" hidden="false" customHeight="false" outlineLevel="0" collapsed="false">
      <c r="G106" s="145" t="s">
        <v>2106</v>
      </c>
    </row>
    <row r="107" customFormat="false" ht="13.8" hidden="false" customHeight="false" outlineLevel="0" collapsed="false">
      <c r="G107" s="161" t="s">
        <v>116</v>
      </c>
    </row>
    <row r="108" customFormat="false" ht="13.8" hidden="false" customHeight="false" outlineLevel="0" collapsed="false">
      <c r="G108" s="161" t="s">
        <v>130</v>
      </c>
    </row>
    <row r="109" customFormat="false" ht="13.8" hidden="false" customHeight="false" outlineLevel="0" collapsed="false">
      <c r="G109" s="145" t="s">
        <v>2107</v>
      </c>
    </row>
    <row r="110" customFormat="false" ht="13.8" hidden="false" customHeight="false" outlineLevel="0" collapsed="false">
      <c r="G110" s="161" t="s">
        <v>133</v>
      </c>
    </row>
    <row r="111" customFormat="false" ht="13.8" hidden="false" customHeight="false" outlineLevel="0" collapsed="false">
      <c r="G111" s="161" t="s">
        <v>140</v>
      </c>
    </row>
    <row r="112" customFormat="false" ht="13.8" hidden="false" customHeight="false" outlineLevel="0" collapsed="false">
      <c r="G112" s="161" t="s">
        <v>127</v>
      </c>
    </row>
    <row r="113" customFormat="false" ht="13.8" hidden="false" customHeight="false" outlineLevel="0" collapsed="false">
      <c r="G113" s="161" t="s">
        <v>149</v>
      </c>
    </row>
    <row r="114" customFormat="false" ht="13.8" hidden="false" customHeight="false" outlineLevel="0" collapsed="false">
      <c r="G114" s="161" t="s">
        <v>166</v>
      </c>
    </row>
    <row r="115" customFormat="false" ht="13.8" hidden="false" customHeight="false" outlineLevel="0" collapsed="false">
      <c r="G115" s="161" t="s">
        <v>122</v>
      </c>
    </row>
    <row r="116" customFormat="false" ht="13.8" hidden="false" customHeight="false" outlineLevel="0" collapsed="false">
      <c r="G116" s="150" t="s">
        <v>2108</v>
      </c>
    </row>
    <row r="117" customFormat="false" ht="13.8" hidden="false" customHeight="false" outlineLevel="0" collapsed="false">
      <c r="G117" s="150" t="s">
        <v>506</v>
      </c>
    </row>
    <row r="118" customFormat="false" ht="13.8" hidden="false" customHeight="false" outlineLevel="0" collapsed="false">
      <c r="G118" s="161" t="s">
        <v>159</v>
      </c>
    </row>
    <row r="119" customFormat="false" ht="13.8" hidden="false" customHeight="false" outlineLevel="0" collapsed="false">
      <c r="G119" s="145" t="s">
        <v>399</v>
      </c>
    </row>
    <row r="120" customFormat="false" ht="13.8" hidden="false" customHeight="false" outlineLevel="0" collapsed="false">
      <c r="G120" s="256" t="s">
        <v>187</v>
      </c>
    </row>
    <row r="121" customFormat="false" ht="13.8" hidden="false" customHeight="false" outlineLevel="0" collapsed="false">
      <c r="G121" s="160" t="s">
        <v>221</v>
      </c>
    </row>
    <row r="122" customFormat="false" ht="14.25" hidden="false" customHeight="false" outlineLevel="0" collapsed="false"/>
    <row r="123" customFormat="false" ht="14.25" hidden="false" customHeight="false" outlineLevel="0" collapsed="false"/>
    <row r="124" customFormat="false" ht="14.25" hidden="false" customHeight="false" outlineLevel="0" collapsed="false"/>
  </sheetData>
  <autoFilter ref="G2:G77"/>
  <conditionalFormatting sqref="G78:G121">
    <cfRule type="duplicateValues" priority="2" aboveAverage="0" equalAverage="0" bottom="0" percent="0" rank="0" text="" dxfId="178"/>
  </conditionalFormatting>
  <conditionalFormatting sqref="G3:G77">
    <cfRule type="duplicateValues" priority="3" aboveAverage="0" equalAverage="0" bottom="0" percent="0" rank="0" text="" dxfId="179"/>
  </conditionalFormatting>
  <conditionalFormatting sqref="G3:G121">
    <cfRule type="duplicateValues" priority="4" aboveAverage="0" equalAverage="0" bottom="0" percent="0" rank="0" text="" dxfId="180"/>
  </conditionalFormatting>
  <hyperlinks>
    <hyperlink ref="G43" r:id="rId2" location="/contacts/2297152000000117207" display="IC Lega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N83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I1" activeCellId="1" sqref="AC4:AE412 AI1"/>
    </sheetView>
  </sheetViews>
  <sheetFormatPr defaultColWidth="8.73046875" defaultRowHeight="13.5" zeroHeight="false" outlineLevelRow="0" outlineLevelCol="0"/>
  <cols>
    <col collapsed="false" customWidth="true" hidden="false" outlineLevel="0" max="1" min="1" style="257" width="10.09"/>
    <col collapsed="false" customWidth="true" hidden="false" outlineLevel="0" max="2" min="2" style="239" width="10.09"/>
    <col collapsed="false" customWidth="true" hidden="false" outlineLevel="0" max="3" min="3" style="239" width="11.82"/>
    <col collapsed="false" customWidth="false" hidden="false" outlineLevel="0" max="4" min="4" style="257" width="8.73"/>
    <col collapsed="false" customWidth="false" hidden="false" outlineLevel="0" max="11" min="5" style="239" width="8.73"/>
    <col collapsed="false" customWidth="false" hidden="false" outlineLevel="0" max="12" min="12" style="257" width="8.73"/>
    <col collapsed="false" customWidth="false" hidden="false" outlineLevel="0" max="13" min="13" style="239" width="8.73"/>
    <col collapsed="false" customWidth="true" hidden="true" outlineLevel="0" max="28" min="14" style="239" width="10.16"/>
    <col collapsed="false" customWidth="false" hidden="false" outlineLevel="0" max="29" min="29" style="257" width="8.73"/>
    <col collapsed="false" customWidth="false" hidden="false" outlineLevel="0" max="16384" min="30" style="239" width="8.73"/>
  </cols>
  <sheetData>
    <row r="1" customFormat="false" ht="13.5" hidden="false" customHeight="false" outlineLevel="0" collapsed="false">
      <c r="A1" s="257" t="s">
        <v>2072</v>
      </c>
      <c r="B1" s="239" t="s">
        <v>1381</v>
      </c>
      <c r="C1" s="239" t="s">
        <v>2109</v>
      </c>
      <c r="D1" s="257" t="s">
        <v>2110</v>
      </c>
      <c r="E1" s="239" t="s">
        <v>1388</v>
      </c>
      <c r="F1" s="239" t="s">
        <v>1403</v>
      </c>
      <c r="G1" s="239" t="s">
        <v>1404</v>
      </c>
      <c r="H1" s="239" t="s">
        <v>2111</v>
      </c>
      <c r="I1" s="239" t="s">
        <v>1382</v>
      </c>
      <c r="J1" s="239" t="s">
        <v>1383</v>
      </c>
      <c r="K1" s="239" t="s">
        <v>1384</v>
      </c>
      <c r="L1" s="257" t="s">
        <v>1397</v>
      </c>
      <c r="M1" s="239" t="s">
        <v>51</v>
      </c>
      <c r="N1" s="239" t="s">
        <v>1398</v>
      </c>
      <c r="O1" s="239" t="s">
        <v>1414</v>
      </c>
      <c r="P1" s="239" t="s">
        <v>2112</v>
      </c>
      <c r="Q1" s="239" t="s">
        <v>1406</v>
      </c>
      <c r="R1" s="239" t="s">
        <v>1399</v>
      </c>
      <c r="S1" s="239" t="s">
        <v>1400</v>
      </c>
      <c r="T1" s="239" t="s">
        <v>1380</v>
      </c>
      <c r="U1" s="239" t="s">
        <v>2113</v>
      </c>
      <c r="V1" s="239" t="s">
        <v>2114</v>
      </c>
      <c r="W1" s="239" t="s">
        <v>2115</v>
      </c>
      <c r="X1" s="239" t="s">
        <v>2116</v>
      </c>
      <c r="Y1" s="239" t="s">
        <v>2117</v>
      </c>
      <c r="Z1" s="239" t="s">
        <v>2118</v>
      </c>
      <c r="AA1" s="239" t="s">
        <v>1433</v>
      </c>
      <c r="AB1" s="239" t="s">
        <v>1425</v>
      </c>
      <c r="AC1" s="257" t="s">
        <v>1510</v>
      </c>
      <c r="AD1" s="239" t="s">
        <v>1511</v>
      </c>
      <c r="AE1" s="239" t="s">
        <v>2119</v>
      </c>
      <c r="AF1" s="239" t="s">
        <v>1427</v>
      </c>
      <c r="AG1" s="239" t="s">
        <v>1431</v>
      </c>
      <c r="AH1" s="239" t="s">
        <v>2120</v>
      </c>
      <c r="AI1" s="239" t="s">
        <v>1430</v>
      </c>
      <c r="AJ1" s="239" t="s">
        <v>2121</v>
      </c>
      <c r="AK1" s="239" t="s">
        <v>1505</v>
      </c>
      <c r="AL1" s="239" t="s">
        <v>2122</v>
      </c>
      <c r="AM1" s="239" t="s">
        <v>2123</v>
      </c>
      <c r="AN1" s="239" t="s">
        <v>1379</v>
      </c>
      <c r="AO1" s="239" t="s">
        <v>1485</v>
      </c>
      <c r="AP1" s="239" t="s">
        <v>1391</v>
      </c>
      <c r="AQ1" s="239" t="s">
        <v>2124</v>
      </c>
      <c r="AR1" s="239" t="s">
        <v>1392</v>
      </c>
      <c r="AS1" s="239" t="s">
        <v>1393</v>
      </c>
      <c r="AT1" s="239" t="s">
        <v>1394</v>
      </c>
      <c r="AU1" s="239" t="s">
        <v>1395</v>
      </c>
      <c r="AV1" s="239" t="s">
        <v>1396</v>
      </c>
      <c r="AW1" s="239" t="s">
        <v>1389</v>
      </c>
      <c r="AX1" s="239" t="s">
        <v>1390</v>
      </c>
      <c r="AY1" s="239" t="s">
        <v>1486</v>
      </c>
      <c r="AZ1" s="239" t="s">
        <v>2125</v>
      </c>
      <c r="BA1" s="239" t="s">
        <v>1385</v>
      </c>
      <c r="BB1" s="239" t="s">
        <v>1386</v>
      </c>
      <c r="BC1" s="239" t="s">
        <v>1428</v>
      </c>
      <c r="BD1" s="239" t="s">
        <v>1429</v>
      </c>
      <c r="BE1" s="239" t="s">
        <v>1489</v>
      </c>
      <c r="BF1" s="239" t="s">
        <v>2126</v>
      </c>
      <c r="BG1" s="239" t="s">
        <v>1513</v>
      </c>
      <c r="BH1" s="239" t="s">
        <v>2127</v>
      </c>
      <c r="BI1" s="239" t="s">
        <v>2128</v>
      </c>
      <c r="BJ1" s="239" t="s">
        <v>2129</v>
      </c>
      <c r="BK1" s="239" t="s">
        <v>1480</v>
      </c>
      <c r="BL1" s="239" t="s">
        <v>1481</v>
      </c>
      <c r="BM1" s="239" t="s">
        <v>1482</v>
      </c>
      <c r="BN1" s="239" t="s">
        <v>1483</v>
      </c>
      <c r="BO1" s="239" t="s">
        <v>1484</v>
      </c>
      <c r="BP1" s="239" t="s">
        <v>2130</v>
      </c>
      <c r="BQ1" s="239" t="s">
        <v>1497</v>
      </c>
      <c r="BR1" s="239" t="s">
        <v>1477</v>
      </c>
      <c r="BS1" s="239" t="s">
        <v>1478</v>
      </c>
      <c r="BT1" s="239" t="s">
        <v>1479</v>
      </c>
      <c r="BU1" s="239" t="s">
        <v>1512</v>
      </c>
      <c r="BV1" s="239" t="s">
        <v>2131</v>
      </c>
      <c r="BW1" s="239" t="s">
        <v>1416</v>
      </c>
      <c r="BX1" s="239" t="s">
        <v>2132</v>
      </c>
      <c r="BY1" s="239" t="s">
        <v>2133</v>
      </c>
      <c r="BZ1" s="239" t="s">
        <v>2134</v>
      </c>
      <c r="CA1" s="239" t="s">
        <v>88</v>
      </c>
      <c r="CB1" s="239" t="s">
        <v>1488</v>
      </c>
      <c r="CC1" s="239" t="s">
        <v>1465</v>
      </c>
      <c r="CD1" s="239" t="s">
        <v>1466</v>
      </c>
      <c r="CE1" s="239" t="s">
        <v>1467</v>
      </c>
      <c r="CF1" s="239" t="s">
        <v>1468</v>
      </c>
      <c r="CG1" s="239" t="s">
        <v>1469</v>
      </c>
      <c r="CH1" s="239" t="s">
        <v>1470</v>
      </c>
      <c r="CI1" s="239" t="s">
        <v>1471</v>
      </c>
      <c r="CJ1" s="239" t="s">
        <v>1472</v>
      </c>
      <c r="CK1" s="239" t="s">
        <v>1473</v>
      </c>
      <c r="CL1" s="239" t="s">
        <v>1474</v>
      </c>
      <c r="CM1" s="239" t="s">
        <v>1475</v>
      </c>
      <c r="CN1" s="239" t="s">
        <v>1476</v>
      </c>
    </row>
    <row r="2" customFormat="false" ht="13.5" hidden="false" customHeight="false" outlineLevel="0" collapsed="false">
      <c r="A2" s="258" t="n">
        <v>45734</v>
      </c>
      <c r="B2" s="258" t="n">
        <v>45734</v>
      </c>
      <c r="C2" s="239" t="n">
        <v>2.29715200000003E+018</v>
      </c>
      <c r="D2" s="239" t="s">
        <v>2135</v>
      </c>
      <c r="E2" s="239" t="n">
        <v>0</v>
      </c>
      <c r="F2" s="239" t="n">
        <v>0</v>
      </c>
      <c r="G2" s="239" t="s">
        <v>1538</v>
      </c>
      <c r="H2" s="239" t="n">
        <v>1024250439264</v>
      </c>
      <c r="J2" s="239" t="s">
        <v>1526</v>
      </c>
      <c r="K2" s="239" t="n">
        <v>1</v>
      </c>
      <c r="L2" s="239" t="n">
        <v>8988</v>
      </c>
      <c r="M2" s="239" t="n">
        <v>10605.84</v>
      </c>
      <c r="N2" s="239" t="n">
        <v>0.84</v>
      </c>
      <c r="R2" s="239" t="n">
        <v>0</v>
      </c>
      <c r="S2" s="239" t="s">
        <v>1399</v>
      </c>
      <c r="T2" s="259" t="b">
        <f aca="false">FALSE()</f>
        <v>0</v>
      </c>
      <c r="Y2" s="239" t="s">
        <v>947</v>
      </c>
      <c r="Z2" s="239" t="s">
        <v>2136</v>
      </c>
      <c r="AC2" s="239" t="s">
        <v>2094</v>
      </c>
      <c r="AF2" s="239" t="n">
        <v>1</v>
      </c>
      <c r="AH2" s="239" t="n">
        <v>1617.84</v>
      </c>
      <c r="AI2" s="239" t="n">
        <v>8988</v>
      </c>
      <c r="AJ2" s="259" t="b">
        <f aca="false">FALSE()</f>
        <v>0</v>
      </c>
      <c r="AL2" s="239" t="s">
        <v>1743</v>
      </c>
      <c r="AM2" s="239" t="s">
        <v>1632</v>
      </c>
      <c r="AN2" s="239" t="s">
        <v>1595</v>
      </c>
      <c r="AO2" s="239" t="s">
        <v>2137</v>
      </c>
      <c r="AP2" s="239" t="s">
        <v>1527</v>
      </c>
      <c r="AS2" s="239" t="n">
        <v>0</v>
      </c>
      <c r="AV2" s="239" t="n">
        <v>0</v>
      </c>
      <c r="AZ2" s="239" t="n">
        <v>8988</v>
      </c>
      <c r="BA2" s="239" t="s">
        <v>1531</v>
      </c>
      <c r="BB2" s="259" t="b">
        <f aca="false">TRUE()</f>
        <v>1</v>
      </c>
      <c r="BC2" s="239" t="n">
        <v>0</v>
      </c>
      <c r="BD2" s="239" t="n">
        <v>0</v>
      </c>
      <c r="BG2" s="239" t="n">
        <v>2.29715200000003E+018</v>
      </c>
      <c r="BH2" s="239" t="s">
        <v>1566</v>
      </c>
      <c r="BI2" s="239" t="n">
        <v>18</v>
      </c>
      <c r="BJ2" s="239" t="s">
        <v>1567</v>
      </c>
      <c r="BM2" s="239" t="n">
        <v>0</v>
      </c>
      <c r="BQ2" s="239" t="s">
        <v>1561</v>
      </c>
      <c r="BV2" s="239" t="s">
        <v>2138</v>
      </c>
      <c r="BW2" s="239" t="n">
        <v>0</v>
      </c>
      <c r="BZ2" s="259" t="b">
        <f aca="false">FALSE()</f>
        <v>0</v>
      </c>
      <c r="CC2" s="239" t="n">
        <v>0</v>
      </c>
      <c r="CD2" s="239" t="n">
        <v>0</v>
      </c>
      <c r="CE2" s="239" t="n">
        <v>18</v>
      </c>
      <c r="CF2" s="239" t="n">
        <v>0</v>
      </c>
      <c r="CG2" s="239" t="n">
        <v>0</v>
      </c>
      <c r="CH2" s="239" t="n">
        <v>0</v>
      </c>
      <c r="CI2" s="239" t="n">
        <v>1617.84</v>
      </c>
      <c r="CJ2" s="239" t="n">
        <v>0</v>
      </c>
      <c r="CK2" s="239" t="n">
        <v>0</v>
      </c>
      <c r="CL2" s="239" t="n">
        <v>0</v>
      </c>
      <c r="CM2" s="239" t="n">
        <v>1617.84</v>
      </c>
      <c r="CN2" s="239" t="n">
        <v>0</v>
      </c>
    </row>
    <row r="3" customFormat="false" ht="13.5" hidden="false" customHeight="false" outlineLevel="0" collapsed="false">
      <c r="A3" s="258" t="n">
        <v>45734</v>
      </c>
      <c r="B3" s="258" t="n">
        <v>45734</v>
      </c>
      <c r="C3" s="239" t="n">
        <v>2.29715200000003E+018</v>
      </c>
      <c r="D3" s="239" t="s">
        <v>2087</v>
      </c>
      <c r="E3" s="239" t="n">
        <v>0</v>
      </c>
      <c r="F3" s="239" t="n">
        <v>0</v>
      </c>
      <c r="G3" s="239" t="s">
        <v>1538</v>
      </c>
      <c r="H3" s="239" t="s">
        <v>2139</v>
      </c>
      <c r="J3" s="239" t="s">
        <v>1526</v>
      </c>
      <c r="K3" s="239" t="n">
        <v>1</v>
      </c>
      <c r="L3" s="239" t="n">
        <v>80605</v>
      </c>
      <c r="M3" s="239" t="n">
        <v>86205</v>
      </c>
      <c r="N3" s="239" t="n">
        <v>0</v>
      </c>
      <c r="R3" s="239" t="n">
        <v>0</v>
      </c>
      <c r="S3" s="239" t="s">
        <v>1399</v>
      </c>
      <c r="T3" s="259" t="b">
        <f aca="false">FALSE()</f>
        <v>0</v>
      </c>
      <c r="Y3" s="239" t="s">
        <v>2140</v>
      </c>
      <c r="Z3" s="239" t="s">
        <v>2136</v>
      </c>
      <c r="AC3" s="239" t="s">
        <v>2085</v>
      </c>
      <c r="AE3" s="239" t="s">
        <v>2141</v>
      </c>
      <c r="AF3" s="239" t="n">
        <v>1</v>
      </c>
      <c r="AH3" s="239" t="n">
        <v>12600</v>
      </c>
      <c r="AI3" s="239" t="n">
        <v>70000</v>
      </c>
      <c r="AJ3" s="259" t="b">
        <f aca="false">FALSE()</f>
        <v>0</v>
      </c>
      <c r="AL3" s="239" t="s">
        <v>1522</v>
      </c>
      <c r="AM3" s="239" t="s">
        <v>1632</v>
      </c>
      <c r="AN3" s="239" t="s">
        <v>1595</v>
      </c>
      <c r="AO3" s="239" t="s">
        <v>2142</v>
      </c>
      <c r="AP3" s="239" t="s">
        <v>1531</v>
      </c>
      <c r="AQ3" s="239" t="n">
        <v>2.29715200000003E+018</v>
      </c>
      <c r="AR3" s="239" t="s">
        <v>1596</v>
      </c>
      <c r="AS3" s="239" t="n">
        <v>10</v>
      </c>
      <c r="AT3" s="239" t="s">
        <v>1534</v>
      </c>
      <c r="AU3" s="239" t="s">
        <v>1535</v>
      </c>
      <c r="AV3" s="239" t="n">
        <v>7000</v>
      </c>
      <c r="AZ3" s="239" t="n">
        <v>70000</v>
      </c>
      <c r="BA3" s="239" t="s">
        <v>1531</v>
      </c>
      <c r="BB3" s="259" t="b">
        <f aca="false">TRUE()</f>
        <v>1</v>
      </c>
      <c r="BC3" s="239" t="n">
        <v>0</v>
      </c>
      <c r="BD3" s="239" t="n">
        <v>0</v>
      </c>
      <c r="BG3" s="239" t="n">
        <v>2.29715200000003E+018</v>
      </c>
      <c r="BH3" s="239" t="s">
        <v>1566</v>
      </c>
      <c r="BI3" s="239" t="n">
        <v>18</v>
      </c>
      <c r="BJ3" s="239" t="s">
        <v>1567</v>
      </c>
      <c r="BQ3" s="239" t="s">
        <v>1561</v>
      </c>
      <c r="BV3" s="239" t="s">
        <v>2138</v>
      </c>
      <c r="BW3" s="239" t="n">
        <v>0</v>
      </c>
      <c r="BZ3" s="259" t="b">
        <f aca="false">FALSE()</f>
        <v>0</v>
      </c>
      <c r="CC3" s="239" t="n">
        <v>0</v>
      </c>
      <c r="CD3" s="239" t="n">
        <v>0</v>
      </c>
      <c r="CE3" s="239" t="n">
        <v>18</v>
      </c>
      <c r="CF3" s="239" t="n">
        <v>0</v>
      </c>
      <c r="CG3" s="239" t="n">
        <v>0</v>
      </c>
      <c r="CH3" s="239" t="n">
        <v>0</v>
      </c>
      <c r="CI3" s="239" t="n">
        <v>12600</v>
      </c>
      <c r="CJ3" s="239" t="n">
        <v>0</v>
      </c>
      <c r="CK3" s="239" t="n">
        <v>0</v>
      </c>
      <c r="CL3" s="239" t="n">
        <v>0</v>
      </c>
      <c r="CM3" s="239" t="n">
        <v>12600</v>
      </c>
      <c r="CN3" s="239" t="n">
        <v>0</v>
      </c>
    </row>
    <row r="4" customFormat="false" ht="13.5" hidden="false" customHeight="false" outlineLevel="0" collapsed="false">
      <c r="A4" s="258" t="n">
        <v>45734</v>
      </c>
      <c r="B4" s="258" t="n">
        <v>45734</v>
      </c>
      <c r="C4" s="239" t="n">
        <v>2.29715200000003E+018</v>
      </c>
      <c r="D4" s="239" t="s">
        <v>2087</v>
      </c>
      <c r="E4" s="239" t="n">
        <v>0</v>
      </c>
      <c r="F4" s="239" t="n">
        <v>0</v>
      </c>
      <c r="G4" s="239" t="s">
        <v>1538</v>
      </c>
      <c r="H4" s="239" t="s">
        <v>2139</v>
      </c>
      <c r="J4" s="239" t="s">
        <v>1526</v>
      </c>
      <c r="K4" s="239" t="n">
        <v>1</v>
      </c>
      <c r="L4" s="239" t="n">
        <v>80605</v>
      </c>
      <c r="M4" s="239" t="n">
        <v>86205</v>
      </c>
      <c r="N4" s="239" t="n">
        <v>0</v>
      </c>
      <c r="R4" s="239" t="n">
        <v>0</v>
      </c>
      <c r="S4" s="239" t="s">
        <v>1399</v>
      </c>
      <c r="T4" s="259" t="b">
        <f aca="false">FALSE()</f>
        <v>0</v>
      </c>
      <c r="Y4" s="239" t="s">
        <v>2140</v>
      </c>
      <c r="Z4" s="239" t="s">
        <v>2136</v>
      </c>
      <c r="AC4" s="239" t="s">
        <v>2143</v>
      </c>
      <c r="AE4" s="239" t="s">
        <v>2143</v>
      </c>
      <c r="AF4" s="239" t="n">
        <v>1</v>
      </c>
      <c r="AH4" s="239" t="n">
        <v>0</v>
      </c>
      <c r="AI4" s="239" t="n">
        <v>10605</v>
      </c>
      <c r="AJ4" s="259" t="b">
        <f aca="false">FALSE()</f>
        <v>0</v>
      </c>
      <c r="AL4" s="239" t="s">
        <v>1522</v>
      </c>
      <c r="AM4" s="239" t="s">
        <v>1632</v>
      </c>
      <c r="AN4" s="239" t="s">
        <v>1595</v>
      </c>
      <c r="AO4" s="239" t="s">
        <v>2142</v>
      </c>
      <c r="AP4" s="239" t="s">
        <v>1531</v>
      </c>
      <c r="AQ4" s="239" t="n">
        <v>2.29715200000003E+018</v>
      </c>
      <c r="AR4" s="239" t="s">
        <v>1596</v>
      </c>
      <c r="AS4" s="239" t="n">
        <v>10</v>
      </c>
      <c r="AT4" s="239" t="s">
        <v>1534</v>
      </c>
      <c r="AU4" s="239" t="s">
        <v>1535</v>
      </c>
      <c r="AV4" s="239" t="n">
        <v>7000</v>
      </c>
      <c r="AZ4" s="239" t="n">
        <v>10605</v>
      </c>
      <c r="BA4" s="239" t="s">
        <v>1531</v>
      </c>
      <c r="BB4" s="259" t="b">
        <f aca="false">TRUE()</f>
        <v>1</v>
      </c>
      <c r="BC4" s="239" t="n">
        <v>0</v>
      </c>
      <c r="BD4" s="239" t="n">
        <v>0</v>
      </c>
      <c r="BG4" s="239" t="n">
        <v>2.29715200000003E+018</v>
      </c>
      <c r="BH4" s="239" t="s">
        <v>2144</v>
      </c>
      <c r="BI4" s="239" t="n">
        <v>0</v>
      </c>
      <c r="BJ4" s="239" t="s">
        <v>1567</v>
      </c>
      <c r="BQ4" s="239" t="s">
        <v>1561</v>
      </c>
      <c r="BV4" s="239" t="s">
        <v>2138</v>
      </c>
      <c r="BW4" s="239" t="n">
        <v>0</v>
      </c>
      <c r="BZ4" s="259" t="b">
        <f aca="false">FALSE()</f>
        <v>0</v>
      </c>
      <c r="CC4" s="239" t="n">
        <v>0</v>
      </c>
      <c r="CD4" s="239" t="n">
        <v>0</v>
      </c>
      <c r="CE4" s="239" t="n">
        <v>0</v>
      </c>
      <c r="CF4" s="239" t="n">
        <v>0</v>
      </c>
      <c r="CG4" s="239" t="n">
        <v>0</v>
      </c>
      <c r="CH4" s="239" t="n">
        <v>0</v>
      </c>
      <c r="CI4" s="239" t="n">
        <v>0</v>
      </c>
      <c r="CJ4" s="239" t="n">
        <v>0</v>
      </c>
      <c r="CK4" s="239" t="n">
        <v>0</v>
      </c>
      <c r="CL4" s="239" t="n">
        <v>0</v>
      </c>
      <c r="CM4" s="239" t="n">
        <v>0</v>
      </c>
      <c r="CN4" s="239" t="n">
        <v>0</v>
      </c>
    </row>
    <row r="5" customFormat="false" ht="13.5" hidden="false" customHeight="false" outlineLevel="0" collapsed="false">
      <c r="A5" s="258" t="n">
        <v>45747</v>
      </c>
      <c r="B5" s="258" t="n">
        <v>45747</v>
      </c>
      <c r="C5" s="239" t="n">
        <v>2.29715200000005E+018</v>
      </c>
      <c r="D5" s="239" t="s">
        <v>2083</v>
      </c>
      <c r="E5" s="239" t="n">
        <v>0</v>
      </c>
      <c r="F5" s="239" t="n">
        <v>0</v>
      </c>
      <c r="G5" s="239" t="s">
        <v>1538</v>
      </c>
      <c r="H5" s="239" t="s">
        <v>2145</v>
      </c>
      <c r="J5" s="239" t="s">
        <v>1526</v>
      </c>
      <c r="K5" s="239" t="n">
        <v>1</v>
      </c>
      <c r="L5" s="239" t="n">
        <v>121651</v>
      </c>
      <c r="M5" s="239" t="n">
        <v>120651</v>
      </c>
      <c r="N5" s="239" t="n">
        <v>0</v>
      </c>
      <c r="R5" s="239" t="n">
        <v>0</v>
      </c>
      <c r="S5" s="239" t="s">
        <v>1399</v>
      </c>
      <c r="T5" s="259" t="b">
        <f aca="false">FALSE()</f>
        <v>0</v>
      </c>
      <c r="Y5" s="239" t="s">
        <v>2140</v>
      </c>
      <c r="Z5" s="239" t="s">
        <v>2136</v>
      </c>
      <c r="AC5" s="239" t="s">
        <v>2080</v>
      </c>
      <c r="AE5" s="239" t="s">
        <v>2146</v>
      </c>
      <c r="AF5" s="239" t="n">
        <v>1</v>
      </c>
      <c r="AH5" s="239" t="n">
        <v>0</v>
      </c>
      <c r="AI5" s="239" t="n">
        <v>100000</v>
      </c>
      <c r="AJ5" s="259" t="b">
        <f aca="false">FALSE()</f>
        <v>0</v>
      </c>
      <c r="AL5" s="239" t="s">
        <v>1632</v>
      </c>
      <c r="AM5" s="239" t="s">
        <v>1632</v>
      </c>
      <c r="AN5" s="239" t="s">
        <v>1524</v>
      </c>
      <c r="AP5" s="239" t="s">
        <v>1531</v>
      </c>
      <c r="AQ5" s="239" t="n">
        <v>2.29715200000003E+018</v>
      </c>
      <c r="AR5" s="239" t="s">
        <v>2147</v>
      </c>
      <c r="AS5" s="239" t="n">
        <v>1</v>
      </c>
      <c r="AT5" s="239" t="s">
        <v>2148</v>
      </c>
      <c r="AU5" s="239" t="s">
        <v>2149</v>
      </c>
      <c r="AV5" s="239" t="n">
        <v>1000</v>
      </c>
      <c r="AZ5" s="239" t="n">
        <v>100000</v>
      </c>
      <c r="BA5" s="239" t="s">
        <v>1531</v>
      </c>
      <c r="BB5" s="259" t="b">
        <f aca="false">TRUE()</f>
        <v>1</v>
      </c>
      <c r="BC5" s="239" t="n">
        <v>0</v>
      </c>
      <c r="BD5" s="239" t="n">
        <v>0</v>
      </c>
      <c r="BQ5" s="239" t="s">
        <v>1561</v>
      </c>
      <c r="BV5" s="239" t="s">
        <v>2138</v>
      </c>
      <c r="BW5" s="239" t="n">
        <v>0</v>
      </c>
      <c r="BZ5" s="259" t="b">
        <f aca="false">FALSE()</f>
        <v>0</v>
      </c>
    </row>
    <row r="6" customFormat="false" ht="13.5" hidden="false" customHeight="false" outlineLevel="0" collapsed="false">
      <c r="A6" s="258" t="n">
        <v>45747</v>
      </c>
      <c r="B6" s="258" t="n">
        <v>45747</v>
      </c>
      <c r="C6" s="239" t="n">
        <v>2.29715200000005E+018</v>
      </c>
      <c r="D6" s="239" t="s">
        <v>2083</v>
      </c>
      <c r="E6" s="239" t="n">
        <v>0</v>
      </c>
      <c r="F6" s="239" t="n">
        <v>0</v>
      </c>
      <c r="G6" s="239" t="s">
        <v>1538</v>
      </c>
      <c r="H6" s="239" t="s">
        <v>2145</v>
      </c>
      <c r="J6" s="239" t="s">
        <v>1526</v>
      </c>
      <c r="K6" s="239" t="n">
        <v>1</v>
      </c>
      <c r="L6" s="239" t="n">
        <v>121651</v>
      </c>
      <c r="M6" s="239" t="n">
        <v>120651</v>
      </c>
      <c r="N6" s="239" t="n">
        <v>0</v>
      </c>
      <c r="R6" s="239" t="n">
        <v>0</v>
      </c>
      <c r="S6" s="239" t="s">
        <v>1399</v>
      </c>
      <c r="T6" s="259" t="b">
        <f aca="false">FALSE()</f>
        <v>0</v>
      </c>
      <c r="Y6" s="239" t="s">
        <v>2140</v>
      </c>
      <c r="Z6" s="239" t="s">
        <v>2136</v>
      </c>
      <c r="AC6" s="239" t="s">
        <v>2150</v>
      </c>
      <c r="AF6" s="239" t="n">
        <v>1</v>
      </c>
      <c r="AH6" s="239" t="n">
        <v>0</v>
      </c>
      <c r="AI6" s="239" t="n">
        <v>21651</v>
      </c>
      <c r="AJ6" s="259" t="b">
        <f aca="false">FALSE()</f>
        <v>0</v>
      </c>
      <c r="AL6" s="239" t="s">
        <v>1632</v>
      </c>
      <c r="AM6" s="239" t="s">
        <v>1632</v>
      </c>
      <c r="AN6" s="239" t="s">
        <v>1524</v>
      </c>
      <c r="AP6" s="239" t="s">
        <v>1531</v>
      </c>
      <c r="AQ6" s="239" t="n">
        <v>2.29715200000003E+018</v>
      </c>
      <c r="AR6" s="239" t="s">
        <v>2147</v>
      </c>
      <c r="AS6" s="239" t="n">
        <v>1</v>
      </c>
      <c r="AT6" s="239" t="s">
        <v>2148</v>
      </c>
      <c r="AU6" s="239" t="s">
        <v>2149</v>
      </c>
      <c r="AV6" s="239" t="n">
        <v>1000</v>
      </c>
      <c r="AZ6" s="239" t="n">
        <v>21651</v>
      </c>
      <c r="BA6" s="239" t="s">
        <v>1531</v>
      </c>
      <c r="BB6" s="259" t="b">
        <f aca="false">TRUE()</f>
        <v>1</v>
      </c>
      <c r="BC6" s="239" t="n">
        <v>0</v>
      </c>
      <c r="BD6" s="239" t="n">
        <v>0</v>
      </c>
      <c r="BQ6" s="239" t="s">
        <v>1561</v>
      </c>
      <c r="BV6" s="239" t="s">
        <v>2138</v>
      </c>
      <c r="BW6" s="239" t="n">
        <v>0</v>
      </c>
      <c r="BZ6" s="259" t="b">
        <f aca="false">FALSE()</f>
        <v>0</v>
      </c>
    </row>
    <row r="7" customFormat="false" ht="13.5" hidden="false" customHeight="false" outlineLevel="0" collapsed="false">
      <c r="A7" s="260" t="n">
        <v>45657</v>
      </c>
      <c r="B7" s="258" t="n">
        <v>45657</v>
      </c>
      <c r="C7" s="239" t="n">
        <v>2.29715200000005E+018</v>
      </c>
      <c r="D7" s="257" t="s">
        <v>2083</v>
      </c>
      <c r="E7" s="239" t="n">
        <v>0</v>
      </c>
      <c r="F7" s="239" t="n">
        <v>0</v>
      </c>
      <c r="G7" s="239" t="s">
        <v>1538</v>
      </c>
      <c r="H7" s="239" t="n">
        <v>5</v>
      </c>
      <c r="J7" s="239" t="s">
        <v>1526</v>
      </c>
      <c r="K7" s="239" t="n">
        <v>1</v>
      </c>
      <c r="L7" s="257" t="n">
        <v>50000</v>
      </c>
      <c r="M7" s="239" t="n">
        <v>50000</v>
      </c>
      <c r="N7" s="239" t="n">
        <v>46125</v>
      </c>
      <c r="R7" s="239" t="n">
        <v>0</v>
      </c>
      <c r="S7" s="239" t="s">
        <v>1399</v>
      </c>
      <c r="T7" s="259" t="b">
        <f aca="false">FALSE()</f>
        <v>0</v>
      </c>
      <c r="Y7" s="239" t="s">
        <v>947</v>
      </c>
      <c r="Z7" s="239" t="s">
        <v>2136</v>
      </c>
      <c r="AC7" s="257" t="s">
        <v>2080</v>
      </c>
      <c r="AE7" s="239" t="s">
        <v>2146</v>
      </c>
      <c r="AF7" s="239" t="n">
        <v>1</v>
      </c>
      <c r="AH7" s="239" t="n">
        <v>0</v>
      </c>
      <c r="AI7" s="239" t="n">
        <v>50000</v>
      </c>
      <c r="AJ7" s="259" t="b">
        <f aca="false">FALSE()</f>
        <v>0</v>
      </c>
      <c r="AL7" s="239" t="s">
        <v>1632</v>
      </c>
      <c r="AM7" s="239" t="s">
        <v>1632</v>
      </c>
      <c r="AN7" s="239" t="s">
        <v>1524</v>
      </c>
      <c r="AP7" s="239" t="s">
        <v>1527</v>
      </c>
      <c r="AS7" s="239" t="n">
        <v>0</v>
      </c>
      <c r="AV7" s="239" t="n">
        <v>0</v>
      </c>
      <c r="AZ7" s="239" t="n">
        <v>50000</v>
      </c>
      <c r="BA7" s="239" t="s">
        <v>1531</v>
      </c>
      <c r="BB7" s="259" t="b">
        <f aca="false">TRUE()</f>
        <v>1</v>
      </c>
      <c r="BC7" s="239" t="n">
        <v>0</v>
      </c>
      <c r="BD7" s="239" t="n">
        <v>0</v>
      </c>
      <c r="BM7" s="239" t="n">
        <v>0</v>
      </c>
      <c r="BQ7" s="239" t="s">
        <v>1561</v>
      </c>
      <c r="BV7" s="239" t="s">
        <v>2138</v>
      </c>
      <c r="BW7" s="239" t="n">
        <v>0</v>
      </c>
      <c r="BZ7" s="259" t="b">
        <f aca="false">FALSE()</f>
        <v>0</v>
      </c>
    </row>
    <row r="8" customFormat="false" ht="13.5" hidden="false" customHeight="false" outlineLevel="0" collapsed="false">
      <c r="A8" s="260" t="n">
        <v>45626</v>
      </c>
      <c r="B8" s="258" t="n">
        <v>45626</v>
      </c>
      <c r="C8" s="239" t="n">
        <v>2.29715200000005E+018</v>
      </c>
      <c r="D8" s="257" t="s">
        <v>2083</v>
      </c>
      <c r="E8" s="239" t="n">
        <v>0</v>
      </c>
      <c r="F8" s="239" t="n">
        <v>0</v>
      </c>
      <c r="G8" s="239" t="s">
        <v>1538</v>
      </c>
      <c r="H8" s="239" t="n">
        <v>4</v>
      </c>
      <c r="J8" s="239" t="s">
        <v>1526</v>
      </c>
      <c r="K8" s="239" t="n">
        <v>1</v>
      </c>
      <c r="L8" s="257" t="n">
        <v>40000</v>
      </c>
      <c r="M8" s="239" t="n">
        <v>40000</v>
      </c>
      <c r="N8" s="239" t="n">
        <v>0</v>
      </c>
      <c r="R8" s="239" t="n">
        <v>0</v>
      </c>
      <c r="S8" s="239" t="s">
        <v>1399</v>
      </c>
      <c r="T8" s="259" t="b">
        <f aca="false">FALSE()</f>
        <v>0</v>
      </c>
      <c r="Y8" s="239" t="s">
        <v>2140</v>
      </c>
      <c r="Z8" s="239" t="s">
        <v>2136</v>
      </c>
      <c r="AC8" s="257" t="s">
        <v>2080</v>
      </c>
      <c r="AE8" s="239" t="s">
        <v>2146</v>
      </c>
      <c r="AF8" s="239" t="n">
        <v>1</v>
      </c>
      <c r="AH8" s="239" t="n">
        <v>0</v>
      </c>
      <c r="AI8" s="239" t="n">
        <v>40000</v>
      </c>
      <c r="AJ8" s="259" t="b">
        <f aca="false">FALSE()</f>
        <v>0</v>
      </c>
      <c r="AL8" s="239" t="s">
        <v>1632</v>
      </c>
      <c r="AM8" s="239" t="s">
        <v>1632</v>
      </c>
      <c r="AN8" s="239" t="s">
        <v>1524</v>
      </c>
      <c r="AP8" s="239" t="s">
        <v>1527</v>
      </c>
      <c r="AS8" s="239" t="n">
        <v>0</v>
      </c>
      <c r="AV8" s="239" t="n">
        <v>0</v>
      </c>
      <c r="AZ8" s="239" t="n">
        <v>40000</v>
      </c>
      <c r="BA8" s="239" t="s">
        <v>1531</v>
      </c>
      <c r="BB8" s="259" t="b">
        <f aca="false">TRUE()</f>
        <v>1</v>
      </c>
      <c r="BC8" s="239" t="n">
        <v>0</v>
      </c>
      <c r="BD8" s="239" t="n">
        <v>0</v>
      </c>
      <c r="BM8" s="239" t="n">
        <v>0</v>
      </c>
      <c r="BQ8" s="239" t="s">
        <v>1561</v>
      </c>
      <c r="BV8" s="239" t="s">
        <v>2138</v>
      </c>
      <c r="BW8" s="239" t="n">
        <v>0</v>
      </c>
      <c r="BZ8" s="259" t="b">
        <f aca="false">FALSE()</f>
        <v>0</v>
      </c>
    </row>
    <row r="9" customFormat="false" ht="13.5" hidden="false" customHeight="false" outlineLevel="0" collapsed="false">
      <c r="A9" s="260" t="n">
        <v>45596</v>
      </c>
      <c r="B9" s="258" t="n">
        <v>45596</v>
      </c>
      <c r="C9" s="239" t="n">
        <v>2.29715200000005E+018</v>
      </c>
      <c r="D9" s="257" t="s">
        <v>2083</v>
      </c>
      <c r="E9" s="239" t="n">
        <v>0</v>
      </c>
      <c r="F9" s="239" t="n">
        <v>0</v>
      </c>
      <c r="G9" s="239" t="s">
        <v>1538</v>
      </c>
      <c r="H9" s="239" t="n">
        <v>3</v>
      </c>
      <c r="J9" s="239" t="s">
        <v>1526</v>
      </c>
      <c r="K9" s="239" t="n">
        <v>1</v>
      </c>
      <c r="L9" s="257" t="n">
        <v>25000</v>
      </c>
      <c r="M9" s="239" t="n">
        <v>25000</v>
      </c>
      <c r="N9" s="239" t="n">
        <v>0</v>
      </c>
      <c r="R9" s="239" t="n">
        <v>0</v>
      </c>
      <c r="S9" s="239" t="s">
        <v>1399</v>
      </c>
      <c r="T9" s="259" t="b">
        <f aca="false">FALSE()</f>
        <v>0</v>
      </c>
      <c r="Y9" s="239" t="s">
        <v>2140</v>
      </c>
      <c r="Z9" s="239" t="s">
        <v>2136</v>
      </c>
      <c r="AC9" s="257" t="s">
        <v>2080</v>
      </c>
      <c r="AE9" s="239" t="s">
        <v>2146</v>
      </c>
      <c r="AF9" s="239" t="n">
        <v>1</v>
      </c>
      <c r="AH9" s="239" t="n">
        <v>0</v>
      </c>
      <c r="AI9" s="239" t="n">
        <v>25000</v>
      </c>
      <c r="AJ9" s="259" t="b">
        <f aca="false">FALSE()</f>
        <v>0</v>
      </c>
      <c r="AL9" s="239" t="s">
        <v>1632</v>
      </c>
      <c r="AM9" s="239" t="s">
        <v>1632</v>
      </c>
      <c r="AN9" s="239" t="s">
        <v>1524</v>
      </c>
      <c r="AP9" s="239" t="s">
        <v>1527</v>
      </c>
      <c r="AS9" s="239" t="n">
        <v>0</v>
      </c>
      <c r="AV9" s="239" t="n">
        <v>0</v>
      </c>
      <c r="AZ9" s="239" t="n">
        <v>25000</v>
      </c>
      <c r="BA9" s="239" t="s">
        <v>1531</v>
      </c>
      <c r="BB9" s="259" t="b">
        <f aca="false">TRUE()</f>
        <v>1</v>
      </c>
      <c r="BC9" s="239" t="n">
        <v>0</v>
      </c>
      <c r="BD9" s="239" t="n">
        <v>0</v>
      </c>
      <c r="BM9" s="239" t="n">
        <v>0</v>
      </c>
      <c r="BQ9" s="239" t="s">
        <v>1561</v>
      </c>
      <c r="BV9" s="239" t="s">
        <v>2138</v>
      </c>
      <c r="BW9" s="239" t="n">
        <v>0</v>
      </c>
      <c r="BZ9" s="259" t="b">
        <f aca="false">FALSE()</f>
        <v>0</v>
      </c>
    </row>
    <row r="10" customFormat="false" ht="13.5" hidden="false" customHeight="false" outlineLevel="0" collapsed="false">
      <c r="A10" s="260" t="n">
        <v>45565</v>
      </c>
      <c r="B10" s="258" t="n">
        <v>45565</v>
      </c>
      <c r="C10" s="239" t="n">
        <v>2.29715200000005E+018</v>
      </c>
      <c r="D10" s="257" t="s">
        <v>2083</v>
      </c>
      <c r="E10" s="239" t="n">
        <v>0</v>
      </c>
      <c r="F10" s="239" t="n">
        <v>0</v>
      </c>
      <c r="G10" s="239" t="s">
        <v>1538</v>
      </c>
      <c r="H10" s="239" t="n">
        <v>2</v>
      </c>
      <c r="J10" s="239" t="s">
        <v>1526</v>
      </c>
      <c r="K10" s="239" t="n">
        <v>1</v>
      </c>
      <c r="L10" s="257" t="n">
        <v>25000</v>
      </c>
      <c r="M10" s="239" t="n">
        <v>25000</v>
      </c>
      <c r="N10" s="239" t="n">
        <v>0</v>
      </c>
      <c r="R10" s="239" t="n">
        <v>0</v>
      </c>
      <c r="S10" s="239" t="s">
        <v>1399</v>
      </c>
      <c r="T10" s="259" t="b">
        <f aca="false">FALSE()</f>
        <v>0</v>
      </c>
      <c r="Y10" s="239" t="s">
        <v>2140</v>
      </c>
      <c r="Z10" s="239" t="s">
        <v>2136</v>
      </c>
      <c r="AC10" s="257" t="s">
        <v>2080</v>
      </c>
      <c r="AE10" s="239" t="s">
        <v>2146</v>
      </c>
      <c r="AF10" s="239" t="n">
        <v>1</v>
      </c>
      <c r="AH10" s="239" t="n">
        <v>0</v>
      </c>
      <c r="AI10" s="239" t="n">
        <v>25000</v>
      </c>
      <c r="AJ10" s="259" t="b">
        <f aca="false">FALSE()</f>
        <v>0</v>
      </c>
      <c r="AL10" s="239" t="s">
        <v>1632</v>
      </c>
      <c r="AM10" s="239" t="s">
        <v>1632</v>
      </c>
      <c r="AN10" s="239" t="s">
        <v>1524</v>
      </c>
      <c r="AP10" s="239" t="s">
        <v>1527</v>
      </c>
      <c r="AS10" s="239" t="n">
        <v>0</v>
      </c>
      <c r="AV10" s="239" t="n">
        <v>0</v>
      </c>
      <c r="AZ10" s="239" t="n">
        <v>25000</v>
      </c>
      <c r="BA10" s="239" t="s">
        <v>1531</v>
      </c>
      <c r="BB10" s="259" t="b">
        <f aca="false">TRUE()</f>
        <v>1</v>
      </c>
      <c r="BC10" s="239" t="n">
        <v>0</v>
      </c>
      <c r="BD10" s="239" t="n">
        <v>0</v>
      </c>
      <c r="BM10" s="239" t="n">
        <v>0</v>
      </c>
      <c r="BQ10" s="239" t="s">
        <v>1561</v>
      </c>
      <c r="BV10" s="239" t="s">
        <v>2138</v>
      </c>
      <c r="BW10" s="239" t="n">
        <v>0</v>
      </c>
      <c r="BZ10" s="259" t="b">
        <f aca="false">FALSE()</f>
        <v>0</v>
      </c>
    </row>
    <row r="11" customFormat="false" ht="13.5" hidden="false" customHeight="false" outlineLevel="0" collapsed="false">
      <c r="A11" s="260" t="n">
        <v>45535</v>
      </c>
      <c r="B11" s="258" t="n">
        <v>45535</v>
      </c>
      <c r="C11" s="239" t="n">
        <v>2.29715200000005E+018</v>
      </c>
      <c r="D11" s="257" t="s">
        <v>2083</v>
      </c>
      <c r="E11" s="239" t="n">
        <v>0</v>
      </c>
      <c r="F11" s="239" t="n">
        <v>0</v>
      </c>
      <c r="G11" s="239" t="s">
        <v>1538</v>
      </c>
      <c r="H11" s="239" t="n">
        <v>1</v>
      </c>
      <c r="J11" s="239" t="s">
        <v>1526</v>
      </c>
      <c r="K11" s="239" t="n">
        <v>1</v>
      </c>
      <c r="L11" s="257" t="n">
        <v>20000</v>
      </c>
      <c r="M11" s="239" t="n">
        <v>20000</v>
      </c>
      <c r="N11" s="239" t="n">
        <v>0</v>
      </c>
      <c r="R11" s="239" t="n">
        <v>0</v>
      </c>
      <c r="S11" s="239" t="s">
        <v>1399</v>
      </c>
      <c r="T11" s="259" t="b">
        <f aca="false">FALSE()</f>
        <v>0</v>
      </c>
      <c r="Y11" s="239" t="s">
        <v>2140</v>
      </c>
      <c r="Z11" s="239" t="s">
        <v>2136</v>
      </c>
      <c r="AC11" s="257" t="s">
        <v>2080</v>
      </c>
      <c r="AE11" s="239" t="s">
        <v>2146</v>
      </c>
      <c r="AF11" s="239" t="n">
        <v>1</v>
      </c>
      <c r="AH11" s="239" t="n">
        <v>0</v>
      </c>
      <c r="AI11" s="239" t="n">
        <v>20000</v>
      </c>
      <c r="AJ11" s="259" t="b">
        <f aca="false">FALSE()</f>
        <v>0</v>
      </c>
      <c r="AL11" s="239" t="s">
        <v>1632</v>
      </c>
      <c r="AM11" s="239" t="s">
        <v>1632</v>
      </c>
      <c r="AN11" s="239" t="s">
        <v>1524</v>
      </c>
      <c r="AP11" s="239" t="s">
        <v>1527</v>
      </c>
      <c r="AS11" s="239" t="n">
        <v>0</v>
      </c>
      <c r="AV11" s="239" t="n">
        <v>0</v>
      </c>
      <c r="AZ11" s="239" t="n">
        <v>20000</v>
      </c>
      <c r="BA11" s="239" t="s">
        <v>1531</v>
      </c>
      <c r="BB11" s="259" t="b">
        <f aca="false">TRUE()</f>
        <v>1</v>
      </c>
      <c r="BC11" s="239" t="n">
        <v>0</v>
      </c>
      <c r="BD11" s="239" t="n">
        <v>0</v>
      </c>
      <c r="BM11" s="239" t="n">
        <v>0</v>
      </c>
      <c r="BQ11" s="239" t="s">
        <v>1561</v>
      </c>
      <c r="BV11" s="239" t="s">
        <v>2138</v>
      </c>
      <c r="BW11" s="239" t="n">
        <v>0</v>
      </c>
      <c r="BZ11" s="259" t="b">
        <f aca="false">FALSE()</f>
        <v>0</v>
      </c>
    </row>
    <row r="12" customFormat="false" ht="13.5" hidden="false" customHeight="false" outlineLevel="0" collapsed="false">
      <c r="A12" s="258" t="n">
        <v>45685</v>
      </c>
      <c r="B12" s="258" t="n">
        <v>45685</v>
      </c>
      <c r="C12" s="239" t="n">
        <v>2.29715200000005E+018</v>
      </c>
      <c r="D12" s="239" t="s">
        <v>2151</v>
      </c>
      <c r="E12" s="239" t="n">
        <v>0</v>
      </c>
      <c r="F12" s="239" t="n">
        <v>0</v>
      </c>
      <c r="G12" s="239" t="s">
        <v>1538</v>
      </c>
      <c r="H12" s="239" t="n">
        <v>10070</v>
      </c>
      <c r="J12" s="239" t="s">
        <v>1526</v>
      </c>
      <c r="K12" s="239" t="n">
        <v>1</v>
      </c>
      <c r="L12" s="239" t="n">
        <v>30680</v>
      </c>
      <c r="M12" s="239" t="n">
        <v>28080</v>
      </c>
      <c r="N12" s="239" t="n">
        <v>0</v>
      </c>
      <c r="R12" s="239" t="n">
        <v>0</v>
      </c>
      <c r="S12" s="239" t="s">
        <v>1399</v>
      </c>
      <c r="T12" s="259" t="b">
        <f aca="false">FALSE()</f>
        <v>0</v>
      </c>
      <c r="Y12" s="239" t="s">
        <v>2140</v>
      </c>
      <c r="Z12" s="239" t="s">
        <v>2136</v>
      </c>
      <c r="AC12" s="239" t="s">
        <v>2085</v>
      </c>
      <c r="AF12" s="239" t="n">
        <v>4</v>
      </c>
      <c r="AH12" s="239" t="n">
        <v>0</v>
      </c>
      <c r="AI12" s="239" t="n">
        <v>30680</v>
      </c>
      <c r="AJ12" s="259" t="b">
        <f aca="false">FALSE()</f>
        <v>0</v>
      </c>
      <c r="AL12" s="239" t="s">
        <v>1570</v>
      </c>
      <c r="AM12" s="239" t="s">
        <v>1632</v>
      </c>
      <c r="AN12" s="239" t="s">
        <v>1595</v>
      </c>
      <c r="AO12" s="239" t="s">
        <v>2152</v>
      </c>
      <c r="AP12" s="239" t="s">
        <v>1531</v>
      </c>
      <c r="AQ12" s="239" t="n">
        <v>2.29715200000003E+018</v>
      </c>
      <c r="AR12" s="239" t="s">
        <v>1596</v>
      </c>
      <c r="AS12" s="239" t="n">
        <v>10</v>
      </c>
      <c r="AT12" s="239" t="s">
        <v>1534</v>
      </c>
      <c r="AU12" s="239" t="s">
        <v>1535</v>
      </c>
      <c r="AV12" s="239" t="n">
        <v>2600</v>
      </c>
      <c r="AZ12" s="239" t="n">
        <v>7670</v>
      </c>
      <c r="BA12" s="239" t="s">
        <v>1531</v>
      </c>
      <c r="BB12" s="259" t="b">
        <f aca="false">TRUE()</f>
        <v>1</v>
      </c>
      <c r="BC12" s="239" t="n">
        <v>0</v>
      </c>
      <c r="BD12" s="239" t="n">
        <v>0</v>
      </c>
      <c r="BQ12" s="239" t="s">
        <v>1561</v>
      </c>
      <c r="BU12" s="239" t="s">
        <v>2153</v>
      </c>
      <c r="BW12" s="239" t="n">
        <v>0</v>
      </c>
      <c r="BZ12" s="259" t="b">
        <f aca="false">FALSE()</f>
        <v>0</v>
      </c>
    </row>
    <row r="13" customFormat="false" ht="13.5" hidden="false" customHeight="false" outlineLevel="0" collapsed="false">
      <c r="A13" s="258" t="n">
        <v>45716</v>
      </c>
      <c r="B13" s="258" t="n">
        <v>45716</v>
      </c>
      <c r="C13" s="239" t="n">
        <v>2.29715200000005E+018</v>
      </c>
      <c r="D13" s="239" t="s">
        <v>2151</v>
      </c>
      <c r="E13" s="239" t="n">
        <v>0</v>
      </c>
      <c r="F13" s="239" t="n">
        <v>0</v>
      </c>
      <c r="G13" s="239" t="s">
        <v>1538</v>
      </c>
      <c r="H13" s="239" t="n">
        <v>10071</v>
      </c>
      <c r="J13" s="239" t="s">
        <v>1526</v>
      </c>
      <c r="K13" s="239" t="n">
        <v>1</v>
      </c>
      <c r="L13" s="239" t="n">
        <v>23010</v>
      </c>
      <c r="M13" s="239" t="n">
        <v>23010</v>
      </c>
      <c r="N13" s="239" t="n">
        <v>20410</v>
      </c>
      <c r="R13" s="239" t="n">
        <v>0</v>
      </c>
      <c r="S13" s="239" t="s">
        <v>1399</v>
      </c>
      <c r="T13" s="259" t="b">
        <f aca="false">FALSE()</f>
        <v>0</v>
      </c>
      <c r="Y13" s="239" t="s">
        <v>947</v>
      </c>
      <c r="Z13" s="239" t="s">
        <v>2136</v>
      </c>
      <c r="AC13" s="239" t="s">
        <v>2085</v>
      </c>
      <c r="AF13" s="239" t="n">
        <v>3</v>
      </c>
      <c r="AH13" s="239" t="n">
        <v>0</v>
      </c>
      <c r="AI13" s="239" t="n">
        <v>23010</v>
      </c>
      <c r="AJ13" s="259" t="b">
        <f aca="false">FALSE()</f>
        <v>0</v>
      </c>
      <c r="AL13" s="239" t="s">
        <v>1570</v>
      </c>
      <c r="AM13" s="239" t="s">
        <v>1632</v>
      </c>
      <c r="AN13" s="239" t="s">
        <v>1595</v>
      </c>
      <c r="AO13" s="239" t="s">
        <v>2152</v>
      </c>
      <c r="AP13" s="239" t="s">
        <v>1527</v>
      </c>
      <c r="AS13" s="239" t="n">
        <v>0</v>
      </c>
      <c r="AV13" s="239" t="n">
        <v>0</v>
      </c>
      <c r="AZ13" s="239" t="n">
        <v>7670</v>
      </c>
      <c r="BA13" s="239" t="s">
        <v>1531</v>
      </c>
      <c r="BB13" s="259" t="b">
        <f aca="false">TRUE()</f>
        <v>1</v>
      </c>
      <c r="BC13" s="239" t="n">
        <v>0</v>
      </c>
      <c r="BD13" s="239" t="n">
        <v>0</v>
      </c>
      <c r="BM13" s="239" t="n">
        <v>0</v>
      </c>
      <c r="BQ13" s="239" t="s">
        <v>1561</v>
      </c>
      <c r="BU13" s="239" t="s">
        <v>2153</v>
      </c>
      <c r="BW13" s="239" t="n">
        <v>0</v>
      </c>
      <c r="BZ13" s="259" t="b">
        <f aca="false">FALSE()</f>
        <v>0</v>
      </c>
    </row>
    <row r="14" customFormat="false" ht="13.5" hidden="false" customHeight="false" outlineLevel="0" collapsed="false">
      <c r="A14" s="258" t="n">
        <v>45746</v>
      </c>
      <c r="B14" s="258" t="n">
        <v>45746</v>
      </c>
      <c r="C14" s="239" t="n">
        <v>2.29715200000005E+018</v>
      </c>
      <c r="D14" s="239" t="s">
        <v>2093</v>
      </c>
      <c r="E14" s="239" t="n">
        <v>0</v>
      </c>
      <c r="F14" s="239" t="n">
        <v>0</v>
      </c>
      <c r="G14" s="239" t="s">
        <v>1538</v>
      </c>
      <c r="H14" s="239" t="s">
        <v>2154</v>
      </c>
      <c r="J14" s="239" t="s">
        <v>1526</v>
      </c>
      <c r="K14" s="239" t="n">
        <v>1</v>
      </c>
      <c r="L14" s="239" t="n">
        <v>127383.75</v>
      </c>
      <c r="M14" s="239" t="n">
        <v>147765.15</v>
      </c>
      <c r="N14" s="239" t="n">
        <v>0</v>
      </c>
      <c r="R14" s="239" t="n">
        <v>0</v>
      </c>
      <c r="S14" s="239" t="s">
        <v>1399</v>
      </c>
      <c r="T14" s="259" t="b">
        <f aca="false">FALSE()</f>
        <v>0</v>
      </c>
      <c r="Y14" s="239" t="s">
        <v>2140</v>
      </c>
      <c r="Z14" s="239" t="s">
        <v>2136</v>
      </c>
      <c r="AC14" s="239" t="s">
        <v>2092</v>
      </c>
      <c r="AE14" s="239" t="s">
        <v>2155</v>
      </c>
      <c r="AF14" s="239" t="n">
        <v>1</v>
      </c>
      <c r="AH14" s="239" t="n">
        <v>22929.08</v>
      </c>
      <c r="AI14" s="239" t="n">
        <v>127383.75</v>
      </c>
      <c r="AJ14" s="259" t="b">
        <f aca="false">FALSE()</f>
        <v>0</v>
      </c>
      <c r="AL14" s="239" t="s">
        <v>1959</v>
      </c>
      <c r="AM14" s="239" t="s">
        <v>1632</v>
      </c>
      <c r="AN14" s="239" t="s">
        <v>1595</v>
      </c>
      <c r="AO14" s="239" t="s">
        <v>2156</v>
      </c>
      <c r="AP14" s="239" t="s">
        <v>1531</v>
      </c>
      <c r="AQ14" s="239" t="n">
        <v>2.29715200000003E+018</v>
      </c>
      <c r="AR14" s="239" t="s">
        <v>1532</v>
      </c>
      <c r="AS14" s="239" t="n">
        <v>2</v>
      </c>
      <c r="AT14" s="239" t="s">
        <v>1534</v>
      </c>
      <c r="AU14" s="239" t="s">
        <v>1535</v>
      </c>
      <c r="AV14" s="239" t="n">
        <v>2547.68</v>
      </c>
      <c r="AZ14" s="239" t="n">
        <v>127383.75</v>
      </c>
      <c r="BA14" s="239" t="s">
        <v>1531</v>
      </c>
      <c r="BB14" s="259" t="b">
        <f aca="false">TRUE()</f>
        <v>1</v>
      </c>
      <c r="BC14" s="239" t="n">
        <v>0</v>
      </c>
      <c r="BD14" s="239" t="n">
        <v>0</v>
      </c>
      <c r="BG14" s="239" t="n">
        <v>2.29715200000003E+018</v>
      </c>
      <c r="BH14" s="239" t="s">
        <v>1566</v>
      </c>
      <c r="BI14" s="239" t="n">
        <v>18</v>
      </c>
      <c r="BJ14" s="239" t="s">
        <v>1567</v>
      </c>
      <c r="BQ14" s="239" t="s">
        <v>1561</v>
      </c>
      <c r="BV14" s="239" t="s">
        <v>2138</v>
      </c>
      <c r="BW14" s="239" t="n">
        <v>0</v>
      </c>
      <c r="BZ14" s="259" t="b">
        <f aca="false">FALSE()</f>
        <v>0</v>
      </c>
      <c r="CC14" s="239" t="n">
        <v>0</v>
      </c>
      <c r="CD14" s="239" t="n">
        <v>0</v>
      </c>
      <c r="CE14" s="239" t="n">
        <v>18</v>
      </c>
      <c r="CF14" s="239" t="n">
        <v>0</v>
      </c>
      <c r="CG14" s="239" t="n">
        <v>0</v>
      </c>
      <c r="CH14" s="239" t="n">
        <v>0</v>
      </c>
      <c r="CI14" s="239" t="n">
        <v>22929.08</v>
      </c>
      <c r="CJ14" s="239" t="n">
        <v>0</v>
      </c>
      <c r="CK14" s="239" t="n">
        <v>0</v>
      </c>
      <c r="CL14" s="239" t="n">
        <v>0</v>
      </c>
      <c r="CM14" s="239" t="n">
        <v>22929.08</v>
      </c>
      <c r="CN14" s="239" t="n">
        <v>0</v>
      </c>
    </row>
    <row r="15" customFormat="false" ht="13.5" hidden="false" customHeight="false" outlineLevel="0" collapsed="false">
      <c r="A15" s="258" t="n">
        <v>45746</v>
      </c>
      <c r="B15" s="258" t="n">
        <v>45746</v>
      </c>
      <c r="C15" s="239" t="n">
        <v>2.29715200000005E+018</v>
      </c>
      <c r="D15" s="239" t="s">
        <v>2093</v>
      </c>
      <c r="E15" s="239" t="n">
        <v>0</v>
      </c>
      <c r="F15" s="239" t="n">
        <v>0</v>
      </c>
      <c r="G15" s="239" t="s">
        <v>1538</v>
      </c>
      <c r="H15" s="239" t="s">
        <v>2157</v>
      </c>
      <c r="J15" s="239" t="s">
        <v>1526</v>
      </c>
      <c r="K15" s="239" t="n">
        <v>1</v>
      </c>
      <c r="L15" s="239" t="n">
        <v>129910</v>
      </c>
      <c r="M15" s="239" t="n">
        <v>150695.6</v>
      </c>
      <c r="N15" s="239" t="n">
        <v>150695.6</v>
      </c>
      <c r="R15" s="239" t="n">
        <v>0</v>
      </c>
      <c r="S15" s="239" t="s">
        <v>1399</v>
      </c>
      <c r="T15" s="259" t="b">
        <f aca="false">FALSE()</f>
        <v>0</v>
      </c>
      <c r="Y15" s="239" t="s">
        <v>947</v>
      </c>
      <c r="Z15" s="239" t="s">
        <v>2136</v>
      </c>
      <c r="AC15" s="239" t="s">
        <v>2092</v>
      </c>
      <c r="AE15" s="239" t="s">
        <v>2155</v>
      </c>
      <c r="AF15" s="239" t="n">
        <v>1</v>
      </c>
      <c r="AH15" s="239" t="n">
        <v>23383.8</v>
      </c>
      <c r="AI15" s="239" t="n">
        <v>129910</v>
      </c>
      <c r="AJ15" s="259" t="b">
        <f aca="false">FALSE()</f>
        <v>0</v>
      </c>
      <c r="AL15" s="239" t="s">
        <v>1959</v>
      </c>
      <c r="AM15" s="239" t="s">
        <v>1632</v>
      </c>
      <c r="AN15" s="239" t="s">
        <v>1595</v>
      </c>
      <c r="AO15" s="239" t="s">
        <v>2156</v>
      </c>
      <c r="AP15" s="239" t="s">
        <v>1531</v>
      </c>
      <c r="AQ15" s="239" t="n">
        <v>2.29715200000003E+018</v>
      </c>
      <c r="AR15" s="239" t="s">
        <v>1532</v>
      </c>
      <c r="AS15" s="239" t="n">
        <v>2</v>
      </c>
      <c r="AT15" s="239" t="s">
        <v>1534</v>
      </c>
      <c r="AU15" s="239" t="s">
        <v>1535</v>
      </c>
      <c r="AV15" s="239" t="n">
        <v>2598.2</v>
      </c>
      <c r="AZ15" s="239" t="n">
        <v>129910</v>
      </c>
      <c r="BA15" s="239" t="s">
        <v>1531</v>
      </c>
      <c r="BB15" s="259" t="b">
        <f aca="false">TRUE()</f>
        <v>1</v>
      </c>
      <c r="BC15" s="239" t="n">
        <v>0</v>
      </c>
      <c r="BD15" s="239" t="n">
        <v>0</v>
      </c>
      <c r="BG15" s="239" t="n">
        <v>2.29715200000003E+018</v>
      </c>
      <c r="BH15" s="239" t="s">
        <v>1566</v>
      </c>
      <c r="BI15" s="239" t="n">
        <v>18</v>
      </c>
      <c r="BJ15" s="239" t="s">
        <v>1567</v>
      </c>
      <c r="BQ15" s="239" t="s">
        <v>1561</v>
      </c>
      <c r="BV15" s="239" t="s">
        <v>2138</v>
      </c>
      <c r="BW15" s="239" t="n">
        <v>0</v>
      </c>
      <c r="BZ15" s="259" t="b">
        <f aca="false">FALSE()</f>
        <v>0</v>
      </c>
      <c r="CC15" s="239" t="n">
        <v>0</v>
      </c>
      <c r="CD15" s="239" t="n">
        <v>0</v>
      </c>
      <c r="CE15" s="239" t="n">
        <v>18</v>
      </c>
      <c r="CF15" s="239" t="n">
        <v>0</v>
      </c>
      <c r="CG15" s="239" t="n">
        <v>0</v>
      </c>
      <c r="CH15" s="239" t="n">
        <v>0</v>
      </c>
      <c r="CI15" s="239" t="n">
        <v>23383.8</v>
      </c>
      <c r="CJ15" s="239" t="n">
        <v>0</v>
      </c>
      <c r="CK15" s="239" t="n">
        <v>0</v>
      </c>
      <c r="CL15" s="239" t="n">
        <v>0</v>
      </c>
      <c r="CM15" s="239" t="n">
        <v>23383.8</v>
      </c>
      <c r="CN15" s="239" t="n">
        <v>0</v>
      </c>
    </row>
    <row r="16" customFormat="false" ht="13.5" hidden="false" customHeight="false" outlineLevel="0" collapsed="false">
      <c r="A16" s="258" t="n">
        <v>45719</v>
      </c>
      <c r="B16" s="258" t="n">
        <v>45719</v>
      </c>
      <c r="C16" s="239" t="n">
        <v>2.29715200000005E+018</v>
      </c>
      <c r="D16" s="239" t="s">
        <v>2158</v>
      </c>
      <c r="E16" s="239" t="n">
        <v>0</v>
      </c>
      <c r="F16" s="239" t="n">
        <v>0</v>
      </c>
      <c r="G16" s="239" t="s">
        <v>1538</v>
      </c>
      <c r="H16" s="239" t="s">
        <v>2159</v>
      </c>
      <c r="J16" s="239" t="s">
        <v>1526</v>
      </c>
      <c r="K16" s="239" t="n">
        <v>1</v>
      </c>
      <c r="L16" s="239" t="n">
        <v>20000</v>
      </c>
      <c r="M16" s="239" t="n">
        <v>18000</v>
      </c>
      <c r="N16" s="239" t="n">
        <v>0</v>
      </c>
      <c r="R16" s="239" t="n">
        <v>0</v>
      </c>
      <c r="S16" s="239" t="s">
        <v>1399</v>
      </c>
      <c r="T16" s="259" t="b">
        <f aca="false">FALSE()</f>
        <v>0</v>
      </c>
      <c r="Y16" s="239" t="s">
        <v>2140</v>
      </c>
      <c r="Z16" s="239" t="s">
        <v>2136</v>
      </c>
      <c r="AC16" s="239" t="s">
        <v>2085</v>
      </c>
      <c r="AF16" s="239" t="n">
        <v>1</v>
      </c>
      <c r="AH16" s="239" t="n">
        <v>0</v>
      </c>
      <c r="AI16" s="239" t="n">
        <v>20000</v>
      </c>
      <c r="AJ16" s="259" t="b">
        <f aca="false">FALSE()</f>
        <v>0</v>
      </c>
      <c r="AL16" s="239" t="s">
        <v>2160</v>
      </c>
      <c r="AM16" s="239" t="s">
        <v>1632</v>
      </c>
      <c r="AN16" s="239" t="s">
        <v>1524</v>
      </c>
      <c r="AP16" s="239" t="s">
        <v>1531</v>
      </c>
      <c r="AQ16" s="239" t="n">
        <v>2.29715200000003E+018</v>
      </c>
      <c r="AR16" s="239" t="s">
        <v>1596</v>
      </c>
      <c r="AS16" s="239" t="n">
        <v>10</v>
      </c>
      <c r="AT16" s="239" t="s">
        <v>1534</v>
      </c>
      <c r="AU16" s="239" t="s">
        <v>1535</v>
      </c>
      <c r="AV16" s="239" t="n">
        <v>2000</v>
      </c>
      <c r="AZ16" s="239" t="n">
        <v>20000</v>
      </c>
      <c r="BA16" s="239" t="s">
        <v>1531</v>
      </c>
      <c r="BB16" s="259" t="b">
        <f aca="false">TRUE()</f>
        <v>1</v>
      </c>
      <c r="BC16" s="239" t="n">
        <v>0</v>
      </c>
      <c r="BD16" s="239" t="n">
        <v>0</v>
      </c>
      <c r="BQ16" s="239" t="s">
        <v>1561</v>
      </c>
      <c r="BV16" s="239" t="s">
        <v>2138</v>
      </c>
      <c r="BW16" s="239" t="n">
        <v>0</v>
      </c>
      <c r="BZ16" s="259" t="b">
        <f aca="false">FALSE()</f>
        <v>0</v>
      </c>
    </row>
    <row r="17" customFormat="false" ht="13.5" hidden="false" customHeight="false" outlineLevel="0" collapsed="false">
      <c r="A17" s="258" t="n">
        <v>45719</v>
      </c>
      <c r="B17" s="258" t="n">
        <v>45719</v>
      </c>
      <c r="C17" s="239" t="n">
        <v>2.29715200000005E+018</v>
      </c>
      <c r="D17" s="239" t="s">
        <v>2158</v>
      </c>
      <c r="E17" s="239" t="n">
        <v>0</v>
      </c>
      <c r="F17" s="239" t="n">
        <v>0</v>
      </c>
      <c r="G17" s="239" t="s">
        <v>1538</v>
      </c>
      <c r="H17" s="239" t="s">
        <v>2161</v>
      </c>
      <c r="J17" s="239" t="s">
        <v>1526</v>
      </c>
      <c r="K17" s="239" t="n">
        <v>1</v>
      </c>
      <c r="L17" s="239" t="n">
        <v>20000</v>
      </c>
      <c r="M17" s="239" t="n">
        <v>18000</v>
      </c>
      <c r="N17" s="239" t="n">
        <v>0</v>
      </c>
      <c r="R17" s="239" t="n">
        <v>0</v>
      </c>
      <c r="S17" s="239" t="s">
        <v>1399</v>
      </c>
      <c r="T17" s="259" t="b">
        <f aca="false">FALSE()</f>
        <v>0</v>
      </c>
      <c r="Y17" s="239" t="s">
        <v>2140</v>
      </c>
      <c r="Z17" s="239" t="s">
        <v>2136</v>
      </c>
      <c r="AC17" s="239" t="s">
        <v>2085</v>
      </c>
      <c r="AF17" s="239" t="n">
        <v>1</v>
      </c>
      <c r="AH17" s="239" t="n">
        <v>0</v>
      </c>
      <c r="AI17" s="239" t="n">
        <v>20000</v>
      </c>
      <c r="AJ17" s="259" t="b">
        <f aca="false">FALSE()</f>
        <v>0</v>
      </c>
      <c r="AL17" s="239" t="s">
        <v>2160</v>
      </c>
      <c r="AM17" s="239" t="s">
        <v>1632</v>
      </c>
      <c r="AN17" s="239" t="s">
        <v>1524</v>
      </c>
      <c r="AP17" s="239" t="s">
        <v>1531</v>
      </c>
      <c r="AQ17" s="239" t="n">
        <v>2.29715200000003E+018</v>
      </c>
      <c r="AR17" s="239" t="s">
        <v>1596</v>
      </c>
      <c r="AS17" s="239" t="n">
        <v>10</v>
      </c>
      <c r="AT17" s="239" t="s">
        <v>1534</v>
      </c>
      <c r="AU17" s="239" t="s">
        <v>1535</v>
      </c>
      <c r="AV17" s="239" t="n">
        <v>2000</v>
      </c>
      <c r="AZ17" s="239" t="n">
        <v>20000</v>
      </c>
      <c r="BA17" s="239" t="s">
        <v>1531</v>
      </c>
      <c r="BB17" s="259" t="b">
        <f aca="false">TRUE()</f>
        <v>1</v>
      </c>
      <c r="BC17" s="239" t="n">
        <v>0</v>
      </c>
      <c r="BD17" s="239" t="n">
        <v>0</v>
      </c>
      <c r="BQ17" s="239" t="s">
        <v>1561</v>
      </c>
      <c r="BV17" s="239" t="s">
        <v>2138</v>
      </c>
      <c r="BW17" s="239" t="n">
        <v>0</v>
      </c>
      <c r="BZ17" s="259" t="b">
        <f aca="false">FALSE()</f>
        <v>0</v>
      </c>
    </row>
    <row r="18" customFormat="false" ht="13.5" hidden="false" customHeight="false" outlineLevel="0" collapsed="false">
      <c r="A18" s="260" t="n">
        <v>45749</v>
      </c>
      <c r="B18" s="258" t="n">
        <v>45749</v>
      </c>
      <c r="C18" s="239" t="n">
        <v>2.29715200000009E+018</v>
      </c>
      <c r="D18" s="257" t="s">
        <v>2078</v>
      </c>
      <c r="E18" s="239" t="n">
        <v>0</v>
      </c>
      <c r="F18" s="239" t="n">
        <v>0</v>
      </c>
      <c r="G18" s="239" t="s">
        <v>1538</v>
      </c>
      <c r="H18" s="239" t="n">
        <v>2115377585</v>
      </c>
      <c r="J18" s="239" t="s">
        <v>1526</v>
      </c>
      <c r="K18" s="239" t="n">
        <v>1</v>
      </c>
      <c r="L18" s="257" t="n">
        <v>68564.08</v>
      </c>
      <c r="M18" s="239" t="n">
        <v>68564.08</v>
      </c>
      <c r="N18" s="239" t="n">
        <v>0</v>
      </c>
      <c r="R18" s="239" t="n">
        <v>0</v>
      </c>
      <c r="S18" s="239" t="s">
        <v>1399</v>
      </c>
      <c r="T18" s="259" t="b">
        <f aca="false">FALSE()</f>
        <v>0</v>
      </c>
      <c r="Y18" s="239" t="s">
        <v>2140</v>
      </c>
      <c r="Z18" s="239" t="s">
        <v>2136</v>
      </c>
      <c r="AC18" s="257" t="s">
        <v>2077</v>
      </c>
      <c r="AE18" s="239" t="s">
        <v>2162</v>
      </c>
      <c r="AF18" s="239" t="n">
        <v>1</v>
      </c>
      <c r="AH18" s="239" t="n">
        <v>0</v>
      </c>
      <c r="AI18" s="239" t="n">
        <v>68564.08</v>
      </c>
      <c r="AJ18" s="259" t="b">
        <f aca="false">FALSE()</f>
        <v>0</v>
      </c>
      <c r="AM18" s="239" t="s">
        <v>1632</v>
      </c>
      <c r="AN18" s="239" t="s">
        <v>2163</v>
      </c>
      <c r="AP18" s="239" t="s">
        <v>1527</v>
      </c>
      <c r="AS18" s="239" t="n">
        <v>0</v>
      </c>
      <c r="AV18" s="239" t="n">
        <v>0</v>
      </c>
      <c r="AZ18" s="239" t="n">
        <v>68564.08</v>
      </c>
      <c r="BA18" s="239" t="s">
        <v>1531</v>
      </c>
      <c r="BB18" s="259" t="b">
        <f aca="false">TRUE()</f>
        <v>1</v>
      </c>
      <c r="BC18" s="239" t="n">
        <v>0</v>
      </c>
      <c r="BD18" s="239" t="n">
        <v>0</v>
      </c>
      <c r="BM18" s="239" t="n">
        <v>0</v>
      </c>
      <c r="BQ18" s="239" t="s">
        <v>1561</v>
      </c>
      <c r="BR18" s="239" t="s">
        <v>1566</v>
      </c>
      <c r="BS18" s="239" t="n">
        <v>18</v>
      </c>
      <c r="BT18" s="239" t="s">
        <v>1567</v>
      </c>
      <c r="BV18" s="239" t="s">
        <v>2138</v>
      </c>
      <c r="BW18" s="239" t="n">
        <v>0</v>
      </c>
      <c r="BZ18" s="259" t="b">
        <f aca="false">FALSE()</f>
        <v>0</v>
      </c>
    </row>
    <row r="19" customFormat="false" ht="13.5" hidden="false" customHeight="false" outlineLevel="0" collapsed="false">
      <c r="A19" s="260" t="n">
        <v>45776</v>
      </c>
      <c r="B19" s="258" t="n">
        <v>45776</v>
      </c>
      <c r="C19" s="239" t="n">
        <v>2.29715200000012E+018</v>
      </c>
      <c r="D19" s="257" t="s">
        <v>2087</v>
      </c>
      <c r="E19" s="239" t="n">
        <v>0</v>
      </c>
      <c r="F19" s="239" t="n">
        <v>0</v>
      </c>
      <c r="G19" s="239" t="s">
        <v>1870</v>
      </c>
      <c r="H19" s="239" t="s">
        <v>2164</v>
      </c>
      <c r="J19" s="239" t="s">
        <v>1526</v>
      </c>
      <c r="K19" s="239" t="n">
        <v>1</v>
      </c>
      <c r="L19" s="257" t="n">
        <v>65000</v>
      </c>
      <c r="M19" s="239" t="n">
        <v>70200</v>
      </c>
      <c r="N19" s="239" t="n">
        <v>63200</v>
      </c>
      <c r="R19" s="239" t="n">
        <v>0</v>
      </c>
      <c r="S19" s="239" t="s">
        <v>1399</v>
      </c>
      <c r="T19" s="259" t="b">
        <f aca="false">FALSE()</f>
        <v>0</v>
      </c>
      <c r="Y19" s="239" t="s">
        <v>947</v>
      </c>
      <c r="Z19" s="239" t="s">
        <v>2136</v>
      </c>
      <c r="AC19" s="257" t="s">
        <v>2085</v>
      </c>
      <c r="AF19" s="239" t="n">
        <v>1</v>
      </c>
      <c r="AH19" s="239" t="n">
        <v>11700</v>
      </c>
      <c r="AI19" s="239" t="n">
        <v>65000</v>
      </c>
      <c r="AJ19" s="259" t="b">
        <f aca="false">FALSE()</f>
        <v>0</v>
      </c>
      <c r="AL19" s="239" t="s">
        <v>1522</v>
      </c>
      <c r="AM19" s="239" t="s">
        <v>1632</v>
      </c>
      <c r="AN19" s="239" t="s">
        <v>1595</v>
      </c>
      <c r="AO19" s="239" t="s">
        <v>2142</v>
      </c>
      <c r="AP19" s="239" t="s">
        <v>1531</v>
      </c>
      <c r="AQ19" s="239" t="n">
        <v>2.29715200000003E+018</v>
      </c>
      <c r="AR19" s="239" t="s">
        <v>1596</v>
      </c>
      <c r="AS19" s="239" t="n">
        <v>10</v>
      </c>
      <c r="AT19" s="239" t="s">
        <v>1534</v>
      </c>
      <c r="AU19" s="239" t="s">
        <v>1535</v>
      </c>
      <c r="AV19" s="239" t="n">
        <v>6500</v>
      </c>
      <c r="AZ19" s="239" t="n">
        <v>65000</v>
      </c>
      <c r="BA19" s="239" t="s">
        <v>1531</v>
      </c>
      <c r="BB19" s="259" t="b">
        <f aca="false">TRUE()</f>
        <v>1</v>
      </c>
      <c r="BC19" s="239" t="n">
        <v>0</v>
      </c>
      <c r="BD19" s="239" t="n">
        <v>0</v>
      </c>
      <c r="BG19" s="239" t="n">
        <v>2.29715200000003E+018</v>
      </c>
      <c r="BH19" s="239" t="s">
        <v>1566</v>
      </c>
      <c r="BI19" s="239" t="n">
        <v>18</v>
      </c>
      <c r="BJ19" s="239" t="s">
        <v>1567</v>
      </c>
      <c r="BQ19" s="239" t="s">
        <v>1561</v>
      </c>
      <c r="BV19" s="239" t="s">
        <v>2138</v>
      </c>
      <c r="BW19" s="239" t="n">
        <v>0</v>
      </c>
      <c r="BZ19" s="259" t="b">
        <f aca="false">FALSE()</f>
        <v>0</v>
      </c>
      <c r="CC19" s="239" t="n">
        <v>0</v>
      </c>
      <c r="CD19" s="239" t="n">
        <v>0</v>
      </c>
      <c r="CE19" s="239" t="n">
        <v>18</v>
      </c>
      <c r="CF19" s="239" t="n">
        <v>0</v>
      </c>
      <c r="CG19" s="239" t="n">
        <v>0</v>
      </c>
      <c r="CH19" s="239" t="n">
        <v>0</v>
      </c>
      <c r="CI19" s="239" t="n">
        <v>11700</v>
      </c>
      <c r="CJ19" s="239" t="n">
        <v>0</v>
      </c>
      <c r="CK19" s="239" t="n">
        <v>0</v>
      </c>
      <c r="CL19" s="239" t="n">
        <v>0</v>
      </c>
      <c r="CM19" s="239" t="n">
        <v>11700</v>
      </c>
      <c r="CN19" s="239" t="n">
        <v>0</v>
      </c>
    </row>
    <row r="20" customFormat="false" ht="13.5" hidden="false" customHeight="false" outlineLevel="0" collapsed="false">
      <c r="A20" s="260" t="n">
        <v>45752</v>
      </c>
      <c r="B20" s="258" t="n">
        <v>45752</v>
      </c>
      <c r="C20" s="239" t="n">
        <v>2.29715200000014E+018</v>
      </c>
      <c r="D20" s="257" t="s">
        <v>2089</v>
      </c>
      <c r="E20" s="239" t="n">
        <v>0</v>
      </c>
      <c r="F20" s="239" t="n">
        <v>0</v>
      </c>
      <c r="G20" s="239" t="s">
        <v>2165</v>
      </c>
      <c r="H20" s="239" t="n">
        <v>249028</v>
      </c>
      <c r="J20" s="239" t="s">
        <v>1526</v>
      </c>
      <c r="K20" s="239" t="n">
        <v>1</v>
      </c>
      <c r="L20" s="257" t="n">
        <v>100</v>
      </c>
      <c r="M20" s="239" t="n">
        <v>118</v>
      </c>
      <c r="N20" s="239" t="n">
        <v>0</v>
      </c>
      <c r="R20" s="239" t="n">
        <v>0</v>
      </c>
      <c r="S20" s="239" t="s">
        <v>1399</v>
      </c>
      <c r="T20" s="259" t="b">
        <f aca="false">FALSE()</f>
        <v>0</v>
      </c>
      <c r="Y20" s="239" t="s">
        <v>2140</v>
      </c>
      <c r="Z20" s="239" t="s">
        <v>2136</v>
      </c>
      <c r="AC20" s="257" t="s">
        <v>2088</v>
      </c>
      <c r="AF20" s="239" t="n">
        <v>1</v>
      </c>
      <c r="AH20" s="239" t="n">
        <v>18</v>
      </c>
      <c r="AI20" s="239" t="n">
        <v>100</v>
      </c>
      <c r="AJ20" s="259" t="b">
        <f aca="false">FALSE()</f>
        <v>0</v>
      </c>
      <c r="AL20" s="239" t="s">
        <v>1959</v>
      </c>
      <c r="AM20" s="239" t="s">
        <v>1632</v>
      </c>
      <c r="AN20" s="239" t="s">
        <v>1595</v>
      </c>
      <c r="AO20" s="239" t="s">
        <v>2166</v>
      </c>
      <c r="AP20" s="239" t="s">
        <v>1527</v>
      </c>
      <c r="AS20" s="239" t="n">
        <v>0</v>
      </c>
      <c r="AV20" s="239" t="n">
        <v>0</v>
      </c>
      <c r="AZ20" s="239" t="n">
        <v>100</v>
      </c>
      <c r="BA20" s="239" t="s">
        <v>1531</v>
      </c>
      <c r="BB20" s="259" t="b">
        <f aca="false">TRUE()</f>
        <v>1</v>
      </c>
      <c r="BC20" s="239" t="n">
        <v>0</v>
      </c>
      <c r="BD20" s="239" t="n">
        <v>0</v>
      </c>
      <c r="BG20" s="239" t="n">
        <v>2.29715200000003E+018</v>
      </c>
      <c r="BH20" s="239" t="s">
        <v>1566</v>
      </c>
      <c r="BI20" s="239" t="n">
        <v>18</v>
      </c>
      <c r="BJ20" s="239" t="s">
        <v>1567</v>
      </c>
      <c r="BM20" s="239" t="n">
        <v>0</v>
      </c>
      <c r="BQ20" s="239" t="s">
        <v>1561</v>
      </c>
      <c r="BV20" s="239" t="s">
        <v>2138</v>
      </c>
      <c r="BW20" s="239" t="n">
        <v>0</v>
      </c>
      <c r="BZ20" s="259" t="b">
        <f aca="false">FALSE()</f>
        <v>0</v>
      </c>
      <c r="CC20" s="239" t="n">
        <v>0</v>
      </c>
      <c r="CD20" s="239" t="n">
        <v>0</v>
      </c>
      <c r="CE20" s="239" t="n">
        <v>18</v>
      </c>
      <c r="CF20" s="239" t="n">
        <v>0</v>
      </c>
      <c r="CG20" s="239" t="n">
        <v>0</v>
      </c>
      <c r="CH20" s="239" t="n">
        <v>0</v>
      </c>
      <c r="CI20" s="239" t="n">
        <v>18</v>
      </c>
      <c r="CJ20" s="239" t="n">
        <v>0</v>
      </c>
      <c r="CK20" s="239" t="n">
        <v>0</v>
      </c>
      <c r="CL20" s="239" t="n">
        <v>0</v>
      </c>
      <c r="CM20" s="239" t="n">
        <v>18</v>
      </c>
      <c r="CN20" s="239" t="n">
        <v>0</v>
      </c>
    </row>
    <row r="21" customFormat="false" ht="13.5" hidden="false" customHeight="false" outlineLevel="0" collapsed="false">
      <c r="A21" s="258" t="n">
        <v>45716</v>
      </c>
      <c r="B21" s="258" t="n">
        <v>45716</v>
      </c>
      <c r="C21" s="239" t="n">
        <v>2.29715200000014E+018</v>
      </c>
      <c r="D21" s="239" t="s">
        <v>2091</v>
      </c>
      <c r="E21" s="239" t="n">
        <v>0</v>
      </c>
      <c r="F21" s="239" t="n">
        <v>0</v>
      </c>
      <c r="G21" s="239" t="s">
        <v>1870</v>
      </c>
      <c r="H21" s="239" t="s">
        <v>2167</v>
      </c>
      <c r="J21" s="239" t="s">
        <v>1526</v>
      </c>
      <c r="K21" s="239" t="n">
        <v>1</v>
      </c>
      <c r="L21" s="239" t="n">
        <v>6790.02</v>
      </c>
      <c r="M21" s="239" t="n">
        <v>8010.44</v>
      </c>
      <c r="N21" s="239" t="n">
        <v>0</v>
      </c>
      <c r="R21" s="239" t="n">
        <v>0</v>
      </c>
      <c r="S21" s="239" t="s">
        <v>1399</v>
      </c>
      <c r="T21" s="259" t="b">
        <f aca="false">FALSE()</f>
        <v>0</v>
      </c>
      <c r="Y21" s="239" t="s">
        <v>2140</v>
      </c>
      <c r="Z21" s="239" t="s">
        <v>2136</v>
      </c>
      <c r="AC21" s="239" t="s">
        <v>2088</v>
      </c>
      <c r="AF21" s="239" t="n">
        <v>1</v>
      </c>
      <c r="AH21" s="239" t="n">
        <v>1220.42</v>
      </c>
      <c r="AI21" s="239" t="n">
        <v>6780.13</v>
      </c>
      <c r="AJ21" s="259" t="b">
        <f aca="false">FALSE()</f>
        <v>0</v>
      </c>
      <c r="AL21" s="239" t="s">
        <v>1959</v>
      </c>
      <c r="AM21" s="239" t="s">
        <v>1632</v>
      </c>
      <c r="AN21" s="239" t="s">
        <v>1595</v>
      </c>
      <c r="AO21" s="239" t="s">
        <v>2168</v>
      </c>
      <c r="AP21" s="239" t="s">
        <v>1527</v>
      </c>
      <c r="AS21" s="239" t="n">
        <v>0</v>
      </c>
      <c r="AV21" s="239" t="n">
        <v>0</v>
      </c>
      <c r="AZ21" s="239" t="n">
        <v>6780.13</v>
      </c>
      <c r="BA21" s="239" t="s">
        <v>1531</v>
      </c>
      <c r="BB21" s="259" t="b">
        <f aca="false">TRUE()</f>
        <v>1</v>
      </c>
      <c r="BC21" s="239" t="n">
        <v>0</v>
      </c>
      <c r="BD21" s="239" t="n">
        <v>0</v>
      </c>
      <c r="BG21" s="239" t="n">
        <v>2.29715200000003E+018</v>
      </c>
      <c r="BH21" s="239" t="s">
        <v>1566</v>
      </c>
      <c r="BI21" s="239" t="n">
        <v>18</v>
      </c>
      <c r="BJ21" s="239" t="s">
        <v>1567</v>
      </c>
      <c r="BM21" s="239" t="n">
        <v>0</v>
      </c>
      <c r="BQ21" s="239" t="s">
        <v>1561</v>
      </c>
      <c r="BV21" s="239" t="s">
        <v>2138</v>
      </c>
      <c r="BW21" s="239" t="n">
        <v>0</v>
      </c>
      <c r="BZ21" s="259" t="b">
        <f aca="false">FALSE()</f>
        <v>0</v>
      </c>
      <c r="CC21" s="239" t="n">
        <v>0</v>
      </c>
      <c r="CD21" s="239" t="n">
        <v>0</v>
      </c>
      <c r="CE21" s="239" t="n">
        <v>18</v>
      </c>
      <c r="CF21" s="239" t="n">
        <v>0</v>
      </c>
      <c r="CG21" s="239" t="n">
        <v>0</v>
      </c>
      <c r="CH21" s="239" t="n">
        <v>0</v>
      </c>
      <c r="CI21" s="239" t="n">
        <v>1220.42</v>
      </c>
      <c r="CJ21" s="239" t="n">
        <v>0</v>
      </c>
      <c r="CK21" s="239" t="n">
        <v>0</v>
      </c>
      <c r="CL21" s="239" t="n">
        <v>0</v>
      </c>
      <c r="CM21" s="239" t="n">
        <v>1220.42</v>
      </c>
      <c r="CN21" s="239" t="n">
        <v>0</v>
      </c>
    </row>
    <row r="22" customFormat="false" ht="13.5" hidden="false" customHeight="false" outlineLevel="0" collapsed="false">
      <c r="A22" s="258" t="n">
        <v>45716</v>
      </c>
      <c r="B22" s="258" t="n">
        <v>45716</v>
      </c>
      <c r="C22" s="239" t="n">
        <v>2.29715200000014E+018</v>
      </c>
      <c r="D22" s="239" t="s">
        <v>2091</v>
      </c>
      <c r="E22" s="239" t="n">
        <v>0</v>
      </c>
      <c r="F22" s="239" t="n">
        <v>0</v>
      </c>
      <c r="G22" s="239" t="s">
        <v>1870</v>
      </c>
      <c r="H22" s="239" t="s">
        <v>2167</v>
      </c>
      <c r="J22" s="239" t="s">
        <v>1526</v>
      </c>
      <c r="K22" s="239" t="n">
        <v>1</v>
      </c>
      <c r="L22" s="239" t="n">
        <v>6790.02</v>
      </c>
      <c r="M22" s="239" t="n">
        <v>8010.44</v>
      </c>
      <c r="N22" s="239" t="n">
        <v>0</v>
      </c>
      <c r="R22" s="239" t="n">
        <v>0</v>
      </c>
      <c r="S22" s="239" t="s">
        <v>1399</v>
      </c>
      <c r="T22" s="259" t="b">
        <f aca="false">FALSE()</f>
        <v>0</v>
      </c>
      <c r="Y22" s="239" t="s">
        <v>2140</v>
      </c>
      <c r="Z22" s="239" t="s">
        <v>2136</v>
      </c>
      <c r="AC22" s="239" t="s">
        <v>2088</v>
      </c>
      <c r="AF22" s="239" t="n">
        <v>1</v>
      </c>
      <c r="AH22" s="239" t="n">
        <v>0</v>
      </c>
      <c r="AI22" s="239" t="n">
        <v>9.89</v>
      </c>
      <c r="AJ22" s="259" t="b">
        <f aca="false">FALSE()</f>
        <v>0</v>
      </c>
      <c r="AL22" s="239" t="s">
        <v>1959</v>
      </c>
      <c r="AM22" s="239" t="s">
        <v>1632</v>
      </c>
      <c r="AN22" s="239" t="s">
        <v>1595</v>
      </c>
      <c r="AO22" s="239" t="s">
        <v>2168</v>
      </c>
      <c r="AP22" s="239" t="s">
        <v>1527</v>
      </c>
      <c r="AS22" s="239" t="n">
        <v>0</v>
      </c>
      <c r="AV22" s="239" t="n">
        <v>0</v>
      </c>
      <c r="AZ22" s="239" t="n">
        <v>9.89</v>
      </c>
      <c r="BA22" s="239" t="s">
        <v>1531</v>
      </c>
      <c r="BB22" s="259" t="b">
        <f aca="false">TRUE()</f>
        <v>1</v>
      </c>
      <c r="BC22" s="239" t="n">
        <v>0</v>
      </c>
      <c r="BD22" s="239" t="n">
        <v>0</v>
      </c>
      <c r="BG22" s="239" t="n">
        <v>2.29715200000003E+018</v>
      </c>
      <c r="BH22" s="239" t="s">
        <v>2144</v>
      </c>
      <c r="BI22" s="239" t="n">
        <v>0</v>
      </c>
      <c r="BJ22" s="239" t="s">
        <v>1567</v>
      </c>
      <c r="BM22" s="239" t="n">
        <v>0</v>
      </c>
      <c r="BQ22" s="239" t="s">
        <v>1561</v>
      </c>
      <c r="BV22" s="239" t="s">
        <v>2138</v>
      </c>
      <c r="BW22" s="239" t="n">
        <v>0</v>
      </c>
      <c r="BZ22" s="259" t="b">
        <f aca="false">FALSE()</f>
        <v>0</v>
      </c>
      <c r="CC22" s="239" t="n">
        <v>0</v>
      </c>
      <c r="CD22" s="239" t="n">
        <v>0</v>
      </c>
      <c r="CE22" s="239" t="n">
        <v>0</v>
      </c>
      <c r="CF22" s="239" t="n">
        <v>0</v>
      </c>
      <c r="CG22" s="239" t="n">
        <v>0</v>
      </c>
      <c r="CH22" s="239" t="n">
        <v>0</v>
      </c>
      <c r="CI22" s="239" t="n">
        <v>0</v>
      </c>
      <c r="CJ22" s="239" t="n">
        <v>0</v>
      </c>
      <c r="CK22" s="239" t="n">
        <v>0</v>
      </c>
      <c r="CL22" s="239" t="n">
        <v>0</v>
      </c>
      <c r="CM22" s="239" t="n">
        <v>0</v>
      </c>
      <c r="CN22" s="239" t="n">
        <v>0</v>
      </c>
    </row>
    <row r="23" customFormat="false" ht="13.5" hidden="false" customHeight="false" outlineLevel="0" collapsed="false">
      <c r="A23" s="258" t="n">
        <v>45742</v>
      </c>
      <c r="B23" s="258" t="n">
        <v>45742</v>
      </c>
      <c r="C23" s="239" t="n">
        <v>2.29715200000014E+018</v>
      </c>
      <c r="D23" s="239" t="s">
        <v>2169</v>
      </c>
      <c r="E23" s="239" t="n">
        <v>0</v>
      </c>
      <c r="F23" s="239" t="n">
        <v>0</v>
      </c>
      <c r="G23" s="239" t="s">
        <v>1870</v>
      </c>
      <c r="H23" s="239" t="s">
        <v>2170</v>
      </c>
      <c r="J23" s="239" t="s">
        <v>1526</v>
      </c>
      <c r="K23" s="239" t="n">
        <v>1</v>
      </c>
      <c r="L23" s="239" t="n">
        <v>10000</v>
      </c>
      <c r="M23" s="239" t="n">
        <v>11800</v>
      </c>
      <c r="N23" s="239" t="n">
        <v>0</v>
      </c>
      <c r="R23" s="239" t="n">
        <v>0</v>
      </c>
      <c r="S23" s="239" t="s">
        <v>1399</v>
      </c>
      <c r="T23" s="259" t="b">
        <f aca="false">FALSE()</f>
        <v>0</v>
      </c>
      <c r="Y23" s="239" t="s">
        <v>2140</v>
      </c>
      <c r="Z23" s="239" t="s">
        <v>2136</v>
      </c>
      <c r="AC23" s="239" t="s">
        <v>2094</v>
      </c>
      <c r="AE23" s="239" t="s">
        <v>2094</v>
      </c>
      <c r="AF23" s="239" t="n">
        <v>1</v>
      </c>
      <c r="AH23" s="239" t="n">
        <v>1800</v>
      </c>
      <c r="AI23" s="239" t="n">
        <v>10000</v>
      </c>
      <c r="AJ23" s="259" t="b">
        <f aca="false">FALSE()</f>
        <v>0</v>
      </c>
      <c r="AL23" s="239" t="s">
        <v>1959</v>
      </c>
      <c r="AM23" s="239" t="s">
        <v>1632</v>
      </c>
      <c r="AN23" s="239" t="s">
        <v>1595</v>
      </c>
      <c r="AO23" s="239" t="s">
        <v>2171</v>
      </c>
      <c r="AP23" s="239" t="s">
        <v>1527</v>
      </c>
      <c r="AS23" s="239" t="n">
        <v>0</v>
      </c>
      <c r="AV23" s="239" t="n">
        <v>0</v>
      </c>
      <c r="AZ23" s="239" t="n">
        <v>10000</v>
      </c>
      <c r="BA23" s="239" t="s">
        <v>1531</v>
      </c>
      <c r="BB23" s="259" t="b">
        <f aca="false">TRUE()</f>
        <v>1</v>
      </c>
      <c r="BC23" s="239" t="n">
        <v>0</v>
      </c>
      <c r="BD23" s="239" t="n">
        <v>0</v>
      </c>
      <c r="BG23" s="239" t="n">
        <v>2.29715200000003E+018</v>
      </c>
      <c r="BH23" s="239" t="s">
        <v>1566</v>
      </c>
      <c r="BI23" s="239" t="n">
        <v>18</v>
      </c>
      <c r="BJ23" s="239" t="s">
        <v>1567</v>
      </c>
      <c r="BM23" s="239" t="n">
        <v>0</v>
      </c>
      <c r="BQ23" s="239" t="s">
        <v>1561</v>
      </c>
      <c r="BV23" s="239" t="s">
        <v>2138</v>
      </c>
      <c r="BW23" s="239" t="n">
        <v>0</v>
      </c>
      <c r="BZ23" s="259" t="b">
        <f aca="false">FALSE()</f>
        <v>0</v>
      </c>
      <c r="CC23" s="239" t="n">
        <v>0</v>
      </c>
      <c r="CD23" s="239" t="n">
        <v>0</v>
      </c>
      <c r="CE23" s="239" t="n">
        <v>18</v>
      </c>
      <c r="CF23" s="239" t="n">
        <v>0</v>
      </c>
      <c r="CG23" s="239" t="n">
        <v>0</v>
      </c>
      <c r="CH23" s="239" t="n">
        <v>0</v>
      </c>
      <c r="CI23" s="239" t="n">
        <v>1800</v>
      </c>
      <c r="CJ23" s="239" t="n">
        <v>0</v>
      </c>
      <c r="CK23" s="239" t="n">
        <v>0</v>
      </c>
      <c r="CL23" s="239" t="n">
        <v>0</v>
      </c>
      <c r="CM23" s="239" t="n">
        <v>1800</v>
      </c>
      <c r="CN23" s="239" t="n">
        <v>0</v>
      </c>
    </row>
    <row r="24" customFormat="false" ht="13.5" hidden="false" customHeight="false" outlineLevel="0" collapsed="false">
      <c r="A24" s="258" t="n">
        <v>45737</v>
      </c>
      <c r="B24" s="258" t="n">
        <v>45737</v>
      </c>
      <c r="C24" s="239" t="n">
        <v>2.29715200000014E+018</v>
      </c>
      <c r="D24" s="239" t="s">
        <v>2099</v>
      </c>
      <c r="E24" s="239" t="n">
        <v>0</v>
      </c>
      <c r="F24" s="239" t="n">
        <v>0</v>
      </c>
      <c r="G24" s="239" t="s">
        <v>1870</v>
      </c>
      <c r="H24" s="239" t="s">
        <v>2172</v>
      </c>
      <c r="J24" s="239" t="s">
        <v>1526</v>
      </c>
      <c r="K24" s="239" t="n">
        <v>1</v>
      </c>
      <c r="L24" s="239" t="n">
        <v>1047</v>
      </c>
      <c r="M24" s="239" t="n">
        <v>1235.46</v>
      </c>
      <c r="N24" s="239" t="n">
        <v>1235.46</v>
      </c>
      <c r="R24" s="239" t="n">
        <v>0</v>
      </c>
      <c r="S24" s="239" t="s">
        <v>1399</v>
      </c>
      <c r="T24" s="259" t="b">
        <f aca="false">FALSE()</f>
        <v>0</v>
      </c>
      <c r="Y24" s="239" t="s">
        <v>947</v>
      </c>
      <c r="Z24" s="239" t="s">
        <v>2136</v>
      </c>
      <c r="AC24" s="239" t="s">
        <v>2173</v>
      </c>
      <c r="AF24" s="239" t="n">
        <v>1</v>
      </c>
      <c r="AH24" s="239" t="n">
        <v>188.46</v>
      </c>
      <c r="AI24" s="239" t="n">
        <v>1047</v>
      </c>
      <c r="AJ24" s="259" t="b">
        <f aca="false">FALSE()</f>
        <v>0</v>
      </c>
      <c r="AL24" s="239" t="s">
        <v>1959</v>
      </c>
      <c r="AM24" s="239" t="s">
        <v>1632</v>
      </c>
      <c r="AN24" s="239" t="s">
        <v>1595</v>
      </c>
      <c r="AO24" s="239" t="s">
        <v>2174</v>
      </c>
      <c r="AP24" s="239" t="s">
        <v>1527</v>
      </c>
      <c r="AS24" s="239" t="n">
        <v>0</v>
      </c>
      <c r="AV24" s="239" t="n">
        <v>0</v>
      </c>
      <c r="AZ24" s="239" t="n">
        <v>1047</v>
      </c>
      <c r="BA24" s="239" t="s">
        <v>1531</v>
      </c>
      <c r="BB24" s="259" t="b">
        <f aca="false">TRUE()</f>
        <v>1</v>
      </c>
      <c r="BC24" s="239" t="n">
        <v>0</v>
      </c>
      <c r="BD24" s="239" t="n">
        <v>0</v>
      </c>
      <c r="BG24" s="239" t="n">
        <v>2.29715200000003E+018</v>
      </c>
      <c r="BH24" s="239" t="s">
        <v>1566</v>
      </c>
      <c r="BI24" s="239" t="n">
        <v>18</v>
      </c>
      <c r="BJ24" s="239" t="s">
        <v>1567</v>
      </c>
      <c r="BM24" s="239" t="n">
        <v>0</v>
      </c>
      <c r="BQ24" s="239" t="s">
        <v>1561</v>
      </c>
      <c r="BV24" s="239" t="s">
        <v>2138</v>
      </c>
      <c r="BW24" s="239" t="n">
        <v>0</v>
      </c>
      <c r="BZ24" s="259" t="b">
        <f aca="false">FALSE()</f>
        <v>0</v>
      </c>
      <c r="CC24" s="239" t="n">
        <v>0</v>
      </c>
      <c r="CD24" s="239" t="n">
        <v>0</v>
      </c>
      <c r="CE24" s="239" t="n">
        <v>18</v>
      </c>
      <c r="CF24" s="239" t="n">
        <v>0</v>
      </c>
      <c r="CG24" s="239" t="n">
        <v>0</v>
      </c>
      <c r="CH24" s="239" t="n">
        <v>0</v>
      </c>
      <c r="CI24" s="239" t="n">
        <v>188.46</v>
      </c>
      <c r="CJ24" s="239" t="n">
        <v>0</v>
      </c>
      <c r="CK24" s="239" t="n">
        <v>0</v>
      </c>
      <c r="CL24" s="239" t="n">
        <v>0</v>
      </c>
      <c r="CM24" s="239" t="n">
        <v>188.46</v>
      </c>
      <c r="CN24" s="239" t="n">
        <v>0</v>
      </c>
    </row>
    <row r="25" customFormat="false" ht="13.5" hidden="false" customHeight="false" outlineLevel="0" collapsed="false">
      <c r="A25" s="258" t="n">
        <v>45740</v>
      </c>
      <c r="B25" s="258" t="n">
        <v>45740</v>
      </c>
      <c r="C25" s="239" t="n">
        <v>2.29715200000014E+018</v>
      </c>
      <c r="D25" s="239" t="s">
        <v>2099</v>
      </c>
      <c r="E25" s="239" t="n">
        <v>0</v>
      </c>
      <c r="F25" s="239" t="n">
        <v>0</v>
      </c>
      <c r="G25" s="239" t="s">
        <v>1870</v>
      </c>
      <c r="H25" s="239" t="s">
        <v>2175</v>
      </c>
      <c r="J25" s="239" t="s">
        <v>1526</v>
      </c>
      <c r="K25" s="239" t="n">
        <v>1</v>
      </c>
      <c r="L25" s="239" t="n">
        <v>698</v>
      </c>
      <c r="M25" s="239" t="n">
        <v>823.64</v>
      </c>
      <c r="N25" s="239" t="n">
        <v>823.64</v>
      </c>
      <c r="R25" s="239" t="n">
        <v>0</v>
      </c>
      <c r="S25" s="239" t="s">
        <v>1399</v>
      </c>
      <c r="T25" s="259" t="b">
        <f aca="false">FALSE()</f>
        <v>0</v>
      </c>
      <c r="Y25" s="239" t="s">
        <v>947</v>
      </c>
      <c r="Z25" s="239" t="s">
        <v>2136</v>
      </c>
      <c r="AC25" s="239" t="s">
        <v>2173</v>
      </c>
      <c r="AF25" s="239" t="n">
        <v>1</v>
      </c>
      <c r="AH25" s="239" t="n">
        <v>125.64</v>
      </c>
      <c r="AI25" s="239" t="n">
        <v>698</v>
      </c>
      <c r="AJ25" s="259" t="b">
        <f aca="false">FALSE()</f>
        <v>0</v>
      </c>
      <c r="AL25" s="239" t="s">
        <v>1959</v>
      </c>
      <c r="AM25" s="239" t="s">
        <v>1632</v>
      </c>
      <c r="AN25" s="239" t="s">
        <v>1595</v>
      </c>
      <c r="AO25" s="239" t="s">
        <v>2174</v>
      </c>
      <c r="AP25" s="239" t="s">
        <v>1527</v>
      </c>
      <c r="AS25" s="239" t="n">
        <v>0</v>
      </c>
      <c r="AV25" s="239" t="n">
        <v>0</v>
      </c>
      <c r="AZ25" s="239" t="n">
        <v>698</v>
      </c>
      <c r="BA25" s="239" t="s">
        <v>1531</v>
      </c>
      <c r="BB25" s="259" t="b">
        <f aca="false">TRUE()</f>
        <v>1</v>
      </c>
      <c r="BC25" s="239" t="n">
        <v>0</v>
      </c>
      <c r="BD25" s="239" t="n">
        <v>0</v>
      </c>
      <c r="BG25" s="239" t="n">
        <v>2.29715200000003E+018</v>
      </c>
      <c r="BH25" s="239" t="s">
        <v>1566</v>
      </c>
      <c r="BI25" s="239" t="n">
        <v>18</v>
      </c>
      <c r="BJ25" s="239" t="s">
        <v>1567</v>
      </c>
      <c r="BM25" s="239" t="n">
        <v>0</v>
      </c>
      <c r="BQ25" s="239" t="s">
        <v>1561</v>
      </c>
      <c r="BV25" s="239" t="s">
        <v>2138</v>
      </c>
      <c r="BW25" s="239" t="n">
        <v>0</v>
      </c>
      <c r="BZ25" s="259" t="b">
        <f aca="false">FALSE()</f>
        <v>0</v>
      </c>
      <c r="CC25" s="239" t="n">
        <v>0</v>
      </c>
      <c r="CD25" s="239" t="n">
        <v>0</v>
      </c>
      <c r="CE25" s="239" t="n">
        <v>18</v>
      </c>
      <c r="CF25" s="239" t="n">
        <v>0</v>
      </c>
      <c r="CG25" s="239" t="n">
        <v>0</v>
      </c>
      <c r="CH25" s="239" t="n">
        <v>0</v>
      </c>
      <c r="CI25" s="239" t="n">
        <v>125.64</v>
      </c>
      <c r="CJ25" s="239" t="n">
        <v>0</v>
      </c>
      <c r="CK25" s="239" t="n">
        <v>0</v>
      </c>
      <c r="CL25" s="239" t="n">
        <v>0</v>
      </c>
      <c r="CM25" s="239" t="n">
        <v>125.64</v>
      </c>
      <c r="CN25" s="239" t="n">
        <v>0</v>
      </c>
    </row>
    <row r="26" customFormat="false" ht="13.5" hidden="false" customHeight="false" outlineLevel="0" collapsed="false">
      <c r="A26" s="258" t="n">
        <v>45742</v>
      </c>
      <c r="B26" s="258" t="n">
        <v>45742</v>
      </c>
      <c r="C26" s="239" t="n">
        <v>2.29715200000014E+018</v>
      </c>
      <c r="D26" s="239" t="s">
        <v>2099</v>
      </c>
      <c r="E26" s="239" t="n">
        <v>0</v>
      </c>
      <c r="F26" s="239" t="n">
        <v>0</v>
      </c>
      <c r="G26" s="239" t="s">
        <v>1870</v>
      </c>
      <c r="H26" s="239" t="s">
        <v>2176</v>
      </c>
      <c r="J26" s="239" t="s">
        <v>1526</v>
      </c>
      <c r="K26" s="239" t="n">
        <v>1</v>
      </c>
      <c r="L26" s="239" t="n">
        <v>1047</v>
      </c>
      <c r="M26" s="239" t="n">
        <v>1235.46</v>
      </c>
      <c r="N26" s="239" t="n">
        <v>1235.46</v>
      </c>
      <c r="R26" s="239" t="n">
        <v>0</v>
      </c>
      <c r="S26" s="239" t="s">
        <v>1399</v>
      </c>
      <c r="T26" s="259" t="b">
        <f aca="false">FALSE()</f>
        <v>0</v>
      </c>
      <c r="Y26" s="239" t="s">
        <v>2045</v>
      </c>
      <c r="Z26" s="239" t="s">
        <v>2136</v>
      </c>
      <c r="AC26" s="239" t="s">
        <v>2173</v>
      </c>
      <c r="AF26" s="239" t="n">
        <v>1</v>
      </c>
      <c r="AH26" s="239" t="n">
        <v>188.46</v>
      </c>
      <c r="AI26" s="239" t="n">
        <v>1047</v>
      </c>
      <c r="AJ26" s="259" t="b">
        <f aca="false">FALSE()</f>
        <v>0</v>
      </c>
      <c r="AL26" s="239" t="s">
        <v>1959</v>
      </c>
      <c r="AM26" s="239" t="s">
        <v>1632</v>
      </c>
      <c r="AN26" s="239" t="s">
        <v>1595</v>
      </c>
      <c r="AO26" s="239" t="s">
        <v>2174</v>
      </c>
      <c r="AP26" s="239" t="s">
        <v>1527</v>
      </c>
      <c r="AS26" s="239" t="n">
        <v>0</v>
      </c>
      <c r="AV26" s="239" t="n">
        <v>0</v>
      </c>
      <c r="AZ26" s="239" t="n">
        <v>1047</v>
      </c>
      <c r="BA26" s="239" t="s">
        <v>1531</v>
      </c>
      <c r="BB26" s="259" t="b">
        <f aca="false">TRUE()</f>
        <v>1</v>
      </c>
      <c r="BC26" s="239" t="n">
        <v>0</v>
      </c>
      <c r="BD26" s="239" t="n">
        <v>0</v>
      </c>
      <c r="BG26" s="239" t="n">
        <v>2.29715200000003E+018</v>
      </c>
      <c r="BH26" s="239" t="s">
        <v>1566</v>
      </c>
      <c r="BI26" s="239" t="n">
        <v>18</v>
      </c>
      <c r="BJ26" s="239" t="s">
        <v>1567</v>
      </c>
      <c r="BM26" s="239" t="n">
        <v>0</v>
      </c>
      <c r="BQ26" s="239" t="s">
        <v>1561</v>
      </c>
      <c r="BV26" s="239" t="s">
        <v>2138</v>
      </c>
      <c r="BW26" s="239" t="n">
        <v>0</v>
      </c>
      <c r="BZ26" s="259" t="b">
        <f aca="false">FALSE()</f>
        <v>0</v>
      </c>
      <c r="CC26" s="239" t="n">
        <v>0</v>
      </c>
      <c r="CD26" s="239" t="n">
        <v>0</v>
      </c>
      <c r="CE26" s="239" t="n">
        <v>18</v>
      </c>
      <c r="CF26" s="239" t="n">
        <v>0</v>
      </c>
      <c r="CG26" s="239" t="n">
        <v>0</v>
      </c>
      <c r="CH26" s="239" t="n">
        <v>0</v>
      </c>
      <c r="CI26" s="239" t="n">
        <v>188.46</v>
      </c>
      <c r="CJ26" s="239" t="n">
        <v>0</v>
      </c>
      <c r="CK26" s="239" t="n">
        <v>0</v>
      </c>
      <c r="CL26" s="239" t="n">
        <v>0</v>
      </c>
      <c r="CM26" s="239" t="n">
        <v>188.46</v>
      </c>
      <c r="CN26" s="239" t="n">
        <v>0</v>
      </c>
    </row>
    <row r="27" customFormat="false" ht="13.5" hidden="false" customHeight="false" outlineLevel="0" collapsed="false">
      <c r="A27" s="258" t="n">
        <v>45744</v>
      </c>
      <c r="B27" s="258" t="n">
        <v>45744</v>
      </c>
      <c r="C27" s="239" t="n">
        <v>2.29715200000014E+018</v>
      </c>
      <c r="D27" s="239" t="s">
        <v>2099</v>
      </c>
      <c r="E27" s="239" t="n">
        <v>0</v>
      </c>
      <c r="F27" s="239" t="n">
        <v>0</v>
      </c>
      <c r="G27" s="239" t="s">
        <v>1870</v>
      </c>
      <c r="H27" s="239" t="s">
        <v>2177</v>
      </c>
      <c r="J27" s="239" t="s">
        <v>1526</v>
      </c>
      <c r="K27" s="239" t="n">
        <v>1</v>
      </c>
      <c r="L27" s="239" t="n">
        <v>1047</v>
      </c>
      <c r="M27" s="239" t="n">
        <v>1235.46</v>
      </c>
      <c r="N27" s="239" t="n">
        <v>1235.46</v>
      </c>
      <c r="R27" s="239" t="n">
        <v>0</v>
      </c>
      <c r="S27" s="239" t="s">
        <v>1399</v>
      </c>
      <c r="T27" s="259" t="b">
        <f aca="false">FALSE()</f>
        <v>0</v>
      </c>
      <c r="Y27" s="239" t="s">
        <v>947</v>
      </c>
      <c r="Z27" s="239" t="s">
        <v>2136</v>
      </c>
      <c r="AC27" s="239" t="s">
        <v>2098</v>
      </c>
      <c r="AF27" s="239" t="n">
        <v>1</v>
      </c>
      <c r="AH27" s="239" t="n">
        <v>188.46</v>
      </c>
      <c r="AI27" s="239" t="n">
        <v>1047</v>
      </c>
      <c r="AJ27" s="259" t="b">
        <f aca="false">FALSE()</f>
        <v>0</v>
      </c>
      <c r="AL27" s="239" t="s">
        <v>1959</v>
      </c>
      <c r="AM27" s="239" t="s">
        <v>1632</v>
      </c>
      <c r="AN27" s="239" t="s">
        <v>1595</v>
      </c>
      <c r="AO27" s="239" t="s">
        <v>2174</v>
      </c>
      <c r="AP27" s="239" t="s">
        <v>1527</v>
      </c>
      <c r="AS27" s="239" t="n">
        <v>0</v>
      </c>
      <c r="AV27" s="239" t="n">
        <v>0</v>
      </c>
      <c r="AZ27" s="239" t="n">
        <v>1047</v>
      </c>
      <c r="BA27" s="239" t="s">
        <v>1531</v>
      </c>
      <c r="BB27" s="259" t="b">
        <f aca="false">TRUE()</f>
        <v>1</v>
      </c>
      <c r="BC27" s="239" t="n">
        <v>0</v>
      </c>
      <c r="BD27" s="239" t="n">
        <v>0</v>
      </c>
      <c r="BG27" s="239" t="n">
        <v>2.29715200000003E+018</v>
      </c>
      <c r="BH27" s="239" t="s">
        <v>1566</v>
      </c>
      <c r="BI27" s="239" t="n">
        <v>18</v>
      </c>
      <c r="BJ27" s="239" t="s">
        <v>1567</v>
      </c>
      <c r="BM27" s="239" t="n">
        <v>0</v>
      </c>
      <c r="BQ27" s="239" t="s">
        <v>1561</v>
      </c>
      <c r="BV27" s="239" t="s">
        <v>2138</v>
      </c>
      <c r="BW27" s="239" t="n">
        <v>0</v>
      </c>
      <c r="BZ27" s="259" t="b">
        <f aca="false">FALSE()</f>
        <v>0</v>
      </c>
      <c r="CC27" s="239" t="n">
        <v>0</v>
      </c>
      <c r="CD27" s="239" t="n">
        <v>0</v>
      </c>
      <c r="CE27" s="239" t="n">
        <v>18</v>
      </c>
      <c r="CF27" s="239" t="n">
        <v>0</v>
      </c>
      <c r="CG27" s="239" t="n">
        <v>0</v>
      </c>
      <c r="CH27" s="239" t="n">
        <v>0</v>
      </c>
      <c r="CI27" s="239" t="n">
        <v>188.46</v>
      </c>
      <c r="CJ27" s="239" t="n">
        <v>0</v>
      </c>
      <c r="CK27" s="239" t="n">
        <v>0</v>
      </c>
      <c r="CL27" s="239" t="n">
        <v>0</v>
      </c>
      <c r="CM27" s="239" t="n">
        <v>188.46</v>
      </c>
      <c r="CN27" s="239" t="n">
        <v>0</v>
      </c>
    </row>
    <row r="28" customFormat="false" ht="13.5" hidden="false" customHeight="false" outlineLevel="0" collapsed="false">
      <c r="A28" s="258" t="n">
        <v>45744</v>
      </c>
      <c r="B28" s="258" t="n">
        <v>45744</v>
      </c>
      <c r="C28" s="239" t="n">
        <v>2.29715200000014E+018</v>
      </c>
      <c r="D28" s="239" t="s">
        <v>2099</v>
      </c>
      <c r="E28" s="239" t="n">
        <v>0</v>
      </c>
      <c r="F28" s="239" t="n">
        <v>0</v>
      </c>
      <c r="G28" s="239" t="s">
        <v>1870</v>
      </c>
      <c r="H28" s="239" t="s">
        <v>2178</v>
      </c>
      <c r="J28" s="239" t="s">
        <v>1526</v>
      </c>
      <c r="K28" s="239" t="n">
        <v>1</v>
      </c>
      <c r="L28" s="239" t="n">
        <v>1047</v>
      </c>
      <c r="M28" s="239" t="n">
        <v>1235.46</v>
      </c>
      <c r="N28" s="239" t="n">
        <v>1235.46</v>
      </c>
      <c r="R28" s="239" t="n">
        <v>0</v>
      </c>
      <c r="S28" s="239" t="s">
        <v>1399</v>
      </c>
      <c r="T28" s="259" t="b">
        <f aca="false">FALSE()</f>
        <v>0</v>
      </c>
      <c r="Y28" s="239" t="s">
        <v>947</v>
      </c>
      <c r="Z28" s="239" t="s">
        <v>2136</v>
      </c>
      <c r="AC28" s="239" t="s">
        <v>2173</v>
      </c>
      <c r="AF28" s="239" t="n">
        <v>1</v>
      </c>
      <c r="AH28" s="239" t="n">
        <v>188.46</v>
      </c>
      <c r="AI28" s="239" t="n">
        <v>1047</v>
      </c>
      <c r="AJ28" s="259" t="b">
        <f aca="false">FALSE()</f>
        <v>0</v>
      </c>
      <c r="AL28" s="239" t="s">
        <v>1959</v>
      </c>
      <c r="AM28" s="239" t="s">
        <v>1632</v>
      </c>
      <c r="AN28" s="239" t="s">
        <v>1595</v>
      </c>
      <c r="AO28" s="239" t="s">
        <v>2174</v>
      </c>
      <c r="AP28" s="239" t="s">
        <v>1527</v>
      </c>
      <c r="AS28" s="239" t="n">
        <v>0</v>
      </c>
      <c r="AV28" s="239" t="n">
        <v>0</v>
      </c>
      <c r="AZ28" s="239" t="n">
        <v>1047</v>
      </c>
      <c r="BA28" s="239" t="s">
        <v>1531</v>
      </c>
      <c r="BB28" s="259" t="b">
        <f aca="false">TRUE()</f>
        <v>1</v>
      </c>
      <c r="BC28" s="239" t="n">
        <v>0</v>
      </c>
      <c r="BD28" s="239" t="n">
        <v>0</v>
      </c>
      <c r="BG28" s="239" t="n">
        <v>2.29715200000003E+018</v>
      </c>
      <c r="BH28" s="239" t="s">
        <v>1566</v>
      </c>
      <c r="BI28" s="239" t="n">
        <v>18</v>
      </c>
      <c r="BJ28" s="239" t="s">
        <v>1567</v>
      </c>
      <c r="BM28" s="239" t="n">
        <v>0</v>
      </c>
      <c r="BQ28" s="239" t="s">
        <v>1561</v>
      </c>
      <c r="BV28" s="239" t="s">
        <v>2138</v>
      </c>
      <c r="BW28" s="239" t="n">
        <v>0</v>
      </c>
      <c r="BZ28" s="259" t="b">
        <f aca="false">FALSE()</f>
        <v>0</v>
      </c>
      <c r="CC28" s="239" t="n">
        <v>0</v>
      </c>
      <c r="CD28" s="239" t="n">
        <v>0</v>
      </c>
      <c r="CE28" s="239" t="n">
        <v>18</v>
      </c>
      <c r="CF28" s="239" t="n">
        <v>0</v>
      </c>
      <c r="CG28" s="239" t="n">
        <v>0</v>
      </c>
      <c r="CH28" s="239" t="n">
        <v>0</v>
      </c>
      <c r="CI28" s="239" t="n">
        <v>188.46</v>
      </c>
      <c r="CJ28" s="239" t="n">
        <v>0</v>
      </c>
      <c r="CK28" s="239" t="n">
        <v>0</v>
      </c>
      <c r="CL28" s="239" t="n">
        <v>0</v>
      </c>
      <c r="CM28" s="239" t="n">
        <v>188.46</v>
      </c>
      <c r="CN28" s="239" t="n">
        <v>0</v>
      </c>
    </row>
    <row r="29" customFormat="false" ht="13.5" hidden="false" customHeight="false" outlineLevel="0" collapsed="false">
      <c r="A29" s="258" t="n">
        <v>45747</v>
      </c>
      <c r="B29" s="258" t="n">
        <v>45747</v>
      </c>
      <c r="C29" s="239" t="n">
        <v>2.29715200000014E+018</v>
      </c>
      <c r="D29" s="239" t="s">
        <v>2099</v>
      </c>
      <c r="E29" s="239" t="n">
        <v>0</v>
      </c>
      <c r="F29" s="239" t="n">
        <v>0</v>
      </c>
      <c r="G29" s="239" t="s">
        <v>1870</v>
      </c>
      <c r="H29" s="239" t="s">
        <v>2179</v>
      </c>
      <c r="J29" s="239" t="s">
        <v>1526</v>
      </c>
      <c r="K29" s="239" t="n">
        <v>1</v>
      </c>
      <c r="L29" s="239" t="n">
        <v>1047</v>
      </c>
      <c r="M29" s="239" t="n">
        <v>1235.46</v>
      </c>
      <c r="N29" s="239" t="n">
        <v>1235.46</v>
      </c>
      <c r="R29" s="239" t="n">
        <v>0</v>
      </c>
      <c r="S29" s="239" t="s">
        <v>1399</v>
      </c>
      <c r="T29" s="259" t="b">
        <f aca="false">FALSE()</f>
        <v>0</v>
      </c>
      <c r="Y29" s="239" t="s">
        <v>947</v>
      </c>
      <c r="Z29" s="239" t="s">
        <v>2136</v>
      </c>
      <c r="AC29" s="239" t="s">
        <v>2098</v>
      </c>
      <c r="AF29" s="239" t="n">
        <v>1</v>
      </c>
      <c r="AH29" s="239" t="n">
        <v>188.46</v>
      </c>
      <c r="AI29" s="239" t="n">
        <v>1047</v>
      </c>
      <c r="AJ29" s="259" t="b">
        <f aca="false">FALSE()</f>
        <v>0</v>
      </c>
      <c r="AL29" s="239" t="s">
        <v>1959</v>
      </c>
      <c r="AM29" s="239" t="s">
        <v>1632</v>
      </c>
      <c r="AN29" s="239" t="s">
        <v>1595</v>
      </c>
      <c r="AO29" s="239" t="s">
        <v>2174</v>
      </c>
      <c r="AP29" s="239" t="s">
        <v>1527</v>
      </c>
      <c r="AS29" s="239" t="n">
        <v>0</v>
      </c>
      <c r="AV29" s="239" t="n">
        <v>0</v>
      </c>
      <c r="AZ29" s="239" t="n">
        <v>1047</v>
      </c>
      <c r="BA29" s="239" t="s">
        <v>1531</v>
      </c>
      <c r="BB29" s="259" t="b">
        <f aca="false">TRUE()</f>
        <v>1</v>
      </c>
      <c r="BC29" s="239" t="n">
        <v>0</v>
      </c>
      <c r="BD29" s="239" t="n">
        <v>0</v>
      </c>
      <c r="BG29" s="239" t="n">
        <v>2.29715200000003E+018</v>
      </c>
      <c r="BH29" s="239" t="s">
        <v>1566</v>
      </c>
      <c r="BI29" s="239" t="n">
        <v>18</v>
      </c>
      <c r="BJ29" s="239" t="s">
        <v>1567</v>
      </c>
      <c r="BM29" s="239" t="n">
        <v>0</v>
      </c>
      <c r="BQ29" s="239" t="s">
        <v>1561</v>
      </c>
      <c r="BV29" s="239" t="s">
        <v>2138</v>
      </c>
      <c r="BW29" s="239" t="n">
        <v>0</v>
      </c>
      <c r="BZ29" s="259" t="b">
        <f aca="false">FALSE()</f>
        <v>0</v>
      </c>
      <c r="CC29" s="239" t="n">
        <v>0</v>
      </c>
      <c r="CD29" s="239" t="n">
        <v>0</v>
      </c>
      <c r="CE29" s="239" t="n">
        <v>18</v>
      </c>
      <c r="CF29" s="239" t="n">
        <v>0</v>
      </c>
      <c r="CG29" s="239" t="n">
        <v>0</v>
      </c>
      <c r="CH29" s="239" t="n">
        <v>0</v>
      </c>
      <c r="CI29" s="239" t="n">
        <v>188.46</v>
      </c>
      <c r="CJ29" s="239" t="n">
        <v>0</v>
      </c>
      <c r="CK29" s="239" t="n">
        <v>0</v>
      </c>
      <c r="CL29" s="239" t="n">
        <v>0</v>
      </c>
      <c r="CM29" s="239" t="n">
        <v>188.46</v>
      </c>
      <c r="CN29" s="239" t="n">
        <v>0</v>
      </c>
    </row>
    <row r="30" customFormat="false" ht="13.5" hidden="false" customHeight="false" outlineLevel="0" collapsed="false">
      <c r="A30" s="258" t="n">
        <v>45747</v>
      </c>
      <c r="B30" s="258" t="n">
        <v>45747</v>
      </c>
      <c r="C30" s="239" t="n">
        <v>2.29715200000014E+018</v>
      </c>
      <c r="D30" s="239" t="s">
        <v>2091</v>
      </c>
      <c r="E30" s="239" t="n">
        <v>0</v>
      </c>
      <c r="F30" s="239" t="n">
        <v>0</v>
      </c>
      <c r="G30" s="239" t="s">
        <v>1870</v>
      </c>
      <c r="H30" s="239" t="s">
        <v>2180</v>
      </c>
      <c r="J30" s="239" t="s">
        <v>1526</v>
      </c>
      <c r="K30" s="239" t="n">
        <v>1</v>
      </c>
      <c r="L30" s="239" t="n">
        <v>4861.23</v>
      </c>
      <c r="M30" s="239" t="n">
        <v>5736.25</v>
      </c>
      <c r="N30" s="239" t="n">
        <v>0</v>
      </c>
      <c r="R30" s="239" t="n">
        <v>0</v>
      </c>
      <c r="S30" s="239" t="s">
        <v>1399</v>
      </c>
      <c r="T30" s="259" t="b">
        <f aca="false">FALSE()</f>
        <v>0</v>
      </c>
      <c r="Y30" s="239" t="s">
        <v>2140</v>
      </c>
      <c r="Z30" s="239" t="s">
        <v>2136</v>
      </c>
      <c r="AC30" s="239" t="s">
        <v>2088</v>
      </c>
      <c r="AF30" s="239" t="n">
        <v>1</v>
      </c>
      <c r="AH30" s="239" t="n">
        <v>875.02</v>
      </c>
      <c r="AI30" s="239" t="n">
        <v>4861.23</v>
      </c>
      <c r="AJ30" s="259" t="b">
        <f aca="false">FALSE()</f>
        <v>0</v>
      </c>
      <c r="AL30" s="239" t="s">
        <v>1959</v>
      </c>
      <c r="AM30" s="239" t="s">
        <v>1632</v>
      </c>
      <c r="AN30" s="239" t="s">
        <v>1595</v>
      </c>
      <c r="AO30" s="239" t="s">
        <v>2168</v>
      </c>
      <c r="AP30" s="239" t="s">
        <v>1527</v>
      </c>
      <c r="AS30" s="239" t="n">
        <v>0</v>
      </c>
      <c r="AV30" s="239" t="n">
        <v>0</v>
      </c>
      <c r="AZ30" s="239" t="n">
        <v>4861.23</v>
      </c>
      <c r="BA30" s="239" t="s">
        <v>1531</v>
      </c>
      <c r="BB30" s="259" t="b">
        <f aca="false">TRUE()</f>
        <v>1</v>
      </c>
      <c r="BC30" s="239" t="n">
        <v>0</v>
      </c>
      <c r="BD30" s="239" t="n">
        <v>0</v>
      </c>
      <c r="BG30" s="239" t="n">
        <v>2.29715200000003E+018</v>
      </c>
      <c r="BH30" s="239" t="s">
        <v>1566</v>
      </c>
      <c r="BI30" s="239" t="n">
        <v>18</v>
      </c>
      <c r="BJ30" s="239" t="s">
        <v>1567</v>
      </c>
      <c r="BM30" s="239" t="n">
        <v>0</v>
      </c>
      <c r="BQ30" s="239" t="s">
        <v>1561</v>
      </c>
      <c r="BV30" s="239" t="s">
        <v>2138</v>
      </c>
      <c r="BW30" s="239" t="n">
        <v>0</v>
      </c>
      <c r="BZ30" s="259" t="b">
        <f aca="false">FALSE()</f>
        <v>0</v>
      </c>
      <c r="CC30" s="239" t="n">
        <v>0</v>
      </c>
      <c r="CD30" s="239" t="n">
        <v>0</v>
      </c>
      <c r="CE30" s="239" t="n">
        <v>18</v>
      </c>
      <c r="CF30" s="239" t="n">
        <v>0</v>
      </c>
      <c r="CG30" s="239" t="n">
        <v>0</v>
      </c>
      <c r="CH30" s="239" t="n">
        <v>0</v>
      </c>
      <c r="CI30" s="239" t="n">
        <v>875.02</v>
      </c>
      <c r="CJ30" s="239" t="n">
        <v>0</v>
      </c>
      <c r="CK30" s="239" t="n">
        <v>0</v>
      </c>
      <c r="CL30" s="239" t="n">
        <v>0</v>
      </c>
      <c r="CM30" s="239" t="n">
        <v>875.02</v>
      </c>
      <c r="CN30" s="239" t="n">
        <v>0</v>
      </c>
    </row>
    <row r="31" customFormat="false" ht="13.5" hidden="false" customHeight="false" outlineLevel="0" collapsed="false">
      <c r="A31" s="260" t="n">
        <v>45750</v>
      </c>
      <c r="B31" s="258" t="n">
        <v>45750</v>
      </c>
      <c r="C31" s="239" t="n">
        <v>2.29715200000014E+018</v>
      </c>
      <c r="D31" s="257" t="s">
        <v>2093</v>
      </c>
      <c r="E31" s="239" t="n">
        <v>0</v>
      </c>
      <c r="F31" s="239" t="n">
        <v>0</v>
      </c>
      <c r="G31" s="239" t="s">
        <v>1870</v>
      </c>
      <c r="H31" s="239" t="s">
        <v>2181</v>
      </c>
      <c r="J31" s="239" t="s">
        <v>1526</v>
      </c>
      <c r="K31" s="239" t="n">
        <v>1</v>
      </c>
      <c r="L31" s="257" t="n">
        <v>256100</v>
      </c>
      <c r="M31" s="239" t="n">
        <v>297076</v>
      </c>
      <c r="N31" s="239" t="n">
        <v>0</v>
      </c>
      <c r="R31" s="239" t="n">
        <v>0</v>
      </c>
      <c r="S31" s="239" t="s">
        <v>1399</v>
      </c>
      <c r="T31" s="259" t="b">
        <f aca="false">FALSE()</f>
        <v>0</v>
      </c>
      <c r="Y31" s="239" t="s">
        <v>2140</v>
      </c>
      <c r="Z31" s="239" t="s">
        <v>2136</v>
      </c>
      <c r="AC31" s="257" t="s">
        <v>2092</v>
      </c>
      <c r="AE31" s="239" t="s">
        <v>2155</v>
      </c>
      <c r="AF31" s="239" t="n">
        <v>1</v>
      </c>
      <c r="AH31" s="239" t="n">
        <v>46098</v>
      </c>
      <c r="AI31" s="239" t="n">
        <v>256100</v>
      </c>
      <c r="AJ31" s="259" t="b">
        <f aca="false">FALSE()</f>
        <v>0</v>
      </c>
      <c r="AL31" s="239" t="s">
        <v>1959</v>
      </c>
      <c r="AM31" s="239" t="s">
        <v>1632</v>
      </c>
      <c r="AN31" s="239" t="s">
        <v>1595</v>
      </c>
      <c r="AO31" s="239" t="s">
        <v>2156</v>
      </c>
      <c r="AP31" s="239" t="s">
        <v>1531</v>
      </c>
      <c r="AQ31" s="239" t="n">
        <v>2.29715200000003E+018</v>
      </c>
      <c r="AR31" s="239" t="s">
        <v>1532</v>
      </c>
      <c r="AS31" s="239" t="n">
        <v>2</v>
      </c>
      <c r="AT31" s="239" t="s">
        <v>1534</v>
      </c>
      <c r="AU31" s="239" t="s">
        <v>1535</v>
      </c>
      <c r="AV31" s="239" t="n">
        <v>5122</v>
      </c>
      <c r="AZ31" s="239" t="n">
        <v>256100</v>
      </c>
      <c r="BA31" s="239" t="s">
        <v>1531</v>
      </c>
      <c r="BB31" s="259" t="b">
        <f aca="false">TRUE()</f>
        <v>1</v>
      </c>
      <c r="BC31" s="239" t="n">
        <v>0</v>
      </c>
      <c r="BD31" s="239" t="n">
        <v>0</v>
      </c>
      <c r="BG31" s="239" t="n">
        <v>2.29715200000003E+018</v>
      </c>
      <c r="BH31" s="239" t="s">
        <v>1566</v>
      </c>
      <c r="BI31" s="239" t="n">
        <v>18</v>
      </c>
      <c r="BJ31" s="239" t="s">
        <v>1567</v>
      </c>
      <c r="BQ31" s="239" t="s">
        <v>1561</v>
      </c>
      <c r="BV31" s="239" t="s">
        <v>2138</v>
      </c>
      <c r="BW31" s="239" t="n">
        <v>0</v>
      </c>
      <c r="BZ31" s="259" t="b">
        <f aca="false">FALSE()</f>
        <v>0</v>
      </c>
      <c r="CC31" s="239" t="n">
        <v>0</v>
      </c>
      <c r="CD31" s="239" t="n">
        <v>0</v>
      </c>
      <c r="CE31" s="239" t="n">
        <v>18</v>
      </c>
      <c r="CF31" s="239" t="n">
        <v>0</v>
      </c>
      <c r="CG31" s="239" t="n">
        <v>0</v>
      </c>
      <c r="CH31" s="239" t="n">
        <v>0</v>
      </c>
      <c r="CI31" s="239" t="n">
        <v>46098</v>
      </c>
      <c r="CJ31" s="239" t="n">
        <v>0</v>
      </c>
      <c r="CK31" s="239" t="n">
        <v>0</v>
      </c>
      <c r="CL31" s="239" t="n">
        <v>0</v>
      </c>
      <c r="CM31" s="239" t="n">
        <v>46098</v>
      </c>
      <c r="CN31" s="239" t="n">
        <v>0</v>
      </c>
    </row>
    <row r="32" customFormat="false" ht="13.5" hidden="false" customHeight="false" outlineLevel="0" collapsed="false">
      <c r="A32" s="260" t="n">
        <v>45763</v>
      </c>
      <c r="B32" s="258" t="n">
        <v>45763</v>
      </c>
      <c r="C32" s="239" t="n">
        <v>2.29715200000014E+018</v>
      </c>
      <c r="D32" s="257" t="s">
        <v>2093</v>
      </c>
      <c r="E32" s="239" t="n">
        <v>0</v>
      </c>
      <c r="F32" s="239" t="n">
        <v>0</v>
      </c>
      <c r="G32" s="239" t="s">
        <v>1870</v>
      </c>
      <c r="H32" s="239" t="s">
        <v>2182</v>
      </c>
      <c r="J32" s="239" t="s">
        <v>1526</v>
      </c>
      <c r="K32" s="239" t="n">
        <v>1</v>
      </c>
      <c r="L32" s="257" t="n">
        <v>128450</v>
      </c>
      <c r="M32" s="239" t="n">
        <v>149002</v>
      </c>
      <c r="N32" s="239" t="n">
        <v>149002</v>
      </c>
      <c r="R32" s="239" t="n">
        <v>0</v>
      </c>
      <c r="S32" s="239" t="s">
        <v>1399</v>
      </c>
      <c r="T32" s="259" t="b">
        <f aca="false">FALSE()</f>
        <v>0</v>
      </c>
      <c r="Y32" s="239" t="s">
        <v>947</v>
      </c>
      <c r="Z32" s="239" t="s">
        <v>2136</v>
      </c>
      <c r="AC32" s="257" t="s">
        <v>2092</v>
      </c>
      <c r="AE32" s="239" t="s">
        <v>2155</v>
      </c>
      <c r="AF32" s="239" t="n">
        <v>1</v>
      </c>
      <c r="AH32" s="239" t="n">
        <v>23121</v>
      </c>
      <c r="AI32" s="239" t="n">
        <v>128450</v>
      </c>
      <c r="AJ32" s="259" t="b">
        <f aca="false">FALSE()</f>
        <v>0</v>
      </c>
      <c r="AL32" s="239" t="s">
        <v>1959</v>
      </c>
      <c r="AM32" s="239" t="s">
        <v>1632</v>
      </c>
      <c r="AN32" s="239" t="s">
        <v>1595</v>
      </c>
      <c r="AO32" s="239" t="s">
        <v>2156</v>
      </c>
      <c r="AP32" s="239" t="s">
        <v>1531</v>
      </c>
      <c r="AQ32" s="239" t="n">
        <v>2.29715200000003E+018</v>
      </c>
      <c r="AR32" s="239" t="s">
        <v>1532</v>
      </c>
      <c r="AS32" s="239" t="n">
        <v>2</v>
      </c>
      <c r="AT32" s="239" t="s">
        <v>1534</v>
      </c>
      <c r="AU32" s="239" t="s">
        <v>1535</v>
      </c>
      <c r="AV32" s="239" t="n">
        <v>2569</v>
      </c>
      <c r="AZ32" s="239" t="n">
        <v>128450</v>
      </c>
      <c r="BA32" s="239" t="s">
        <v>1531</v>
      </c>
      <c r="BB32" s="259" t="b">
        <f aca="false">TRUE()</f>
        <v>1</v>
      </c>
      <c r="BC32" s="239" t="n">
        <v>0</v>
      </c>
      <c r="BD32" s="239" t="n">
        <v>0</v>
      </c>
      <c r="BG32" s="239" t="n">
        <v>2.29715200000003E+018</v>
      </c>
      <c r="BH32" s="239" t="s">
        <v>1566</v>
      </c>
      <c r="BI32" s="239" t="n">
        <v>18</v>
      </c>
      <c r="BJ32" s="239" t="s">
        <v>1567</v>
      </c>
      <c r="BQ32" s="239" t="s">
        <v>1561</v>
      </c>
      <c r="BV32" s="239" t="s">
        <v>2138</v>
      </c>
      <c r="BW32" s="239" t="n">
        <v>0</v>
      </c>
      <c r="BZ32" s="259" t="b">
        <f aca="false">FALSE()</f>
        <v>0</v>
      </c>
      <c r="CC32" s="239" t="n">
        <v>0</v>
      </c>
      <c r="CD32" s="239" t="n">
        <v>0</v>
      </c>
      <c r="CE32" s="239" t="n">
        <v>18</v>
      </c>
      <c r="CF32" s="239" t="n">
        <v>0</v>
      </c>
      <c r="CG32" s="239" t="n">
        <v>0</v>
      </c>
      <c r="CH32" s="239" t="n">
        <v>0</v>
      </c>
      <c r="CI32" s="239" t="n">
        <v>23121</v>
      </c>
      <c r="CJ32" s="239" t="n">
        <v>0</v>
      </c>
      <c r="CK32" s="239" t="n">
        <v>0</v>
      </c>
      <c r="CL32" s="239" t="n">
        <v>0</v>
      </c>
      <c r="CM32" s="239" t="n">
        <v>23121</v>
      </c>
      <c r="CN32" s="239" t="n">
        <v>0</v>
      </c>
    </row>
    <row r="33" customFormat="false" ht="13.5" hidden="false" customHeight="false" outlineLevel="0" collapsed="false">
      <c r="A33" s="260" t="n">
        <v>45751</v>
      </c>
      <c r="B33" s="258" t="n">
        <v>45751</v>
      </c>
      <c r="C33" s="239" t="n">
        <v>2.29715200000014E+018</v>
      </c>
      <c r="D33" s="257" t="s">
        <v>2099</v>
      </c>
      <c r="E33" s="239" t="n">
        <v>0</v>
      </c>
      <c r="F33" s="239" t="n">
        <v>0</v>
      </c>
      <c r="G33" s="239" t="s">
        <v>1870</v>
      </c>
      <c r="H33" s="239" t="s">
        <v>2183</v>
      </c>
      <c r="J33" s="239" t="s">
        <v>1526</v>
      </c>
      <c r="K33" s="239" t="n">
        <v>1</v>
      </c>
      <c r="L33" s="257" t="n">
        <v>698</v>
      </c>
      <c r="M33" s="239" t="n">
        <v>823.64</v>
      </c>
      <c r="N33" s="239" t="n">
        <v>823.64</v>
      </c>
      <c r="R33" s="239" t="n">
        <v>0</v>
      </c>
      <c r="S33" s="239" t="s">
        <v>1399</v>
      </c>
      <c r="T33" s="259" t="b">
        <f aca="false">FALSE()</f>
        <v>0</v>
      </c>
      <c r="Y33" s="239" t="s">
        <v>947</v>
      </c>
      <c r="Z33" s="239" t="s">
        <v>2136</v>
      </c>
      <c r="AC33" s="257" t="s">
        <v>2098</v>
      </c>
      <c r="AF33" s="239" t="n">
        <v>1</v>
      </c>
      <c r="AH33" s="239" t="n">
        <v>125.64</v>
      </c>
      <c r="AI33" s="239" t="n">
        <v>698</v>
      </c>
      <c r="AJ33" s="259" t="b">
        <f aca="false">FALSE()</f>
        <v>0</v>
      </c>
      <c r="AL33" s="239" t="s">
        <v>1959</v>
      </c>
      <c r="AM33" s="239" t="s">
        <v>1632</v>
      </c>
      <c r="AN33" s="239" t="s">
        <v>1595</v>
      </c>
      <c r="AO33" s="239" t="s">
        <v>2174</v>
      </c>
      <c r="AP33" s="239" t="s">
        <v>1527</v>
      </c>
      <c r="AS33" s="239" t="n">
        <v>0</v>
      </c>
      <c r="AV33" s="239" t="n">
        <v>0</v>
      </c>
      <c r="AZ33" s="239" t="n">
        <v>698</v>
      </c>
      <c r="BA33" s="239" t="s">
        <v>1531</v>
      </c>
      <c r="BB33" s="259" t="b">
        <f aca="false">TRUE()</f>
        <v>1</v>
      </c>
      <c r="BC33" s="239" t="n">
        <v>0</v>
      </c>
      <c r="BD33" s="239" t="n">
        <v>0</v>
      </c>
      <c r="BG33" s="239" t="n">
        <v>2.29715200000003E+018</v>
      </c>
      <c r="BH33" s="239" t="s">
        <v>1566</v>
      </c>
      <c r="BI33" s="239" t="n">
        <v>18</v>
      </c>
      <c r="BJ33" s="239" t="s">
        <v>1567</v>
      </c>
      <c r="BM33" s="239" t="n">
        <v>0</v>
      </c>
      <c r="BQ33" s="239" t="s">
        <v>1561</v>
      </c>
      <c r="BV33" s="239" t="s">
        <v>2138</v>
      </c>
      <c r="BW33" s="239" t="n">
        <v>0</v>
      </c>
      <c r="BZ33" s="259" t="b">
        <f aca="false">FALSE()</f>
        <v>0</v>
      </c>
      <c r="CC33" s="239" t="n">
        <v>0</v>
      </c>
      <c r="CD33" s="239" t="n">
        <v>0</v>
      </c>
      <c r="CE33" s="239" t="n">
        <v>18</v>
      </c>
      <c r="CF33" s="239" t="n">
        <v>0</v>
      </c>
      <c r="CG33" s="239" t="n">
        <v>0</v>
      </c>
      <c r="CH33" s="239" t="n">
        <v>0</v>
      </c>
      <c r="CI33" s="239" t="n">
        <v>125.64</v>
      </c>
      <c r="CJ33" s="239" t="n">
        <v>0</v>
      </c>
      <c r="CK33" s="239" t="n">
        <v>0</v>
      </c>
      <c r="CL33" s="239" t="n">
        <v>0</v>
      </c>
      <c r="CM33" s="239" t="n">
        <v>125.64</v>
      </c>
      <c r="CN33" s="239" t="n">
        <v>0</v>
      </c>
    </row>
    <row r="34" customFormat="false" ht="13.5" hidden="false" customHeight="false" outlineLevel="0" collapsed="false">
      <c r="A34" s="260" t="n">
        <v>45754</v>
      </c>
      <c r="B34" s="258" t="n">
        <v>45754</v>
      </c>
      <c r="C34" s="239" t="n">
        <v>2.29715200000014E+018</v>
      </c>
      <c r="D34" s="257" t="s">
        <v>2099</v>
      </c>
      <c r="E34" s="239" t="n">
        <v>0</v>
      </c>
      <c r="F34" s="239" t="n">
        <v>0</v>
      </c>
      <c r="G34" s="239" t="s">
        <v>1870</v>
      </c>
      <c r="H34" s="239" t="s">
        <v>2184</v>
      </c>
      <c r="J34" s="239" t="s">
        <v>1526</v>
      </c>
      <c r="K34" s="239" t="n">
        <v>1</v>
      </c>
      <c r="L34" s="257" t="n">
        <v>1047</v>
      </c>
      <c r="M34" s="239" t="n">
        <v>1235.46</v>
      </c>
      <c r="N34" s="239" t="n">
        <v>1235.46</v>
      </c>
      <c r="R34" s="239" t="n">
        <v>0</v>
      </c>
      <c r="S34" s="239" t="s">
        <v>1399</v>
      </c>
      <c r="T34" s="259" t="b">
        <f aca="false">FALSE()</f>
        <v>0</v>
      </c>
      <c r="Y34" s="239" t="s">
        <v>947</v>
      </c>
      <c r="Z34" s="239" t="s">
        <v>2136</v>
      </c>
      <c r="AC34" s="257" t="s">
        <v>2098</v>
      </c>
      <c r="AF34" s="239" t="n">
        <v>1</v>
      </c>
      <c r="AH34" s="239" t="n">
        <v>188.46</v>
      </c>
      <c r="AI34" s="239" t="n">
        <v>1047</v>
      </c>
      <c r="AJ34" s="259" t="b">
        <f aca="false">FALSE()</f>
        <v>0</v>
      </c>
      <c r="AL34" s="239" t="s">
        <v>1959</v>
      </c>
      <c r="AM34" s="239" t="s">
        <v>1632</v>
      </c>
      <c r="AN34" s="239" t="s">
        <v>1595</v>
      </c>
      <c r="AO34" s="239" t="s">
        <v>2174</v>
      </c>
      <c r="AP34" s="239" t="s">
        <v>1527</v>
      </c>
      <c r="AS34" s="239" t="n">
        <v>0</v>
      </c>
      <c r="AV34" s="239" t="n">
        <v>0</v>
      </c>
      <c r="AZ34" s="239" t="n">
        <v>1047</v>
      </c>
      <c r="BA34" s="239" t="s">
        <v>1531</v>
      </c>
      <c r="BB34" s="259" t="b">
        <f aca="false">TRUE()</f>
        <v>1</v>
      </c>
      <c r="BC34" s="239" t="n">
        <v>0</v>
      </c>
      <c r="BD34" s="239" t="n">
        <v>0</v>
      </c>
      <c r="BG34" s="239" t="n">
        <v>2.29715200000003E+018</v>
      </c>
      <c r="BH34" s="239" t="s">
        <v>1566</v>
      </c>
      <c r="BI34" s="239" t="n">
        <v>18</v>
      </c>
      <c r="BJ34" s="239" t="s">
        <v>1567</v>
      </c>
      <c r="BM34" s="239" t="n">
        <v>0</v>
      </c>
      <c r="BQ34" s="239" t="s">
        <v>1561</v>
      </c>
      <c r="BV34" s="239" t="s">
        <v>2138</v>
      </c>
      <c r="BW34" s="239" t="n">
        <v>0</v>
      </c>
      <c r="BZ34" s="259" t="b">
        <f aca="false">FALSE()</f>
        <v>0</v>
      </c>
      <c r="CC34" s="239" t="n">
        <v>0</v>
      </c>
      <c r="CD34" s="239" t="n">
        <v>0</v>
      </c>
      <c r="CE34" s="239" t="n">
        <v>18</v>
      </c>
      <c r="CF34" s="239" t="n">
        <v>0</v>
      </c>
      <c r="CG34" s="239" t="n">
        <v>0</v>
      </c>
      <c r="CH34" s="239" t="n">
        <v>0</v>
      </c>
      <c r="CI34" s="239" t="n">
        <v>188.46</v>
      </c>
      <c r="CJ34" s="239" t="n">
        <v>0</v>
      </c>
      <c r="CK34" s="239" t="n">
        <v>0</v>
      </c>
      <c r="CL34" s="239" t="n">
        <v>0</v>
      </c>
      <c r="CM34" s="239" t="n">
        <v>188.46</v>
      </c>
      <c r="CN34" s="239" t="n">
        <v>0</v>
      </c>
    </row>
    <row r="35" customFormat="false" ht="13.5" hidden="false" customHeight="false" outlineLevel="0" collapsed="false">
      <c r="A35" s="260" t="n">
        <v>45758</v>
      </c>
      <c r="B35" s="258" t="n">
        <v>45758</v>
      </c>
      <c r="C35" s="239" t="n">
        <v>2.29715200000014E+018</v>
      </c>
      <c r="D35" s="257" t="s">
        <v>2099</v>
      </c>
      <c r="E35" s="239" t="n">
        <v>0</v>
      </c>
      <c r="F35" s="239" t="n">
        <v>0</v>
      </c>
      <c r="G35" s="239" t="s">
        <v>1870</v>
      </c>
      <c r="H35" s="239" t="s">
        <v>2185</v>
      </c>
      <c r="J35" s="239" t="s">
        <v>1526</v>
      </c>
      <c r="K35" s="239" t="n">
        <v>1</v>
      </c>
      <c r="L35" s="257" t="n">
        <v>38500</v>
      </c>
      <c r="M35" s="239" t="n">
        <v>45430</v>
      </c>
      <c r="N35" s="239" t="n">
        <v>45430</v>
      </c>
      <c r="R35" s="239" t="n">
        <v>0</v>
      </c>
      <c r="S35" s="239" t="s">
        <v>1399</v>
      </c>
      <c r="T35" s="259" t="b">
        <f aca="false">FALSE()</f>
        <v>0</v>
      </c>
      <c r="Y35" s="239" t="s">
        <v>947</v>
      </c>
      <c r="Z35" s="239" t="s">
        <v>2136</v>
      </c>
      <c r="AC35" s="257" t="s">
        <v>2098</v>
      </c>
      <c r="AF35" s="239" t="n">
        <v>1</v>
      </c>
      <c r="AH35" s="239" t="n">
        <v>6930</v>
      </c>
      <c r="AI35" s="239" t="n">
        <v>38500</v>
      </c>
      <c r="AJ35" s="259" t="b">
        <f aca="false">FALSE()</f>
        <v>0</v>
      </c>
      <c r="AL35" s="239" t="s">
        <v>1959</v>
      </c>
      <c r="AM35" s="239" t="s">
        <v>1632</v>
      </c>
      <c r="AN35" s="239" t="s">
        <v>1595</v>
      </c>
      <c r="AO35" s="239" t="s">
        <v>2174</v>
      </c>
      <c r="AP35" s="239" t="s">
        <v>1527</v>
      </c>
      <c r="AS35" s="239" t="n">
        <v>0</v>
      </c>
      <c r="AV35" s="239" t="n">
        <v>0</v>
      </c>
      <c r="AZ35" s="239" t="n">
        <v>38500</v>
      </c>
      <c r="BA35" s="239" t="s">
        <v>1531</v>
      </c>
      <c r="BB35" s="259" t="b">
        <f aca="false">TRUE()</f>
        <v>1</v>
      </c>
      <c r="BC35" s="239" t="n">
        <v>0</v>
      </c>
      <c r="BD35" s="239" t="n">
        <v>0</v>
      </c>
      <c r="BG35" s="239" t="n">
        <v>2.29715200000003E+018</v>
      </c>
      <c r="BH35" s="239" t="s">
        <v>1566</v>
      </c>
      <c r="BI35" s="239" t="n">
        <v>18</v>
      </c>
      <c r="BJ35" s="239" t="s">
        <v>1567</v>
      </c>
      <c r="BM35" s="239" t="n">
        <v>0</v>
      </c>
      <c r="BQ35" s="239" t="s">
        <v>1561</v>
      </c>
      <c r="BV35" s="239" t="s">
        <v>2138</v>
      </c>
      <c r="BW35" s="239" t="n">
        <v>0</v>
      </c>
      <c r="BZ35" s="259" t="b">
        <f aca="false">FALSE()</f>
        <v>0</v>
      </c>
      <c r="CC35" s="239" t="n">
        <v>0</v>
      </c>
      <c r="CD35" s="239" t="n">
        <v>0</v>
      </c>
      <c r="CE35" s="239" t="n">
        <v>18</v>
      </c>
      <c r="CF35" s="239" t="n">
        <v>0</v>
      </c>
      <c r="CG35" s="239" t="n">
        <v>0</v>
      </c>
      <c r="CH35" s="239" t="n">
        <v>0</v>
      </c>
      <c r="CI35" s="239" t="n">
        <v>6930</v>
      </c>
      <c r="CJ35" s="239" t="n">
        <v>0</v>
      </c>
      <c r="CK35" s="239" t="n">
        <v>0</v>
      </c>
      <c r="CL35" s="239" t="n">
        <v>0</v>
      </c>
      <c r="CM35" s="239" t="n">
        <v>6930</v>
      </c>
      <c r="CN35" s="239" t="n">
        <v>0</v>
      </c>
    </row>
    <row r="36" customFormat="false" ht="13.5" hidden="false" customHeight="false" outlineLevel="0" collapsed="false">
      <c r="A36" s="260" t="n">
        <v>45777</v>
      </c>
      <c r="B36" s="258" t="n">
        <v>45777</v>
      </c>
      <c r="C36" s="239" t="n">
        <v>2.29715200000014E+018</v>
      </c>
      <c r="D36" s="257" t="s">
        <v>2091</v>
      </c>
      <c r="E36" s="239" t="n">
        <v>0</v>
      </c>
      <c r="F36" s="239" t="n">
        <v>0</v>
      </c>
      <c r="G36" s="239" t="s">
        <v>1870</v>
      </c>
      <c r="H36" s="239" t="s">
        <v>2186</v>
      </c>
      <c r="J36" s="239" t="s">
        <v>1526</v>
      </c>
      <c r="K36" s="239" t="n">
        <v>1</v>
      </c>
      <c r="L36" s="257" t="n">
        <v>11185.68</v>
      </c>
      <c r="M36" s="239" t="n">
        <v>12973.6</v>
      </c>
      <c r="N36" s="239" t="n">
        <v>12973.6</v>
      </c>
      <c r="R36" s="239" t="n">
        <v>0</v>
      </c>
      <c r="S36" s="239" t="s">
        <v>1399</v>
      </c>
      <c r="T36" s="259" t="b">
        <f aca="false">FALSE()</f>
        <v>0</v>
      </c>
      <c r="Y36" s="239" t="s">
        <v>947</v>
      </c>
      <c r="Z36" s="239" t="s">
        <v>2136</v>
      </c>
      <c r="AC36" s="257" t="s">
        <v>2088</v>
      </c>
      <c r="AF36" s="239" t="n">
        <v>1</v>
      </c>
      <c r="AH36" s="239" t="n">
        <v>2011.63</v>
      </c>
      <c r="AI36" s="239" t="n">
        <v>11175.7</v>
      </c>
      <c r="AJ36" s="259" t="b">
        <f aca="false">FALSE()</f>
        <v>0</v>
      </c>
      <c r="AL36" s="239" t="s">
        <v>1959</v>
      </c>
      <c r="AM36" s="239" t="s">
        <v>1632</v>
      </c>
      <c r="AN36" s="239" t="s">
        <v>1595</v>
      </c>
      <c r="AO36" s="239" t="s">
        <v>2168</v>
      </c>
      <c r="AP36" s="239" t="s">
        <v>1531</v>
      </c>
      <c r="AQ36" s="239" t="n">
        <v>2.29715200000003E+018</v>
      </c>
      <c r="AR36" s="239" t="s">
        <v>2187</v>
      </c>
      <c r="AS36" s="239" t="n">
        <v>2</v>
      </c>
      <c r="AT36" s="239" t="s">
        <v>2188</v>
      </c>
      <c r="AU36" s="239" t="s">
        <v>2189</v>
      </c>
      <c r="AV36" s="239" t="n">
        <v>223.71</v>
      </c>
      <c r="AZ36" s="239" t="n">
        <v>11175.7</v>
      </c>
      <c r="BA36" s="239" t="s">
        <v>1531</v>
      </c>
      <c r="BB36" s="259" t="b">
        <f aca="false">TRUE()</f>
        <v>1</v>
      </c>
      <c r="BC36" s="239" t="n">
        <v>0</v>
      </c>
      <c r="BD36" s="239" t="n">
        <v>0</v>
      </c>
      <c r="BG36" s="239" t="n">
        <v>2.29715200000003E+018</v>
      </c>
      <c r="BH36" s="239" t="s">
        <v>1566</v>
      </c>
      <c r="BI36" s="239" t="n">
        <v>18</v>
      </c>
      <c r="BJ36" s="239" t="s">
        <v>1567</v>
      </c>
      <c r="BQ36" s="239" t="s">
        <v>1561</v>
      </c>
      <c r="BV36" s="239" t="s">
        <v>2138</v>
      </c>
      <c r="BW36" s="239" t="n">
        <v>0</v>
      </c>
      <c r="BZ36" s="259" t="b">
        <f aca="false">FALSE()</f>
        <v>0</v>
      </c>
      <c r="CC36" s="239" t="n">
        <v>0</v>
      </c>
      <c r="CD36" s="239" t="n">
        <v>0</v>
      </c>
      <c r="CE36" s="239" t="n">
        <v>18</v>
      </c>
      <c r="CF36" s="239" t="n">
        <v>0</v>
      </c>
      <c r="CG36" s="239" t="n">
        <v>0</v>
      </c>
      <c r="CH36" s="239" t="n">
        <v>0</v>
      </c>
      <c r="CI36" s="239" t="n">
        <v>2011.63</v>
      </c>
      <c r="CJ36" s="239" t="n">
        <v>0</v>
      </c>
      <c r="CK36" s="239" t="n">
        <v>0</v>
      </c>
      <c r="CL36" s="239" t="n">
        <v>0</v>
      </c>
      <c r="CM36" s="239" t="n">
        <v>2011.63</v>
      </c>
      <c r="CN36" s="239" t="n">
        <v>0</v>
      </c>
    </row>
    <row r="37" customFormat="false" ht="13.5" hidden="false" customHeight="false" outlineLevel="0" collapsed="false">
      <c r="A37" s="260" t="n">
        <v>45777</v>
      </c>
      <c r="B37" s="258" t="n">
        <v>45777</v>
      </c>
      <c r="C37" s="239" t="n">
        <v>2.29715200000014E+018</v>
      </c>
      <c r="D37" s="257" t="s">
        <v>2091</v>
      </c>
      <c r="E37" s="239" t="n">
        <v>0</v>
      </c>
      <c r="F37" s="239" t="n">
        <v>0</v>
      </c>
      <c r="G37" s="239" t="s">
        <v>1870</v>
      </c>
      <c r="H37" s="239" t="s">
        <v>2186</v>
      </c>
      <c r="J37" s="239" t="s">
        <v>1526</v>
      </c>
      <c r="K37" s="239" t="n">
        <v>1</v>
      </c>
      <c r="L37" s="257" t="n">
        <v>11185.68</v>
      </c>
      <c r="M37" s="239" t="n">
        <v>12973.6</v>
      </c>
      <c r="N37" s="239" t="n">
        <v>12973.6</v>
      </c>
      <c r="R37" s="239" t="n">
        <v>0</v>
      </c>
      <c r="S37" s="239" t="s">
        <v>1399</v>
      </c>
      <c r="T37" s="259" t="b">
        <f aca="false">FALSE()</f>
        <v>0</v>
      </c>
      <c r="Y37" s="239" t="s">
        <v>947</v>
      </c>
      <c r="Z37" s="239" t="s">
        <v>2136</v>
      </c>
      <c r="AC37" s="257" t="s">
        <v>2088</v>
      </c>
      <c r="AF37" s="239" t="n">
        <v>1</v>
      </c>
      <c r="AH37" s="239" t="n">
        <v>0</v>
      </c>
      <c r="AI37" s="239" t="n">
        <v>9.98</v>
      </c>
      <c r="AJ37" s="259" t="b">
        <f aca="false">FALSE()</f>
        <v>0</v>
      </c>
      <c r="AL37" s="239" t="s">
        <v>1959</v>
      </c>
      <c r="AM37" s="239" t="s">
        <v>1632</v>
      </c>
      <c r="AN37" s="239" t="s">
        <v>1595</v>
      </c>
      <c r="AO37" s="239" t="s">
        <v>2168</v>
      </c>
      <c r="AP37" s="239" t="s">
        <v>1531</v>
      </c>
      <c r="AQ37" s="239" t="n">
        <v>2.29715200000003E+018</v>
      </c>
      <c r="AR37" s="239" t="s">
        <v>2187</v>
      </c>
      <c r="AS37" s="239" t="n">
        <v>2</v>
      </c>
      <c r="AT37" s="239" t="s">
        <v>2188</v>
      </c>
      <c r="AU37" s="239" t="s">
        <v>2189</v>
      </c>
      <c r="AV37" s="239" t="n">
        <v>223.71</v>
      </c>
      <c r="AZ37" s="239" t="n">
        <v>9.98</v>
      </c>
      <c r="BA37" s="239" t="s">
        <v>1531</v>
      </c>
      <c r="BB37" s="259" t="b">
        <f aca="false">TRUE()</f>
        <v>1</v>
      </c>
      <c r="BC37" s="239" t="n">
        <v>0</v>
      </c>
      <c r="BD37" s="239" t="n">
        <v>0</v>
      </c>
      <c r="BG37" s="239" t="n">
        <v>2.29715200000003E+018</v>
      </c>
      <c r="BH37" s="239" t="s">
        <v>2144</v>
      </c>
      <c r="BI37" s="239" t="n">
        <v>0</v>
      </c>
      <c r="BJ37" s="239" t="s">
        <v>1567</v>
      </c>
      <c r="BQ37" s="239" t="s">
        <v>1561</v>
      </c>
      <c r="BV37" s="239" t="s">
        <v>2138</v>
      </c>
      <c r="BW37" s="239" t="n">
        <v>0</v>
      </c>
      <c r="BZ37" s="259" t="b">
        <f aca="false">FALSE()</f>
        <v>0</v>
      </c>
      <c r="CC37" s="239" t="n">
        <v>0</v>
      </c>
      <c r="CD37" s="239" t="n">
        <v>0</v>
      </c>
      <c r="CE37" s="239" t="n">
        <v>0</v>
      </c>
      <c r="CF37" s="239" t="n">
        <v>0</v>
      </c>
      <c r="CG37" s="239" t="n">
        <v>0</v>
      </c>
      <c r="CH37" s="239" t="n">
        <v>0</v>
      </c>
      <c r="CI37" s="239" t="n">
        <v>0</v>
      </c>
      <c r="CJ37" s="239" t="n">
        <v>0</v>
      </c>
      <c r="CK37" s="239" t="n">
        <v>0</v>
      </c>
      <c r="CL37" s="239" t="n">
        <v>0</v>
      </c>
      <c r="CM37" s="239" t="n">
        <v>0</v>
      </c>
      <c r="CN37" s="239" t="n">
        <v>0</v>
      </c>
    </row>
    <row r="38" customFormat="false" ht="13.5" hidden="false" customHeight="false" outlineLevel="0" collapsed="false">
      <c r="A38" s="260" t="n">
        <v>45772</v>
      </c>
      <c r="B38" s="258" t="n">
        <v>45772</v>
      </c>
      <c r="C38" s="239" t="n">
        <v>2.29715200000014E+018</v>
      </c>
      <c r="D38" s="257" t="s">
        <v>2086</v>
      </c>
      <c r="E38" s="239" t="n">
        <v>0</v>
      </c>
      <c r="F38" s="239" t="n">
        <v>0</v>
      </c>
      <c r="G38" s="239" t="s">
        <v>1870</v>
      </c>
      <c r="H38" s="239" t="s">
        <v>2190</v>
      </c>
      <c r="J38" s="239" t="s">
        <v>1526</v>
      </c>
      <c r="K38" s="239" t="n">
        <v>1</v>
      </c>
      <c r="L38" s="257" t="n">
        <v>100000</v>
      </c>
      <c r="M38" s="239" t="n">
        <v>90000</v>
      </c>
      <c r="N38" s="239" t="n">
        <v>0</v>
      </c>
      <c r="R38" s="239" t="n">
        <v>0</v>
      </c>
      <c r="S38" s="239" t="s">
        <v>1399</v>
      </c>
      <c r="T38" s="259" t="b">
        <f aca="false">FALSE()</f>
        <v>0</v>
      </c>
      <c r="Y38" s="239" t="s">
        <v>2140</v>
      </c>
      <c r="Z38" s="239" t="s">
        <v>2136</v>
      </c>
      <c r="AC38" s="257" t="s">
        <v>2085</v>
      </c>
      <c r="AF38" s="239" t="n">
        <v>1</v>
      </c>
      <c r="AH38" s="239" t="n">
        <v>0</v>
      </c>
      <c r="AI38" s="239" t="n">
        <v>100000</v>
      </c>
      <c r="AJ38" s="259" t="b">
        <f aca="false">FALSE()</f>
        <v>0</v>
      </c>
      <c r="AL38" s="239" t="s">
        <v>1959</v>
      </c>
      <c r="AM38" s="239" t="s">
        <v>1632</v>
      </c>
      <c r="AN38" s="239" t="s">
        <v>1524</v>
      </c>
      <c r="AP38" s="239" t="s">
        <v>1531</v>
      </c>
      <c r="AQ38" s="239" t="n">
        <v>2.29715200000003E+018</v>
      </c>
      <c r="AR38" s="239" t="s">
        <v>1596</v>
      </c>
      <c r="AS38" s="239" t="n">
        <v>10</v>
      </c>
      <c r="AT38" s="239" t="s">
        <v>1534</v>
      </c>
      <c r="AU38" s="239" t="s">
        <v>1535</v>
      </c>
      <c r="AV38" s="239" t="n">
        <v>10000</v>
      </c>
      <c r="AZ38" s="239" t="n">
        <v>100000</v>
      </c>
      <c r="BA38" s="239" t="s">
        <v>1531</v>
      </c>
      <c r="BB38" s="259" t="b">
        <f aca="false">TRUE()</f>
        <v>1</v>
      </c>
      <c r="BC38" s="239" t="n">
        <v>0</v>
      </c>
      <c r="BD38" s="239" t="n">
        <v>0</v>
      </c>
      <c r="BQ38" s="239" t="s">
        <v>1561</v>
      </c>
      <c r="BV38" s="239" t="s">
        <v>2138</v>
      </c>
      <c r="BW38" s="239" t="n">
        <v>0</v>
      </c>
      <c r="BZ38" s="259" t="b">
        <f aca="false">FALSE()</f>
        <v>0</v>
      </c>
    </row>
    <row r="39" customFormat="false" ht="13.5" hidden="false" customHeight="false" outlineLevel="0" collapsed="false">
      <c r="A39" s="260" t="n">
        <v>45536</v>
      </c>
      <c r="B39" s="258" t="n">
        <v>45536</v>
      </c>
      <c r="C39" s="239" t="n">
        <v>2.29715200000014E+018</v>
      </c>
      <c r="D39" s="257" t="s">
        <v>2081</v>
      </c>
      <c r="E39" s="239" t="n">
        <v>0</v>
      </c>
      <c r="F39" s="239" t="n">
        <v>0</v>
      </c>
      <c r="G39" s="239" t="s">
        <v>1870</v>
      </c>
      <c r="H39" s="239" t="n">
        <v>1</v>
      </c>
      <c r="J39" s="239" t="s">
        <v>1526</v>
      </c>
      <c r="K39" s="239" t="n">
        <v>1</v>
      </c>
      <c r="L39" s="257" t="n">
        <v>28000</v>
      </c>
      <c r="M39" s="239" t="n">
        <v>28000</v>
      </c>
      <c r="N39" s="239" t="n">
        <v>0</v>
      </c>
      <c r="R39" s="239" t="n">
        <v>0</v>
      </c>
      <c r="S39" s="239" t="s">
        <v>1399</v>
      </c>
      <c r="T39" s="259" t="b">
        <f aca="false">FALSE()</f>
        <v>0</v>
      </c>
      <c r="Y39" s="239" t="s">
        <v>2140</v>
      </c>
      <c r="Z39" s="239" t="s">
        <v>2136</v>
      </c>
      <c r="AC39" s="257" t="s">
        <v>2080</v>
      </c>
      <c r="AE39" s="239" t="s">
        <v>2146</v>
      </c>
      <c r="AF39" s="239" t="n">
        <v>1</v>
      </c>
      <c r="AH39" s="239" t="n">
        <v>0</v>
      </c>
      <c r="AI39" s="239" t="n">
        <v>28000</v>
      </c>
      <c r="AJ39" s="259" t="b">
        <f aca="false">FALSE()</f>
        <v>0</v>
      </c>
      <c r="AL39" s="239" t="s">
        <v>1632</v>
      </c>
      <c r="AM39" s="239" t="s">
        <v>1632</v>
      </c>
      <c r="AN39" s="239" t="s">
        <v>1524</v>
      </c>
      <c r="AP39" s="239" t="s">
        <v>1527</v>
      </c>
      <c r="AS39" s="239" t="n">
        <v>0</v>
      </c>
      <c r="AV39" s="239" t="n">
        <v>0</v>
      </c>
      <c r="AZ39" s="239" t="n">
        <v>28000</v>
      </c>
      <c r="BA39" s="239" t="s">
        <v>1531</v>
      </c>
      <c r="BB39" s="259" t="b">
        <f aca="false">TRUE()</f>
        <v>1</v>
      </c>
      <c r="BC39" s="239" t="n">
        <v>0</v>
      </c>
      <c r="BD39" s="239" t="n">
        <v>0</v>
      </c>
      <c r="BM39" s="239" t="n">
        <v>0</v>
      </c>
      <c r="BQ39" s="239" t="s">
        <v>1561</v>
      </c>
      <c r="BV39" s="239" t="s">
        <v>2138</v>
      </c>
      <c r="BW39" s="239" t="n">
        <v>0</v>
      </c>
      <c r="BZ39" s="259" t="b">
        <f aca="false">FALSE()</f>
        <v>0</v>
      </c>
    </row>
    <row r="40" customFormat="false" ht="13.5" hidden="false" customHeight="false" outlineLevel="0" collapsed="false">
      <c r="A40" s="260" t="n">
        <v>45566</v>
      </c>
      <c r="B40" s="258" t="n">
        <v>45566</v>
      </c>
      <c r="C40" s="239" t="n">
        <v>2.29715200000014E+018</v>
      </c>
      <c r="D40" s="257" t="s">
        <v>2081</v>
      </c>
      <c r="E40" s="239" t="n">
        <v>0</v>
      </c>
      <c r="F40" s="239" t="n">
        <v>0</v>
      </c>
      <c r="G40" s="239" t="s">
        <v>1870</v>
      </c>
      <c r="H40" s="239" t="n">
        <v>2</v>
      </c>
      <c r="J40" s="239" t="s">
        <v>1526</v>
      </c>
      <c r="K40" s="239" t="n">
        <v>1</v>
      </c>
      <c r="L40" s="257" t="n">
        <v>82000</v>
      </c>
      <c r="M40" s="239" t="n">
        <v>82000</v>
      </c>
      <c r="N40" s="239" t="n">
        <v>0</v>
      </c>
      <c r="R40" s="239" t="n">
        <v>0</v>
      </c>
      <c r="S40" s="239" t="s">
        <v>1399</v>
      </c>
      <c r="T40" s="259" t="b">
        <f aca="false">FALSE()</f>
        <v>0</v>
      </c>
      <c r="Y40" s="239" t="s">
        <v>2140</v>
      </c>
      <c r="Z40" s="239" t="s">
        <v>2136</v>
      </c>
      <c r="AC40" s="257" t="s">
        <v>2080</v>
      </c>
      <c r="AE40" s="239" t="s">
        <v>2146</v>
      </c>
      <c r="AF40" s="239" t="n">
        <v>1</v>
      </c>
      <c r="AH40" s="239" t="n">
        <v>0</v>
      </c>
      <c r="AI40" s="239" t="n">
        <v>82000</v>
      </c>
      <c r="AJ40" s="259" t="b">
        <f aca="false">FALSE()</f>
        <v>0</v>
      </c>
      <c r="AL40" s="239" t="s">
        <v>1632</v>
      </c>
      <c r="AM40" s="239" t="s">
        <v>1632</v>
      </c>
      <c r="AN40" s="239" t="s">
        <v>1524</v>
      </c>
      <c r="AP40" s="239" t="s">
        <v>1527</v>
      </c>
      <c r="AS40" s="239" t="n">
        <v>0</v>
      </c>
      <c r="AV40" s="239" t="n">
        <v>0</v>
      </c>
      <c r="AZ40" s="239" t="n">
        <v>82000</v>
      </c>
      <c r="BA40" s="239" t="s">
        <v>1531</v>
      </c>
      <c r="BB40" s="259" t="b">
        <f aca="false">TRUE()</f>
        <v>1</v>
      </c>
      <c r="BC40" s="239" t="n">
        <v>0</v>
      </c>
      <c r="BD40" s="239" t="n">
        <v>0</v>
      </c>
      <c r="BM40" s="239" t="n">
        <v>0</v>
      </c>
      <c r="BQ40" s="239" t="s">
        <v>1561</v>
      </c>
      <c r="BV40" s="239" t="s">
        <v>2138</v>
      </c>
      <c r="BW40" s="239" t="n">
        <v>0</v>
      </c>
      <c r="BZ40" s="259" t="b">
        <f aca="false">FALSE()</f>
        <v>0</v>
      </c>
    </row>
    <row r="41" customFormat="false" ht="13.5" hidden="false" customHeight="false" outlineLevel="0" collapsed="false">
      <c r="A41" s="260" t="n">
        <v>45597</v>
      </c>
      <c r="B41" s="258" t="n">
        <v>45597</v>
      </c>
      <c r="C41" s="239" t="n">
        <v>2.29715200000014E+018</v>
      </c>
      <c r="D41" s="257" t="s">
        <v>2081</v>
      </c>
      <c r="E41" s="239" t="n">
        <v>0</v>
      </c>
      <c r="F41" s="239" t="n">
        <v>0</v>
      </c>
      <c r="G41" s="239" t="s">
        <v>1870</v>
      </c>
      <c r="H41" s="239" t="n">
        <v>3</v>
      </c>
      <c r="J41" s="239" t="s">
        <v>1526</v>
      </c>
      <c r="K41" s="239" t="n">
        <v>1</v>
      </c>
      <c r="L41" s="257" t="n">
        <v>78000</v>
      </c>
      <c r="M41" s="239" t="n">
        <v>78000</v>
      </c>
      <c r="N41" s="239" t="n">
        <v>0</v>
      </c>
      <c r="R41" s="239" t="n">
        <v>0</v>
      </c>
      <c r="S41" s="239" t="s">
        <v>1399</v>
      </c>
      <c r="T41" s="259" t="b">
        <f aca="false">FALSE()</f>
        <v>0</v>
      </c>
      <c r="Y41" s="239" t="s">
        <v>2140</v>
      </c>
      <c r="Z41" s="239" t="s">
        <v>2136</v>
      </c>
      <c r="AC41" s="257" t="s">
        <v>2080</v>
      </c>
      <c r="AE41" s="239" t="s">
        <v>2146</v>
      </c>
      <c r="AF41" s="239" t="n">
        <v>1</v>
      </c>
      <c r="AH41" s="239" t="n">
        <v>0</v>
      </c>
      <c r="AI41" s="239" t="n">
        <v>78000</v>
      </c>
      <c r="AJ41" s="259" t="b">
        <f aca="false">FALSE()</f>
        <v>0</v>
      </c>
      <c r="AL41" s="239" t="s">
        <v>1632</v>
      </c>
      <c r="AM41" s="239" t="s">
        <v>1632</v>
      </c>
      <c r="AN41" s="239" t="s">
        <v>1524</v>
      </c>
      <c r="AP41" s="239" t="s">
        <v>1527</v>
      </c>
      <c r="AS41" s="239" t="n">
        <v>0</v>
      </c>
      <c r="AV41" s="239" t="n">
        <v>0</v>
      </c>
      <c r="AZ41" s="239" t="n">
        <v>78000</v>
      </c>
      <c r="BA41" s="239" t="s">
        <v>1531</v>
      </c>
      <c r="BB41" s="259" t="b">
        <f aca="false">TRUE()</f>
        <v>1</v>
      </c>
      <c r="BC41" s="239" t="n">
        <v>0</v>
      </c>
      <c r="BD41" s="239" t="n">
        <v>0</v>
      </c>
      <c r="BM41" s="239" t="n">
        <v>0</v>
      </c>
      <c r="BQ41" s="239" t="s">
        <v>1561</v>
      </c>
      <c r="BV41" s="239" t="s">
        <v>2138</v>
      </c>
      <c r="BW41" s="239" t="n">
        <v>0</v>
      </c>
      <c r="BZ41" s="259" t="b">
        <f aca="false">FALSE()</f>
        <v>0</v>
      </c>
    </row>
    <row r="42" customFormat="false" ht="13.5" hidden="false" customHeight="false" outlineLevel="0" collapsed="false">
      <c r="A42" s="260" t="n">
        <v>45627</v>
      </c>
      <c r="B42" s="258" t="n">
        <v>45627</v>
      </c>
      <c r="C42" s="239" t="n">
        <v>2.29715200000014E+018</v>
      </c>
      <c r="D42" s="257" t="s">
        <v>2081</v>
      </c>
      <c r="E42" s="239" t="n">
        <v>0</v>
      </c>
      <c r="F42" s="239" t="n">
        <v>0</v>
      </c>
      <c r="G42" s="239" t="s">
        <v>1870</v>
      </c>
      <c r="H42" s="239" t="n">
        <v>4</v>
      </c>
      <c r="J42" s="239" t="s">
        <v>1526</v>
      </c>
      <c r="K42" s="239" t="n">
        <v>1</v>
      </c>
      <c r="L42" s="257" t="n">
        <v>110000</v>
      </c>
      <c r="M42" s="239" t="n">
        <v>110000</v>
      </c>
      <c r="N42" s="239" t="n">
        <v>0</v>
      </c>
      <c r="R42" s="239" t="n">
        <v>0</v>
      </c>
      <c r="S42" s="239" t="s">
        <v>1399</v>
      </c>
      <c r="T42" s="259" t="b">
        <f aca="false">FALSE()</f>
        <v>0</v>
      </c>
      <c r="Y42" s="239" t="s">
        <v>2140</v>
      </c>
      <c r="Z42" s="239" t="s">
        <v>2136</v>
      </c>
      <c r="AC42" s="257" t="s">
        <v>2080</v>
      </c>
      <c r="AE42" s="239" t="s">
        <v>2146</v>
      </c>
      <c r="AF42" s="239" t="n">
        <v>1</v>
      </c>
      <c r="AH42" s="239" t="n">
        <v>0</v>
      </c>
      <c r="AI42" s="239" t="n">
        <v>110000</v>
      </c>
      <c r="AJ42" s="259" t="b">
        <f aca="false">FALSE()</f>
        <v>0</v>
      </c>
      <c r="AL42" s="239" t="s">
        <v>1632</v>
      </c>
      <c r="AM42" s="239" t="s">
        <v>1632</v>
      </c>
      <c r="AN42" s="239" t="s">
        <v>1524</v>
      </c>
      <c r="AP42" s="239" t="s">
        <v>1527</v>
      </c>
      <c r="AS42" s="239" t="n">
        <v>0</v>
      </c>
      <c r="AV42" s="239" t="n">
        <v>0</v>
      </c>
      <c r="AZ42" s="239" t="n">
        <v>110000</v>
      </c>
      <c r="BA42" s="239" t="s">
        <v>1531</v>
      </c>
      <c r="BB42" s="259" t="b">
        <f aca="false">TRUE()</f>
        <v>1</v>
      </c>
      <c r="BC42" s="239" t="n">
        <v>0</v>
      </c>
      <c r="BD42" s="239" t="n">
        <v>0</v>
      </c>
      <c r="BM42" s="239" t="n">
        <v>0</v>
      </c>
      <c r="BQ42" s="239" t="s">
        <v>1561</v>
      </c>
      <c r="BV42" s="239" t="s">
        <v>2138</v>
      </c>
      <c r="BW42" s="239" t="n">
        <v>0</v>
      </c>
      <c r="BZ42" s="259" t="b">
        <f aca="false">FALSE()</f>
        <v>0</v>
      </c>
    </row>
    <row r="43" customFormat="false" ht="13.5" hidden="false" customHeight="false" outlineLevel="0" collapsed="false">
      <c r="A43" s="258" t="n">
        <v>45658</v>
      </c>
      <c r="B43" s="258" t="n">
        <v>45658</v>
      </c>
      <c r="C43" s="239" t="n">
        <v>2.29715200000014E+018</v>
      </c>
      <c r="D43" s="239" t="s">
        <v>2081</v>
      </c>
      <c r="E43" s="239" t="n">
        <v>0</v>
      </c>
      <c r="F43" s="239" t="n">
        <v>0</v>
      </c>
      <c r="G43" s="239" t="s">
        <v>1870</v>
      </c>
      <c r="H43" s="239" t="n">
        <v>5</v>
      </c>
      <c r="J43" s="239" t="s">
        <v>1526</v>
      </c>
      <c r="K43" s="239" t="n">
        <v>1</v>
      </c>
      <c r="L43" s="239" t="n">
        <v>48000</v>
      </c>
      <c r="M43" s="239" t="n">
        <v>48000</v>
      </c>
      <c r="N43" s="239" t="n">
        <v>0</v>
      </c>
      <c r="R43" s="239" t="n">
        <v>0</v>
      </c>
      <c r="S43" s="239" t="s">
        <v>1399</v>
      </c>
      <c r="T43" s="259" t="b">
        <f aca="false">FALSE()</f>
        <v>0</v>
      </c>
      <c r="Y43" s="239" t="s">
        <v>2140</v>
      </c>
      <c r="Z43" s="239" t="s">
        <v>2136</v>
      </c>
      <c r="AC43" s="239" t="s">
        <v>2080</v>
      </c>
      <c r="AE43" s="239" t="s">
        <v>2146</v>
      </c>
      <c r="AF43" s="239" t="n">
        <v>1</v>
      </c>
      <c r="AH43" s="239" t="n">
        <v>0</v>
      </c>
      <c r="AI43" s="239" t="n">
        <v>48000</v>
      </c>
      <c r="AJ43" s="259" t="b">
        <f aca="false">FALSE()</f>
        <v>0</v>
      </c>
      <c r="AL43" s="239" t="s">
        <v>1632</v>
      </c>
      <c r="AM43" s="239" t="s">
        <v>1632</v>
      </c>
      <c r="AN43" s="239" t="s">
        <v>1524</v>
      </c>
      <c r="AP43" s="239" t="s">
        <v>1527</v>
      </c>
      <c r="AS43" s="239" t="n">
        <v>0</v>
      </c>
      <c r="AV43" s="239" t="n">
        <v>0</v>
      </c>
      <c r="AZ43" s="239" t="n">
        <v>48000</v>
      </c>
      <c r="BA43" s="239" t="s">
        <v>1531</v>
      </c>
      <c r="BB43" s="259" t="b">
        <f aca="false">TRUE()</f>
        <v>1</v>
      </c>
      <c r="BC43" s="239" t="n">
        <v>0</v>
      </c>
      <c r="BD43" s="239" t="n">
        <v>0</v>
      </c>
      <c r="BM43" s="239" t="n">
        <v>0</v>
      </c>
      <c r="BQ43" s="239" t="s">
        <v>1561</v>
      </c>
      <c r="BV43" s="239" t="s">
        <v>2138</v>
      </c>
      <c r="BW43" s="239" t="n">
        <v>0</v>
      </c>
      <c r="BZ43" s="259" t="b">
        <f aca="false">FALSE()</f>
        <v>0</v>
      </c>
    </row>
    <row r="44" customFormat="false" ht="13.5" hidden="false" customHeight="false" outlineLevel="0" collapsed="false">
      <c r="A44" s="258" t="n">
        <v>45689</v>
      </c>
      <c r="B44" s="258" t="n">
        <v>45689</v>
      </c>
      <c r="C44" s="239" t="n">
        <v>2.29715200000014E+018</v>
      </c>
      <c r="D44" s="239" t="s">
        <v>2081</v>
      </c>
      <c r="E44" s="239" t="n">
        <v>0</v>
      </c>
      <c r="F44" s="239" t="n">
        <v>0</v>
      </c>
      <c r="G44" s="239" t="s">
        <v>1870</v>
      </c>
      <c r="H44" s="239" t="n">
        <v>6</v>
      </c>
      <c r="J44" s="239" t="s">
        <v>1526</v>
      </c>
      <c r="K44" s="239" t="n">
        <v>1</v>
      </c>
      <c r="L44" s="239" t="n">
        <v>60000</v>
      </c>
      <c r="M44" s="239" t="n">
        <v>60000</v>
      </c>
      <c r="N44" s="239" t="n">
        <v>0</v>
      </c>
      <c r="R44" s="239" t="n">
        <v>0</v>
      </c>
      <c r="S44" s="239" t="s">
        <v>1399</v>
      </c>
      <c r="T44" s="259" t="b">
        <f aca="false">FALSE()</f>
        <v>0</v>
      </c>
      <c r="Y44" s="239" t="s">
        <v>2140</v>
      </c>
      <c r="Z44" s="239" t="s">
        <v>2136</v>
      </c>
      <c r="AC44" s="239" t="s">
        <v>2080</v>
      </c>
      <c r="AE44" s="239" t="s">
        <v>2146</v>
      </c>
      <c r="AF44" s="239" t="n">
        <v>1</v>
      </c>
      <c r="AH44" s="239" t="n">
        <v>0</v>
      </c>
      <c r="AI44" s="239" t="n">
        <v>60000</v>
      </c>
      <c r="AJ44" s="259" t="b">
        <f aca="false">FALSE()</f>
        <v>0</v>
      </c>
      <c r="AL44" s="239" t="s">
        <v>1632</v>
      </c>
      <c r="AM44" s="239" t="s">
        <v>1632</v>
      </c>
      <c r="AN44" s="239" t="s">
        <v>1524</v>
      </c>
      <c r="AP44" s="239" t="s">
        <v>1527</v>
      </c>
      <c r="AS44" s="239" t="n">
        <v>0</v>
      </c>
      <c r="AV44" s="239" t="n">
        <v>0</v>
      </c>
      <c r="AZ44" s="239" t="n">
        <v>60000</v>
      </c>
      <c r="BA44" s="239" t="s">
        <v>1531</v>
      </c>
      <c r="BB44" s="259" t="b">
        <f aca="false">TRUE()</f>
        <v>1</v>
      </c>
      <c r="BC44" s="239" t="n">
        <v>0</v>
      </c>
      <c r="BD44" s="239" t="n">
        <v>0</v>
      </c>
      <c r="BM44" s="239" t="n">
        <v>0</v>
      </c>
      <c r="BQ44" s="239" t="s">
        <v>1561</v>
      </c>
      <c r="BV44" s="239" t="s">
        <v>2138</v>
      </c>
      <c r="BW44" s="239" t="n">
        <v>0</v>
      </c>
      <c r="BZ44" s="259" t="b">
        <f aca="false">FALSE()</f>
        <v>0</v>
      </c>
    </row>
    <row r="45" customFormat="false" ht="13.5" hidden="false" customHeight="false" outlineLevel="0" collapsed="false">
      <c r="A45" s="258" t="n">
        <v>45717</v>
      </c>
      <c r="B45" s="258" t="n">
        <v>45717</v>
      </c>
      <c r="C45" s="239" t="n">
        <v>2.29715200000014E+018</v>
      </c>
      <c r="D45" s="239" t="s">
        <v>2081</v>
      </c>
      <c r="E45" s="239" t="n">
        <v>0</v>
      </c>
      <c r="F45" s="239" t="n">
        <v>0</v>
      </c>
      <c r="G45" s="239" t="s">
        <v>1870</v>
      </c>
      <c r="H45" s="239" t="n">
        <v>7</v>
      </c>
      <c r="J45" s="239" t="s">
        <v>1526</v>
      </c>
      <c r="K45" s="239" t="n">
        <v>1</v>
      </c>
      <c r="L45" s="239" t="n">
        <v>105000</v>
      </c>
      <c r="M45" s="239" t="n">
        <v>103950</v>
      </c>
      <c r="N45" s="239" t="n">
        <v>630</v>
      </c>
      <c r="R45" s="239" t="n">
        <v>0</v>
      </c>
      <c r="S45" s="239" t="s">
        <v>1399</v>
      </c>
      <c r="T45" s="259" t="b">
        <f aca="false">FALSE()</f>
        <v>0</v>
      </c>
      <c r="Y45" s="239" t="s">
        <v>947</v>
      </c>
      <c r="Z45" s="239" t="s">
        <v>2136</v>
      </c>
      <c r="AC45" s="239" t="s">
        <v>2080</v>
      </c>
      <c r="AE45" s="239" t="s">
        <v>2146</v>
      </c>
      <c r="AF45" s="239" t="n">
        <v>1</v>
      </c>
      <c r="AH45" s="239" t="n">
        <v>0</v>
      </c>
      <c r="AI45" s="239" t="n">
        <v>105000</v>
      </c>
      <c r="AJ45" s="259" t="b">
        <f aca="false">FALSE()</f>
        <v>0</v>
      </c>
      <c r="AL45" s="239" t="s">
        <v>1632</v>
      </c>
      <c r="AM45" s="239" t="s">
        <v>1632</v>
      </c>
      <c r="AN45" s="239" t="s">
        <v>1524</v>
      </c>
      <c r="AP45" s="239" t="s">
        <v>1531</v>
      </c>
      <c r="AQ45" s="239" t="n">
        <v>2.29715200000003E+018</v>
      </c>
      <c r="AR45" s="239" t="s">
        <v>2147</v>
      </c>
      <c r="AS45" s="239" t="n">
        <v>1</v>
      </c>
      <c r="AT45" s="239" t="s">
        <v>2148</v>
      </c>
      <c r="AU45" s="239" t="s">
        <v>2149</v>
      </c>
      <c r="AV45" s="239" t="n">
        <v>1050</v>
      </c>
      <c r="AZ45" s="239" t="n">
        <v>105000</v>
      </c>
      <c r="BA45" s="239" t="s">
        <v>1531</v>
      </c>
      <c r="BB45" s="259" t="b">
        <f aca="false">TRUE()</f>
        <v>1</v>
      </c>
      <c r="BC45" s="239" t="n">
        <v>0</v>
      </c>
      <c r="BD45" s="239" t="n">
        <v>0</v>
      </c>
      <c r="BQ45" s="239" t="s">
        <v>1561</v>
      </c>
      <c r="BV45" s="239" t="s">
        <v>2138</v>
      </c>
      <c r="BW45" s="239" t="n">
        <v>0</v>
      </c>
      <c r="BZ45" s="259" t="b">
        <f aca="false">FALSE()</f>
        <v>0</v>
      </c>
    </row>
    <row r="46" customFormat="false" ht="13.5" hidden="false" customHeight="false" outlineLevel="0" collapsed="false">
      <c r="A46" s="258" t="n">
        <v>45747</v>
      </c>
      <c r="B46" s="258" t="n">
        <v>45747</v>
      </c>
      <c r="C46" s="239" t="n">
        <v>2.29715200000014E+018</v>
      </c>
      <c r="D46" s="239" t="s">
        <v>2081</v>
      </c>
      <c r="E46" s="239" t="n">
        <v>0</v>
      </c>
      <c r="F46" s="239" t="n">
        <v>0</v>
      </c>
      <c r="G46" s="239" t="s">
        <v>1870</v>
      </c>
      <c r="H46" s="239" t="s">
        <v>2191</v>
      </c>
      <c r="J46" s="239" t="s">
        <v>1526</v>
      </c>
      <c r="K46" s="239" t="n">
        <v>1</v>
      </c>
      <c r="L46" s="239" t="n">
        <v>100000</v>
      </c>
      <c r="M46" s="239" t="n">
        <v>99000</v>
      </c>
      <c r="N46" s="239" t="n">
        <v>0</v>
      </c>
      <c r="R46" s="239" t="n">
        <v>0</v>
      </c>
      <c r="S46" s="239" t="s">
        <v>1399</v>
      </c>
      <c r="T46" s="259" t="b">
        <f aca="false">FALSE()</f>
        <v>0</v>
      </c>
      <c r="Y46" s="239" t="s">
        <v>2140</v>
      </c>
      <c r="Z46" s="239" t="s">
        <v>2136</v>
      </c>
      <c r="AC46" s="239" t="s">
        <v>2080</v>
      </c>
      <c r="AE46" s="239" t="s">
        <v>2146</v>
      </c>
      <c r="AF46" s="239" t="n">
        <v>1</v>
      </c>
      <c r="AH46" s="239" t="n">
        <v>0</v>
      </c>
      <c r="AI46" s="239" t="n">
        <v>100000</v>
      </c>
      <c r="AJ46" s="259" t="b">
        <f aca="false">FALSE()</f>
        <v>0</v>
      </c>
      <c r="AL46" s="239" t="s">
        <v>1632</v>
      </c>
      <c r="AM46" s="239" t="s">
        <v>1632</v>
      </c>
      <c r="AN46" s="239" t="s">
        <v>1524</v>
      </c>
      <c r="AP46" s="239" t="s">
        <v>1531</v>
      </c>
      <c r="AQ46" s="239" t="n">
        <v>2.29715200000003E+018</v>
      </c>
      <c r="AR46" s="239" t="s">
        <v>2147</v>
      </c>
      <c r="AS46" s="239" t="n">
        <v>1</v>
      </c>
      <c r="AT46" s="239" t="s">
        <v>2148</v>
      </c>
      <c r="AU46" s="239" t="s">
        <v>2149</v>
      </c>
      <c r="AV46" s="239" t="n">
        <v>1000</v>
      </c>
      <c r="AZ46" s="239" t="n">
        <v>100000</v>
      </c>
      <c r="BA46" s="239" t="s">
        <v>1531</v>
      </c>
      <c r="BB46" s="259" t="b">
        <f aca="false">TRUE()</f>
        <v>1</v>
      </c>
      <c r="BC46" s="239" t="n">
        <v>0</v>
      </c>
      <c r="BD46" s="239" t="n">
        <v>0</v>
      </c>
      <c r="BQ46" s="239" t="s">
        <v>1561</v>
      </c>
      <c r="BV46" s="239" t="s">
        <v>2138</v>
      </c>
      <c r="BW46" s="239" t="n">
        <v>0</v>
      </c>
      <c r="BZ46" s="259" t="b">
        <f aca="false">FALSE()</f>
        <v>0</v>
      </c>
    </row>
    <row r="47" customFormat="false" ht="13.5" hidden="false" customHeight="false" outlineLevel="0" collapsed="false">
      <c r="A47" s="260" t="n">
        <v>45777</v>
      </c>
      <c r="B47" s="258" t="n">
        <v>45777</v>
      </c>
      <c r="C47" s="239" t="n">
        <v>2.29715200000014E+018</v>
      </c>
      <c r="D47" s="257" t="s">
        <v>2082</v>
      </c>
      <c r="E47" s="239" t="n">
        <v>0</v>
      </c>
      <c r="F47" s="239" t="n">
        <v>0</v>
      </c>
      <c r="G47" s="239" t="s">
        <v>1870</v>
      </c>
      <c r="H47" s="239" t="s">
        <v>2192</v>
      </c>
      <c r="J47" s="239" t="s">
        <v>1526</v>
      </c>
      <c r="K47" s="239" t="n">
        <v>1</v>
      </c>
      <c r="L47" s="257" t="n">
        <v>50000</v>
      </c>
      <c r="M47" s="239" t="n">
        <v>49500</v>
      </c>
      <c r="N47" s="239" t="n">
        <v>0</v>
      </c>
      <c r="R47" s="239" t="n">
        <v>0</v>
      </c>
      <c r="S47" s="239" t="s">
        <v>1399</v>
      </c>
      <c r="T47" s="259" t="b">
        <f aca="false">FALSE()</f>
        <v>0</v>
      </c>
      <c r="Y47" s="239" t="s">
        <v>2140</v>
      </c>
      <c r="Z47" s="239" t="s">
        <v>2136</v>
      </c>
      <c r="AC47" s="257" t="s">
        <v>2080</v>
      </c>
      <c r="AE47" s="239" t="s">
        <v>2146</v>
      </c>
      <c r="AF47" s="239" t="n">
        <v>1</v>
      </c>
      <c r="AH47" s="239" t="n">
        <v>0</v>
      </c>
      <c r="AI47" s="239" t="n">
        <v>50000</v>
      </c>
      <c r="AJ47" s="259" t="b">
        <f aca="false">FALSE()</f>
        <v>0</v>
      </c>
      <c r="AL47" s="239" t="s">
        <v>1522</v>
      </c>
      <c r="AM47" s="239" t="s">
        <v>1632</v>
      </c>
      <c r="AN47" s="239" t="s">
        <v>1524</v>
      </c>
      <c r="AP47" s="239" t="s">
        <v>1531</v>
      </c>
      <c r="AQ47" s="239" t="n">
        <v>2.29715200000003E+018</v>
      </c>
      <c r="AR47" s="239" t="s">
        <v>2147</v>
      </c>
      <c r="AS47" s="239" t="n">
        <v>1</v>
      </c>
      <c r="AT47" s="239" t="s">
        <v>2148</v>
      </c>
      <c r="AU47" s="239" t="s">
        <v>2149</v>
      </c>
      <c r="AV47" s="239" t="n">
        <v>500</v>
      </c>
      <c r="AZ47" s="239" t="n">
        <v>50000</v>
      </c>
      <c r="BA47" s="239" t="s">
        <v>1531</v>
      </c>
      <c r="BB47" s="259" t="b">
        <f aca="false">TRUE()</f>
        <v>1</v>
      </c>
      <c r="BC47" s="239" t="n">
        <v>0</v>
      </c>
      <c r="BD47" s="239" t="n">
        <v>0</v>
      </c>
      <c r="BQ47" s="239" t="s">
        <v>1561</v>
      </c>
      <c r="BV47" s="239" t="s">
        <v>2138</v>
      </c>
      <c r="BW47" s="239" t="n">
        <v>0</v>
      </c>
      <c r="BZ47" s="259" t="b">
        <f aca="false">FALSE()</f>
        <v>0</v>
      </c>
    </row>
    <row r="48" customFormat="false" ht="13.5" hidden="false" customHeight="false" outlineLevel="0" collapsed="false">
      <c r="A48" s="260" t="n">
        <v>45777</v>
      </c>
      <c r="B48" s="258" t="n">
        <v>45777</v>
      </c>
      <c r="C48" s="239" t="n">
        <v>2.29715200000014E+018</v>
      </c>
      <c r="D48" s="257" t="s">
        <v>2083</v>
      </c>
      <c r="E48" s="239" t="n">
        <v>0</v>
      </c>
      <c r="F48" s="239" t="n">
        <v>0</v>
      </c>
      <c r="G48" s="239" t="s">
        <v>1870</v>
      </c>
      <c r="H48" s="239" t="s">
        <v>2193</v>
      </c>
      <c r="J48" s="239" t="s">
        <v>1526</v>
      </c>
      <c r="K48" s="239" t="n">
        <v>1</v>
      </c>
      <c r="L48" s="257" t="n">
        <v>114456</v>
      </c>
      <c r="M48" s="239" t="n">
        <v>113456</v>
      </c>
      <c r="N48" s="239" t="n">
        <v>0</v>
      </c>
      <c r="R48" s="239" t="n">
        <v>0</v>
      </c>
      <c r="S48" s="239" t="s">
        <v>1399</v>
      </c>
      <c r="T48" s="259" t="b">
        <f aca="false">FALSE()</f>
        <v>0</v>
      </c>
      <c r="Y48" s="239" t="s">
        <v>2140</v>
      </c>
      <c r="Z48" s="239" t="s">
        <v>2136</v>
      </c>
      <c r="AC48" s="257" t="s">
        <v>2080</v>
      </c>
      <c r="AE48" s="239" t="s">
        <v>2146</v>
      </c>
      <c r="AF48" s="239" t="n">
        <v>1</v>
      </c>
      <c r="AH48" s="239" t="n">
        <v>0</v>
      </c>
      <c r="AI48" s="239" t="n">
        <v>100000</v>
      </c>
      <c r="AJ48" s="259" t="b">
        <f aca="false">FALSE()</f>
        <v>0</v>
      </c>
      <c r="AL48" s="239" t="s">
        <v>1632</v>
      </c>
      <c r="AM48" s="239" t="s">
        <v>1632</v>
      </c>
      <c r="AN48" s="239" t="s">
        <v>1524</v>
      </c>
      <c r="AP48" s="239" t="s">
        <v>1531</v>
      </c>
      <c r="AQ48" s="239" t="n">
        <v>2.29715200000003E+018</v>
      </c>
      <c r="AR48" s="239" t="s">
        <v>2147</v>
      </c>
      <c r="AS48" s="239" t="n">
        <v>1</v>
      </c>
      <c r="AT48" s="239" t="s">
        <v>2148</v>
      </c>
      <c r="AU48" s="239" t="s">
        <v>2149</v>
      </c>
      <c r="AV48" s="239" t="n">
        <v>1000</v>
      </c>
      <c r="AZ48" s="239" t="n">
        <v>100000</v>
      </c>
      <c r="BA48" s="239" t="s">
        <v>1531</v>
      </c>
      <c r="BB48" s="259" t="b">
        <f aca="false">TRUE()</f>
        <v>1</v>
      </c>
      <c r="BC48" s="239" t="n">
        <v>0</v>
      </c>
      <c r="BD48" s="239" t="n">
        <v>0</v>
      </c>
      <c r="BQ48" s="239" t="s">
        <v>1561</v>
      </c>
      <c r="BV48" s="239" t="s">
        <v>2138</v>
      </c>
      <c r="BW48" s="239" t="n">
        <v>0</v>
      </c>
      <c r="BZ48" s="259" t="b">
        <f aca="false">FALSE()</f>
        <v>0</v>
      </c>
    </row>
    <row r="49" customFormat="false" ht="13.5" hidden="false" customHeight="false" outlineLevel="0" collapsed="false">
      <c r="A49" s="260" t="n">
        <v>45777</v>
      </c>
      <c r="B49" s="258" t="n">
        <v>45777</v>
      </c>
      <c r="C49" s="239" t="n">
        <v>2.29715200000014E+018</v>
      </c>
      <c r="D49" s="257" t="s">
        <v>2083</v>
      </c>
      <c r="E49" s="239" t="n">
        <v>0</v>
      </c>
      <c r="F49" s="239" t="n">
        <v>0</v>
      </c>
      <c r="G49" s="239" t="s">
        <v>1870</v>
      </c>
      <c r="H49" s="239" t="s">
        <v>2193</v>
      </c>
      <c r="J49" s="239" t="s">
        <v>1526</v>
      </c>
      <c r="K49" s="239" t="n">
        <v>1</v>
      </c>
      <c r="L49" s="257" t="n">
        <v>114456</v>
      </c>
      <c r="M49" s="239" t="n">
        <v>113456</v>
      </c>
      <c r="N49" s="239" t="n">
        <v>0</v>
      </c>
      <c r="R49" s="239" t="n">
        <v>0</v>
      </c>
      <c r="S49" s="239" t="s">
        <v>1399</v>
      </c>
      <c r="T49" s="259" t="b">
        <f aca="false">FALSE()</f>
        <v>0</v>
      </c>
      <c r="Y49" s="239" t="s">
        <v>2140</v>
      </c>
      <c r="Z49" s="239" t="s">
        <v>2136</v>
      </c>
      <c r="AC49" s="257" t="s">
        <v>2097</v>
      </c>
      <c r="AE49" s="239" t="s">
        <v>2194</v>
      </c>
      <c r="AF49" s="239" t="n">
        <v>1</v>
      </c>
      <c r="AH49" s="239" t="n">
        <v>0</v>
      </c>
      <c r="AI49" s="239" t="n">
        <v>14456</v>
      </c>
      <c r="AJ49" s="259" t="b">
        <f aca="false">FALSE()</f>
        <v>0</v>
      </c>
      <c r="AL49" s="239" t="s">
        <v>1632</v>
      </c>
      <c r="AM49" s="239" t="s">
        <v>1632</v>
      </c>
      <c r="AN49" s="239" t="s">
        <v>1524</v>
      </c>
      <c r="AP49" s="239" t="s">
        <v>1531</v>
      </c>
      <c r="AQ49" s="239" t="n">
        <v>2.29715200000003E+018</v>
      </c>
      <c r="AR49" s="239" t="s">
        <v>2147</v>
      </c>
      <c r="AS49" s="239" t="n">
        <v>1</v>
      </c>
      <c r="AT49" s="239" t="s">
        <v>2148</v>
      </c>
      <c r="AU49" s="239" t="s">
        <v>2149</v>
      </c>
      <c r="AV49" s="239" t="n">
        <v>1000</v>
      </c>
      <c r="AZ49" s="239" t="n">
        <v>14456</v>
      </c>
      <c r="BA49" s="239" t="s">
        <v>1531</v>
      </c>
      <c r="BB49" s="259" t="b">
        <f aca="false">TRUE()</f>
        <v>1</v>
      </c>
      <c r="BC49" s="239" t="n">
        <v>0</v>
      </c>
      <c r="BD49" s="239" t="n">
        <v>0</v>
      </c>
      <c r="BQ49" s="239" t="s">
        <v>1561</v>
      </c>
      <c r="BV49" s="239" t="s">
        <v>2138</v>
      </c>
      <c r="BW49" s="239" t="n">
        <v>0</v>
      </c>
      <c r="BZ49" s="259" t="b">
        <f aca="false">FALSE()</f>
        <v>0</v>
      </c>
    </row>
    <row r="50" customFormat="false" ht="13.5" hidden="false" customHeight="false" outlineLevel="0" collapsed="false">
      <c r="A50" s="260" t="n">
        <v>45777</v>
      </c>
      <c r="B50" s="258" t="n">
        <v>45777</v>
      </c>
      <c r="C50" s="239" t="n">
        <v>2.29715200000014E+018</v>
      </c>
      <c r="D50" s="257" t="s">
        <v>2084</v>
      </c>
      <c r="E50" s="239" t="n">
        <v>0</v>
      </c>
      <c r="F50" s="239" t="n">
        <v>0</v>
      </c>
      <c r="G50" s="239" t="s">
        <v>1870</v>
      </c>
      <c r="H50" s="239" t="s">
        <v>2192</v>
      </c>
      <c r="J50" s="239" t="s">
        <v>1526</v>
      </c>
      <c r="K50" s="239" t="n">
        <v>1</v>
      </c>
      <c r="L50" s="257" t="n">
        <v>52572</v>
      </c>
      <c r="M50" s="239" t="n">
        <v>52072</v>
      </c>
      <c r="N50" s="239" t="n">
        <v>0</v>
      </c>
      <c r="R50" s="239" t="n">
        <v>0</v>
      </c>
      <c r="S50" s="239" t="s">
        <v>1399</v>
      </c>
      <c r="T50" s="259" t="b">
        <f aca="false">FALSE()</f>
        <v>0</v>
      </c>
      <c r="Y50" s="239" t="s">
        <v>2140</v>
      </c>
      <c r="Z50" s="239" t="s">
        <v>2136</v>
      </c>
      <c r="AC50" s="257" t="s">
        <v>2080</v>
      </c>
      <c r="AE50" s="239" t="s">
        <v>2146</v>
      </c>
      <c r="AF50" s="239" t="n">
        <v>1</v>
      </c>
      <c r="AH50" s="239" t="n">
        <v>0</v>
      </c>
      <c r="AI50" s="239" t="n">
        <v>50000</v>
      </c>
      <c r="AJ50" s="259" t="b">
        <f aca="false">FALSE()</f>
        <v>0</v>
      </c>
      <c r="AL50" s="239" t="s">
        <v>1632</v>
      </c>
      <c r="AM50" s="239" t="s">
        <v>1632</v>
      </c>
      <c r="AN50" s="239" t="s">
        <v>1524</v>
      </c>
      <c r="AP50" s="239" t="s">
        <v>1531</v>
      </c>
      <c r="AQ50" s="239" t="n">
        <v>2.29715200000003E+018</v>
      </c>
      <c r="AR50" s="239" t="s">
        <v>2147</v>
      </c>
      <c r="AS50" s="239" t="n">
        <v>1</v>
      </c>
      <c r="AT50" s="239" t="s">
        <v>2148</v>
      </c>
      <c r="AU50" s="239" t="s">
        <v>2149</v>
      </c>
      <c r="AV50" s="239" t="n">
        <v>500</v>
      </c>
      <c r="AZ50" s="239" t="n">
        <v>50000</v>
      </c>
      <c r="BA50" s="239" t="s">
        <v>1531</v>
      </c>
      <c r="BB50" s="259" t="b">
        <f aca="false">TRUE()</f>
        <v>1</v>
      </c>
      <c r="BC50" s="239" t="n">
        <v>0</v>
      </c>
      <c r="BD50" s="239" t="n">
        <v>0</v>
      </c>
      <c r="BQ50" s="239" t="s">
        <v>1561</v>
      </c>
      <c r="BV50" s="239" t="s">
        <v>2138</v>
      </c>
      <c r="BW50" s="239" t="n">
        <v>0</v>
      </c>
      <c r="BZ50" s="259" t="b">
        <f aca="false">FALSE()</f>
        <v>0</v>
      </c>
    </row>
    <row r="51" customFormat="false" ht="13.5" hidden="false" customHeight="false" outlineLevel="0" collapsed="false">
      <c r="A51" s="260" t="n">
        <v>45777</v>
      </c>
      <c r="B51" s="258" t="n">
        <v>45777</v>
      </c>
      <c r="C51" s="239" t="n">
        <v>2.29715200000014E+018</v>
      </c>
      <c r="D51" s="257" t="s">
        <v>2084</v>
      </c>
      <c r="E51" s="239" t="n">
        <v>0</v>
      </c>
      <c r="F51" s="239" t="n">
        <v>0</v>
      </c>
      <c r="G51" s="239" t="s">
        <v>1870</v>
      </c>
      <c r="H51" s="239" t="s">
        <v>2192</v>
      </c>
      <c r="J51" s="239" t="s">
        <v>1526</v>
      </c>
      <c r="K51" s="239" t="n">
        <v>1</v>
      </c>
      <c r="L51" s="257" t="n">
        <v>52572</v>
      </c>
      <c r="M51" s="239" t="n">
        <v>52072</v>
      </c>
      <c r="N51" s="239" t="n">
        <v>0</v>
      </c>
      <c r="R51" s="239" t="n">
        <v>0</v>
      </c>
      <c r="S51" s="239" t="s">
        <v>1399</v>
      </c>
      <c r="T51" s="259" t="b">
        <f aca="false">FALSE()</f>
        <v>0</v>
      </c>
      <c r="Y51" s="239" t="s">
        <v>2140</v>
      </c>
      <c r="Z51" s="239" t="s">
        <v>2136</v>
      </c>
      <c r="AC51" s="257" t="s">
        <v>2097</v>
      </c>
      <c r="AE51" s="239" t="s">
        <v>2195</v>
      </c>
      <c r="AF51" s="239" t="n">
        <v>1</v>
      </c>
      <c r="AH51" s="239" t="n">
        <v>0</v>
      </c>
      <c r="AI51" s="239" t="n">
        <v>2572</v>
      </c>
      <c r="AJ51" s="259" t="b">
        <f aca="false">FALSE()</f>
        <v>0</v>
      </c>
      <c r="AL51" s="239" t="s">
        <v>1632</v>
      </c>
      <c r="AM51" s="239" t="s">
        <v>1632</v>
      </c>
      <c r="AN51" s="239" t="s">
        <v>1524</v>
      </c>
      <c r="AP51" s="239" t="s">
        <v>1531</v>
      </c>
      <c r="AQ51" s="239" t="n">
        <v>2.29715200000003E+018</v>
      </c>
      <c r="AR51" s="239" t="s">
        <v>2147</v>
      </c>
      <c r="AS51" s="239" t="n">
        <v>1</v>
      </c>
      <c r="AT51" s="239" t="s">
        <v>2148</v>
      </c>
      <c r="AU51" s="239" t="s">
        <v>2149</v>
      </c>
      <c r="AV51" s="239" t="n">
        <v>500</v>
      </c>
      <c r="AZ51" s="239" t="n">
        <v>2572</v>
      </c>
      <c r="BA51" s="239" t="s">
        <v>1531</v>
      </c>
      <c r="BB51" s="259" t="b">
        <f aca="false">TRUE()</f>
        <v>1</v>
      </c>
      <c r="BC51" s="239" t="n">
        <v>0</v>
      </c>
      <c r="BD51" s="239" t="n">
        <v>0</v>
      </c>
      <c r="BQ51" s="239" t="s">
        <v>1561</v>
      </c>
      <c r="BV51" s="239" t="s">
        <v>2138</v>
      </c>
      <c r="BW51" s="239" t="n">
        <v>0</v>
      </c>
      <c r="BZ51" s="259" t="b">
        <f aca="false">FALSE()</f>
        <v>0</v>
      </c>
    </row>
    <row r="52" customFormat="false" ht="13.5" hidden="false" customHeight="false" outlineLevel="0" collapsed="false">
      <c r="A52" s="260" t="n">
        <v>45758</v>
      </c>
      <c r="B52" s="258" t="n">
        <v>45758</v>
      </c>
      <c r="C52" s="239" t="n">
        <v>2.29715200000014E+018</v>
      </c>
      <c r="D52" s="257" t="s">
        <v>2079</v>
      </c>
      <c r="E52" s="239" t="n">
        <v>0</v>
      </c>
      <c r="F52" s="239" t="n">
        <v>0</v>
      </c>
      <c r="G52" s="239" t="s">
        <v>1870</v>
      </c>
      <c r="H52" s="239" t="s">
        <v>2196</v>
      </c>
      <c r="J52" s="239" t="s">
        <v>1526</v>
      </c>
      <c r="K52" s="239" t="n">
        <v>1</v>
      </c>
      <c r="L52" s="257" t="n">
        <v>125000</v>
      </c>
      <c r="M52" s="239" t="n">
        <v>145000</v>
      </c>
      <c r="N52" s="239" t="n">
        <v>0</v>
      </c>
      <c r="R52" s="239" t="n">
        <v>0</v>
      </c>
      <c r="S52" s="239" t="s">
        <v>1399</v>
      </c>
      <c r="T52" s="259" t="b">
        <f aca="false">FALSE()</f>
        <v>0</v>
      </c>
      <c r="Y52" s="239" t="s">
        <v>2140</v>
      </c>
      <c r="Z52" s="239" t="s">
        <v>2136</v>
      </c>
      <c r="AC52" s="257" t="s">
        <v>2077</v>
      </c>
      <c r="AE52" s="239" t="s">
        <v>2197</v>
      </c>
      <c r="AF52" s="239" t="n">
        <v>1</v>
      </c>
      <c r="AH52" s="239" t="n">
        <v>22500</v>
      </c>
      <c r="AI52" s="239" t="n">
        <v>125000</v>
      </c>
      <c r="AJ52" s="259" t="b">
        <f aca="false">FALSE()</f>
        <v>0</v>
      </c>
      <c r="AL52" s="239" t="s">
        <v>1959</v>
      </c>
      <c r="AM52" s="239" t="s">
        <v>1632</v>
      </c>
      <c r="AN52" s="239" t="s">
        <v>1595</v>
      </c>
      <c r="AO52" s="239" t="s">
        <v>2198</v>
      </c>
      <c r="AP52" s="239" t="s">
        <v>1531</v>
      </c>
      <c r="AQ52" s="239" t="n">
        <v>2.29715200000003E+018</v>
      </c>
      <c r="AR52" s="239" t="s">
        <v>2199</v>
      </c>
      <c r="AS52" s="239" t="n">
        <v>2</v>
      </c>
      <c r="AT52" s="239" t="s">
        <v>2148</v>
      </c>
      <c r="AU52" s="239" t="s">
        <v>2149</v>
      </c>
      <c r="AV52" s="239" t="n">
        <v>2500</v>
      </c>
      <c r="AZ52" s="239" t="n">
        <v>125000</v>
      </c>
      <c r="BA52" s="239" t="s">
        <v>1531</v>
      </c>
      <c r="BB52" s="259" t="b">
        <f aca="false">TRUE()</f>
        <v>1</v>
      </c>
      <c r="BC52" s="239" t="n">
        <v>0</v>
      </c>
      <c r="BD52" s="239" t="n">
        <v>0</v>
      </c>
      <c r="BG52" s="239" t="n">
        <v>2.29715200000003E+018</v>
      </c>
      <c r="BH52" s="239" t="s">
        <v>1566</v>
      </c>
      <c r="BI52" s="239" t="n">
        <v>18</v>
      </c>
      <c r="BJ52" s="239" t="s">
        <v>1567</v>
      </c>
      <c r="BQ52" s="239" t="s">
        <v>1561</v>
      </c>
      <c r="BV52" s="239" t="s">
        <v>2138</v>
      </c>
      <c r="BW52" s="239" t="n">
        <v>0</v>
      </c>
      <c r="BZ52" s="259" t="b">
        <f aca="false">FALSE()</f>
        <v>0</v>
      </c>
      <c r="CC52" s="239" t="n">
        <v>0</v>
      </c>
      <c r="CD52" s="239" t="n">
        <v>0</v>
      </c>
      <c r="CE52" s="239" t="n">
        <v>18</v>
      </c>
      <c r="CF52" s="239" t="n">
        <v>0</v>
      </c>
      <c r="CG52" s="239" t="n">
        <v>0</v>
      </c>
      <c r="CH52" s="239" t="n">
        <v>0</v>
      </c>
      <c r="CI52" s="239" t="n">
        <v>22500</v>
      </c>
      <c r="CJ52" s="239" t="n">
        <v>0</v>
      </c>
      <c r="CK52" s="239" t="n">
        <v>0</v>
      </c>
      <c r="CL52" s="239" t="n">
        <v>0</v>
      </c>
      <c r="CM52" s="239" t="n">
        <v>22500</v>
      </c>
      <c r="CN52" s="239" t="n">
        <v>0</v>
      </c>
    </row>
    <row r="53" customFormat="false" ht="13.5" hidden="false" customHeight="false" outlineLevel="0" collapsed="false">
      <c r="A53" s="260" t="n">
        <v>45749</v>
      </c>
      <c r="B53" s="258" t="n">
        <v>45749</v>
      </c>
      <c r="C53" s="239" t="n">
        <v>2.29715200000014E+018</v>
      </c>
      <c r="D53" s="257" t="s">
        <v>2095</v>
      </c>
      <c r="E53" s="239" t="n">
        <v>0</v>
      </c>
      <c r="F53" s="239" t="n">
        <v>0</v>
      </c>
      <c r="G53" s="239" t="s">
        <v>1870</v>
      </c>
      <c r="H53" s="239" t="n">
        <v>2121043933</v>
      </c>
      <c r="J53" s="239" t="s">
        <v>1526</v>
      </c>
      <c r="K53" s="239" t="n">
        <v>1</v>
      </c>
      <c r="L53" s="257" t="n">
        <v>9956.86</v>
      </c>
      <c r="M53" s="239" t="n">
        <v>8961.17</v>
      </c>
      <c r="N53" s="239" t="n">
        <v>0</v>
      </c>
      <c r="R53" s="239" t="n">
        <v>0</v>
      </c>
      <c r="S53" s="239" t="s">
        <v>1399</v>
      </c>
      <c r="T53" s="259" t="b">
        <f aca="false">FALSE()</f>
        <v>0</v>
      </c>
      <c r="Y53" s="239" t="s">
        <v>2140</v>
      </c>
      <c r="Z53" s="239" t="s">
        <v>2136</v>
      </c>
      <c r="AC53" s="257" t="s">
        <v>2094</v>
      </c>
      <c r="AE53" s="239" t="s">
        <v>2200</v>
      </c>
      <c r="AF53" s="239" t="n">
        <v>1</v>
      </c>
      <c r="AH53" s="239" t="n">
        <v>0</v>
      </c>
      <c r="AI53" s="239" t="n">
        <v>9956.86</v>
      </c>
      <c r="AJ53" s="259" t="b">
        <f aca="false">FALSE()</f>
        <v>0</v>
      </c>
      <c r="AL53" s="239" t="s">
        <v>1632</v>
      </c>
      <c r="AM53" s="239" t="s">
        <v>1632</v>
      </c>
      <c r="AN53" s="239" t="s">
        <v>1524</v>
      </c>
      <c r="AP53" s="239" t="s">
        <v>1531</v>
      </c>
      <c r="AQ53" s="239" t="n">
        <v>2.29715200000003E+018</v>
      </c>
      <c r="AR53" s="239" t="s">
        <v>1596</v>
      </c>
      <c r="AS53" s="239" t="n">
        <v>10</v>
      </c>
      <c r="AT53" s="239" t="s">
        <v>1534</v>
      </c>
      <c r="AU53" s="239" t="s">
        <v>1535</v>
      </c>
      <c r="AV53" s="239" t="n">
        <v>995.69</v>
      </c>
      <c r="AZ53" s="239" t="n">
        <v>9956.856</v>
      </c>
      <c r="BA53" s="239" t="s">
        <v>1531</v>
      </c>
      <c r="BB53" s="259" t="b">
        <f aca="false">TRUE()</f>
        <v>1</v>
      </c>
      <c r="BC53" s="239" t="n">
        <v>0</v>
      </c>
      <c r="BD53" s="239" t="n">
        <v>0</v>
      </c>
      <c r="BQ53" s="239" t="s">
        <v>1561</v>
      </c>
      <c r="BV53" s="239" t="s">
        <v>2138</v>
      </c>
      <c r="BW53" s="239" t="n">
        <v>0</v>
      </c>
      <c r="BZ53" s="259" t="b">
        <f aca="false">FALSE()</f>
        <v>0</v>
      </c>
    </row>
    <row r="54" customFormat="false" ht="13.5" hidden="false" customHeight="false" outlineLevel="0" collapsed="false">
      <c r="A54" s="260" t="n">
        <v>45748</v>
      </c>
      <c r="B54" s="258" t="n">
        <v>45748</v>
      </c>
      <c r="C54" s="239" t="n">
        <v>2.29715200000014E+018</v>
      </c>
      <c r="D54" s="257" t="s">
        <v>2096</v>
      </c>
      <c r="E54" s="239" t="n">
        <v>0</v>
      </c>
      <c r="F54" s="239" t="n">
        <v>0</v>
      </c>
      <c r="G54" s="239" t="s">
        <v>1870</v>
      </c>
      <c r="H54" s="239" t="n">
        <v>1</v>
      </c>
      <c r="J54" s="239" t="s">
        <v>1526</v>
      </c>
      <c r="K54" s="239" t="n">
        <v>1</v>
      </c>
      <c r="L54" s="257" t="n">
        <v>27408.94</v>
      </c>
      <c r="M54" s="239" t="n">
        <v>24668.05</v>
      </c>
      <c r="N54" s="239" t="n">
        <v>0</v>
      </c>
      <c r="R54" s="239" t="n">
        <v>0</v>
      </c>
      <c r="S54" s="239" t="s">
        <v>1399</v>
      </c>
      <c r="T54" s="259" t="b">
        <f aca="false">FALSE()</f>
        <v>0</v>
      </c>
      <c r="Y54" s="239" t="s">
        <v>2140</v>
      </c>
      <c r="Z54" s="239" t="s">
        <v>2136</v>
      </c>
      <c r="AC54" s="257" t="s">
        <v>2094</v>
      </c>
      <c r="AE54" s="239" t="s">
        <v>2201</v>
      </c>
      <c r="AF54" s="239" t="n">
        <v>1</v>
      </c>
      <c r="AH54" s="239" t="n">
        <v>0</v>
      </c>
      <c r="AI54" s="239" t="n">
        <v>27408.94</v>
      </c>
      <c r="AJ54" s="259" t="b">
        <f aca="false">FALSE()</f>
        <v>0</v>
      </c>
      <c r="AL54" s="239" t="s">
        <v>1632</v>
      </c>
      <c r="AM54" s="239" t="s">
        <v>1632</v>
      </c>
      <c r="AN54" s="239" t="s">
        <v>1524</v>
      </c>
      <c r="AP54" s="239" t="s">
        <v>1531</v>
      </c>
      <c r="AQ54" s="239" t="n">
        <v>2.29715200000003E+018</v>
      </c>
      <c r="AR54" s="239" t="s">
        <v>1596</v>
      </c>
      <c r="AS54" s="239" t="n">
        <v>10</v>
      </c>
      <c r="AT54" s="239" t="s">
        <v>1534</v>
      </c>
      <c r="AU54" s="239" t="s">
        <v>1535</v>
      </c>
      <c r="AV54" s="239" t="n">
        <v>2740.89</v>
      </c>
      <c r="AZ54" s="239" t="n">
        <v>27408.94</v>
      </c>
      <c r="BA54" s="239" t="s">
        <v>1531</v>
      </c>
      <c r="BB54" s="259" t="b">
        <f aca="false">TRUE()</f>
        <v>1</v>
      </c>
      <c r="BC54" s="239" t="n">
        <v>0</v>
      </c>
      <c r="BD54" s="239" t="n">
        <v>0</v>
      </c>
      <c r="BQ54" s="239" t="s">
        <v>1561</v>
      </c>
      <c r="BV54" s="239" t="s">
        <v>2138</v>
      </c>
      <c r="BW54" s="239" t="n">
        <v>0</v>
      </c>
      <c r="BZ54" s="259" t="b">
        <f aca="false">FALSE()</f>
        <v>0</v>
      </c>
    </row>
    <row r="55" customFormat="false" ht="13.5" hidden="false" customHeight="false" outlineLevel="0" collapsed="false">
      <c r="A55" s="258" t="n">
        <v>45778</v>
      </c>
      <c r="B55" s="258" t="n">
        <v>45778</v>
      </c>
      <c r="C55" s="239" t="n">
        <v>2.29715200000016E+018</v>
      </c>
      <c r="D55" s="239" t="s">
        <v>2089</v>
      </c>
      <c r="E55" s="239" t="n">
        <v>0</v>
      </c>
      <c r="F55" s="239" t="n">
        <v>0</v>
      </c>
      <c r="G55" s="239" t="s">
        <v>2165</v>
      </c>
      <c r="H55" s="239" t="n">
        <v>254326</v>
      </c>
      <c r="J55" s="239" t="s">
        <v>1526</v>
      </c>
      <c r="K55" s="239" t="n">
        <v>1</v>
      </c>
      <c r="L55" s="239" t="n">
        <v>15</v>
      </c>
      <c r="M55" s="239" t="n">
        <v>17.7</v>
      </c>
      <c r="N55" s="239" t="n">
        <v>0</v>
      </c>
      <c r="R55" s="239" t="n">
        <v>0</v>
      </c>
      <c r="S55" s="239" t="s">
        <v>1399</v>
      </c>
      <c r="T55" s="259" t="b">
        <f aca="false">FALSE()</f>
        <v>0</v>
      </c>
      <c r="Y55" s="239" t="s">
        <v>2140</v>
      </c>
      <c r="Z55" s="239" t="s">
        <v>2136</v>
      </c>
      <c r="AC55" s="239" t="s">
        <v>2088</v>
      </c>
      <c r="AF55" s="239" t="n">
        <v>1</v>
      </c>
      <c r="AH55" s="239" t="n">
        <v>2.7</v>
      </c>
      <c r="AI55" s="239" t="n">
        <v>15</v>
      </c>
      <c r="AJ55" s="259" t="b">
        <f aca="false">FALSE()</f>
        <v>0</v>
      </c>
      <c r="AL55" s="239" t="s">
        <v>1959</v>
      </c>
      <c r="AM55" s="239" t="s">
        <v>1632</v>
      </c>
      <c r="AN55" s="239" t="s">
        <v>1595</v>
      </c>
      <c r="AO55" s="239" t="s">
        <v>2166</v>
      </c>
      <c r="AP55" s="239" t="s">
        <v>1527</v>
      </c>
      <c r="AS55" s="239" t="n">
        <v>0</v>
      </c>
      <c r="AV55" s="239" t="n">
        <v>0</v>
      </c>
      <c r="AZ55" s="239" t="n">
        <v>15</v>
      </c>
      <c r="BA55" s="239" t="s">
        <v>1531</v>
      </c>
      <c r="BB55" s="259" t="b">
        <f aca="false">TRUE()</f>
        <v>1</v>
      </c>
      <c r="BC55" s="239" t="n">
        <v>0</v>
      </c>
      <c r="BD55" s="239" t="n">
        <v>0</v>
      </c>
      <c r="BG55" s="239" t="n">
        <v>2.29715200000003E+018</v>
      </c>
      <c r="BH55" s="239" t="s">
        <v>1566</v>
      </c>
      <c r="BI55" s="239" t="n">
        <v>18</v>
      </c>
      <c r="BJ55" s="239" t="s">
        <v>1567</v>
      </c>
      <c r="BM55" s="239" t="n">
        <v>0</v>
      </c>
      <c r="BQ55" s="239" t="s">
        <v>1561</v>
      </c>
      <c r="BV55" s="239" t="s">
        <v>2138</v>
      </c>
      <c r="BW55" s="239" t="n">
        <v>0</v>
      </c>
      <c r="BZ55" s="259" t="b">
        <f aca="false">FALSE()</f>
        <v>0</v>
      </c>
      <c r="CC55" s="239" t="n">
        <v>0</v>
      </c>
      <c r="CD55" s="239" t="n">
        <v>0</v>
      </c>
      <c r="CE55" s="239" t="n">
        <v>18</v>
      </c>
      <c r="CF55" s="239" t="n">
        <v>0</v>
      </c>
      <c r="CG55" s="239" t="n">
        <v>0</v>
      </c>
      <c r="CH55" s="239" t="n">
        <v>0</v>
      </c>
      <c r="CI55" s="239" t="n">
        <v>2.7</v>
      </c>
      <c r="CJ55" s="239" t="n">
        <v>0</v>
      </c>
      <c r="CK55" s="239" t="n">
        <v>0</v>
      </c>
      <c r="CL55" s="239" t="n">
        <v>0</v>
      </c>
      <c r="CM55" s="239" t="n">
        <v>2.7</v>
      </c>
      <c r="CN55" s="239" t="n">
        <v>0</v>
      </c>
    </row>
    <row r="56" customFormat="false" ht="13.5" hidden="false" customHeight="false" outlineLevel="0" collapsed="false">
      <c r="A56" s="258" t="n">
        <v>45778</v>
      </c>
      <c r="B56" s="258" t="n">
        <v>45778</v>
      </c>
      <c r="C56" s="239" t="n">
        <v>2.29715200000016E+018</v>
      </c>
      <c r="D56" s="239" t="s">
        <v>2089</v>
      </c>
      <c r="E56" s="239" t="n">
        <v>0</v>
      </c>
      <c r="F56" s="239" t="n">
        <v>0</v>
      </c>
      <c r="G56" s="239" t="s">
        <v>2165</v>
      </c>
      <c r="H56" s="239" t="n">
        <v>254979</v>
      </c>
      <c r="J56" s="239" t="s">
        <v>1526</v>
      </c>
      <c r="K56" s="239" t="n">
        <v>1</v>
      </c>
      <c r="L56" s="239" t="n">
        <v>100</v>
      </c>
      <c r="M56" s="239" t="n">
        <v>118</v>
      </c>
      <c r="N56" s="239" t="n">
        <v>0</v>
      </c>
      <c r="R56" s="239" t="n">
        <v>0</v>
      </c>
      <c r="S56" s="239" t="s">
        <v>1399</v>
      </c>
      <c r="T56" s="259" t="b">
        <f aca="false">FALSE()</f>
        <v>0</v>
      </c>
      <c r="Y56" s="239" t="s">
        <v>2140</v>
      </c>
      <c r="Z56" s="239" t="s">
        <v>2136</v>
      </c>
      <c r="AC56" s="239" t="s">
        <v>2088</v>
      </c>
      <c r="AF56" s="239" t="n">
        <v>1</v>
      </c>
      <c r="AH56" s="239" t="n">
        <v>18</v>
      </c>
      <c r="AI56" s="239" t="n">
        <v>100</v>
      </c>
      <c r="AJ56" s="259" t="b">
        <f aca="false">FALSE()</f>
        <v>0</v>
      </c>
      <c r="AL56" s="239" t="s">
        <v>1959</v>
      </c>
      <c r="AM56" s="239" t="s">
        <v>1632</v>
      </c>
      <c r="AN56" s="239" t="s">
        <v>1595</v>
      </c>
      <c r="AO56" s="239" t="s">
        <v>2166</v>
      </c>
      <c r="AP56" s="239" t="s">
        <v>1527</v>
      </c>
      <c r="AS56" s="239" t="n">
        <v>0</v>
      </c>
      <c r="AV56" s="239" t="n">
        <v>0</v>
      </c>
      <c r="AZ56" s="239" t="n">
        <v>100</v>
      </c>
      <c r="BA56" s="239" t="s">
        <v>1531</v>
      </c>
      <c r="BB56" s="259" t="b">
        <f aca="false">TRUE()</f>
        <v>1</v>
      </c>
      <c r="BC56" s="239" t="n">
        <v>0</v>
      </c>
      <c r="BD56" s="239" t="n">
        <v>0</v>
      </c>
      <c r="BG56" s="239" t="n">
        <v>2.29715200000003E+018</v>
      </c>
      <c r="BH56" s="239" t="s">
        <v>1566</v>
      </c>
      <c r="BI56" s="239" t="n">
        <v>18</v>
      </c>
      <c r="BJ56" s="239" t="s">
        <v>1567</v>
      </c>
      <c r="BM56" s="239" t="n">
        <v>0</v>
      </c>
      <c r="BQ56" s="239" t="s">
        <v>1561</v>
      </c>
      <c r="BV56" s="239" t="s">
        <v>2138</v>
      </c>
      <c r="BW56" s="239" t="n">
        <v>0</v>
      </c>
      <c r="BZ56" s="259" t="b">
        <f aca="false">FALSE()</f>
        <v>0</v>
      </c>
      <c r="CC56" s="239" t="n">
        <v>0</v>
      </c>
      <c r="CD56" s="239" t="n">
        <v>0</v>
      </c>
      <c r="CE56" s="239" t="n">
        <v>18</v>
      </c>
      <c r="CF56" s="239" t="n">
        <v>0</v>
      </c>
      <c r="CG56" s="239" t="n">
        <v>0</v>
      </c>
      <c r="CH56" s="239" t="n">
        <v>0</v>
      </c>
      <c r="CI56" s="239" t="n">
        <v>18</v>
      </c>
      <c r="CJ56" s="239" t="n">
        <v>0</v>
      </c>
      <c r="CK56" s="239" t="n">
        <v>0</v>
      </c>
      <c r="CL56" s="239" t="n">
        <v>0</v>
      </c>
      <c r="CM56" s="239" t="n">
        <v>18</v>
      </c>
      <c r="CN56" s="239" t="n">
        <v>0</v>
      </c>
    </row>
    <row r="57" customFormat="false" ht="13.5" hidden="false" customHeight="false" outlineLevel="0" collapsed="false">
      <c r="A57" s="260" t="n">
        <v>45609</v>
      </c>
      <c r="B57" s="258" t="n">
        <v>45609</v>
      </c>
      <c r="C57" s="239" t="n">
        <v>2.29715200000019E+018</v>
      </c>
      <c r="D57" s="257" t="s">
        <v>2202</v>
      </c>
      <c r="E57" s="239" t="n">
        <v>0</v>
      </c>
      <c r="F57" s="239" t="n">
        <v>0</v>
      </c>
      <c r="G57" s="239" t="s">
        <v>1870</v>
      </c>
      <c r="H57" s="239" t="s">
        <v>2203</v>
      </c>
      <c r="J57" s="239" t="s">
        <v>1526</v>
      </c>
      <c r="K57" s="239" t="n">
        <v>1</v>
      </c>
      <c r="L57" s="257" t="n">
        <v>10376.42</v>
      </c>
      <c r="M57" s="239" t="n">
        <v>10376.42</v>
      </c>
      <c r="N57" s="239" t="n">
        <v>0</v>
      </c>
      <c r="R57" s="239" t="n">
        <v>0</v>
      </c>
      <c r="S57" s="239" t="s">
        <v>1399</v>
      </c>
      <c r="T57" s="259" t="b">
        <f aca="false">FALSE()</f>
        <v>0</v>
      </c>
      <c r="Y57" s="239" t="s">
        <v>2140</v>
      </c>
      <c r="Z57" s="239" t="s">
        <v>2136</v>
      </c>
      <c r="AC57" s="257" t="s">
        <v>2094</v>
      </c>
      <c r="AE57" s="239" t="s">
        <v>2204</v>
      </c>
      <c r="AF57" s="239" t="n">
        <v>1</v>
      </c>
      <c r="AH57" s="239" t="n">
        <v>0</v>
      </c>
      <c r="AI57" s="239" t="n">
        <v>10376.42</v>
      </c>
      <c r="AJ57" s="259" t="b">
        <f aca="false">FALSE()</f>
        <v>0</v>
      </c>
      <c r="AM57" s="239" t="s">
        <v>1632</v>
      </c>
      <c r="AN57" s="239" t="s">
        <v>2163</v>
      </c>
      <c r="AP57" s="239" t="s">
        <v>1527</v>
      </c>
      <c r="AS57" s="239" t="n">
        <v>0</v>
      </c>
      <c r="AV57" s="239" t="n">
        <v>0</v>
      </c>
      <c r="AZ57" s="239" t="n">
        <v>10376.42</v>
      </c>
      <c r="BA57" s="239" t="s">
        <v>1531</v>
      </c>
      <c r="BB57" s="259" t="b">
        <f aca="false">TRUE()</f>
        <v>1</v>
      </c>
      <c r="BC57" s="239" t="n">
        <v>0</v>
      </c>
      <c r="BD57" s="239" t="n">
        <v>0</v>
      </c>
      <c r="BM57" s="239" t="n">
        <v>0</v>
      </c>
      <c r="BQ57" s="239" t="s">
        <v>1561</v>
      </c>
      <c r="BV57" s="239" t="s">
        <v>2138</v>
      </c>
      <c r="BW57" s="239" t="n">
        <v>0</v>
      </c>
      <c r="BZ57" s="259" t="b">
        <f aca="false">FALSE()</f>
        <v>0</v>
      </c>
    </row>
    <row r="58" customFormat="false" ht="13.5" hidden="false" customHeight="false" outlineLevel="0" collapsed="false">
      <c r="A58" s="260" t="n">
        <v>45618</v>
      </c>
      <c r="B58" s="258" t="n">
        <v>45618</v>
      </c>
      <c r="C58" s="239" t="n">
        <v>2.29715200000019E+018</v>
      </c>
      <c r="D58" s="257" t="s">
        <v>2169</v>
      </c>
      <c r="E58" s="239" t="n">
        <v>0</v>
      </c>
      <c r="F58" s="239" t="n">
        <v>0</v>
      </c>
      <c r="G58" s="239" t="s">
        <v>1870</v>
      </c>
      <c r="H58" s="239" t="n">
        <v>2</v>
      </c>
      <c r="J58" s="239" t="s">
        <v>1526</v>
      </c>
      <c r="K58" s="239" t="n">
        <v>1</v>
      </c>
      <c r="L58" s="257" t="n">
        <v>3540</v>
      </c>
      <c r="M58" s="239" t="n">
        <v>3540</v>
      </c>
      <c r="N58" s="239" t="n">
        <v>0</v>
      </c>
      <c r="R58" s="239" t="n">
        <v>0</v>
      </c>
      <c r="S58" s="239" t="s">
        <v>1399</v>
      </c>
      <c r="T58" s="259" t="b">
        <f aca="false">FALSE()</f>
        <v>0</v>
      </c>
      <c r="Y58" s="239" t="s">
        <v>2140</v>
      </c>
      <c r="Z58" s="239" t="s">
        <v>2136</v>
      </c>
      <c r="AC58" s="257" t="s">
        <v>2094</v>
      </c>
      <c r="AE58" s="239" t="s">
        <v>2094</v>
      </c>
      <c r="AF58" s="239" t="n">
        <v>1</v>
      </c>
      <c r="AH58" s="239" t="n">
        <v>0</v>
      </c>
      <c r="AI58" s="239" t="n">
        <v>3540</v>
      </c>
      <c r="AJ58" s="259" t="b">
        <f aca="false">FALSE()</f>
        <v>0</v>
      </c>
      <c r="AL58" s="239" t="s">
        <v>1959</v>
      </c>
      <c r="AM58" s="239" t="s">
        <v>1632</v>
      </c>
      <c r="AN58" s="239" t="s">
        <v>1595</v>
      </c>
      <c r="AO58" s="239" t="s">
        <v>2171</v>
      </c>
      <c r="AP58" s="239" t="s">
        <v>1527</v>
      </c>
      <c r="AS58" s="239" t="n">
        <v>0</v>
      </c>
      <c r="AV58" s="239" t="n">
        <v>0</v>
      </c>
      <c r="AZ58" s="239" t="n">
        <v>3540</v>
      </c>
      <c r="BA58" s="239" t="s">
        <v>1531</v>
      </c>
      <c r="BB58" s="259" t="b">
        <f aca="false">TRUE()</f>
        <v>1</v>
      </c>
      <c r="BC58" s="239" t="n">
        <v>0</v>
      </c>
      <c r="BD58" s="239" t="n">
        <v>0</v>
      </c>
      <c r="BM58" s="239" t="n">
        <v>0</v>
      </c>
      <c r="BQ58" s="239" t="s">
        <v>1561</v>
      </c>
      <c r="BU58" s="239" t="s">
        <v>2153</v>
      </c>
      <c r="BW58" s="239" t="n">
        <v>0</v>
      </c>
      <c r="BZ58" s="259" t="b">
        <f aca="false">FALSE()</f>
        <v>0</v>
      </c>
    </row>
    <row r="59" customFormat="false" ht="13.5" hidden="false" customHeight="false" outlineLevel="0" collapsed="false">
      <c r="A59" s="260" t="n">
        <v>45625</v>
      </c>
      <c r="B59" s="258" t="n">
        <v>45625</v>
      </c>
      <c r="C59" s="239" t="n">
        <v>2.29715200000019E+018</v>
      </c>
      <c r="D59" s="257" t="s">
        <v>2205</v>
      </c>
      <c r="E59" s="239" t="n">
        <v>0</v>
      </c>
      <c r="F59" s="239" t="n">
        <v>0</v>
      </c>
      <c r="G59" s="239" t="s">
        <v>1870</v>
      </c>
      <c r="H59" s="239" t="n">
        <v>1</v>
      </c>
      <c r="J59" s="239" t="s">
        <v>1526</v>
      </c>
      <c r="K59" s="239" t="n">
        <v>1</v>
      </c>
      <c r="L59" s="257" t="n">
        <v>1760.73</v>
      </c>
      <c r="M59" s="239" t="n">
        <v>1760.73</v>
      </c>
      <c r="N59" s="239" t="n">
        <v>0</v>
      </c>
      <c r="R59" s="239" t="n">
        <v>0</v>
      </c>
      <c r="S59" s="239" t="s">
        <v>1399</v>
      </c>
      <c r="T59" s="259" t="b">
        <f aca="false">FALSE()</f>
        <v>0</v>
      </c>
      <c r="Y59" s="239" t="s">
        <v>2140</v>
      </c>
      <c r="Z59" s="239" t="s">
        <v>2136</v>
      </c>
      <c r="AC59" s="257" t="s">
        <v>2094</v>
      </c>
      <c r="AE59" s="239" t="s">
        <v>2094</v>
      </c>
      <c r="AF59" s="239" t="n">
        <v>1</v>
      </c>
      <c r="AH59" s="239" t="n">
        <v>0</v>
      </c>
      <c r="AI59" s="239" t="n">
        <v>1760.73</v>
      </c>
      <c r="AJ59" s="259" t="b">
        <f aca="false">FALSE()</f>
        <v>0</v>
      </c>
      <c r="AM59" s="239" t="s">
        <v>1632</v>
      </c>
      <c r="AN59" s="239" t="s">
        <v>2163</v>
      </c>
      <c r="AP59" s="239" t="s">
        <v>1527</v>
      </c>
      <c r="AS59" s="239" t="n">
        <v>0</v>
      </c>
      <c r="AV59" s="239" t="n">
        <v>0</v>
      </c>
      <c r="AZ59" s="239" t="n">
        <v>1760.73</v>
      </c>
      <c r="BA59" s="239" t="s">
        <v>1531</v>
      </c>
      <c r="BB59" s="259" t="b">
        <f aca="false">TRUE()</f>
        <v>1</v>
      </c>
      <c r="BC59" s="239" t="n">
        <v>0</v>
      </c>
      <c r="BD59" s="239" t="n">
        <v>0</v>
      </c>
      <c r="BM59" s="239" t="n">
        <v>0</v>
      </c>
      <c r="BQ59" s="239" t="s">
        <v>1561</v>
      </c>
      <c r="BV59" s="239" t="s">
        <v>2138</v>
      </c>
      <c r="BW59" s="239" t="n">
        <v>0</v>
      </c>
      <c r="BZ59" s="259" t="b">
        <f aca="false">FALSE()</f>
        <v>0</v>
      </c>
    </row>
    <row r="60" customFormat="false" ht="13.5" hidden="false" customHeight="false" outlineLevel="0" collapsed="false">
      <c r="A60" s="260" t="n">
        <v>45635</v>
      </c>
      <c r="B60" s="258" t="n">
        <v>45635</v>
      </c>
      <c r="C60" s="239" t="n">
        <v>2.29715200000019E+018</v>
      </c>
      <c r="D60" s="257" t="s">
        <v>2206</v>
      </c>
      <c r="E60" s="239" t="n">
        <v>0</v>
      </c>
      <c r="F60" s="239" t="n">
        <v>0</v>
      </c>
      <c r="G60" s="239" t="s">
        <v>1870</v>
      </c>
      <c r="H60" s="239" t="n">
        <v>32264906</v>
      </c>
      <c r="J60" s="239" t="s">
        <v>1526</v>
      </c>
      <c r="K60" s="239" t="n">
        <v>1</v>
      </c>
      <c r="L60" s="257" t="n">
        <v>5081.67</v>
      </c>
      <c r="M60" s="239" t="n">
        <v>5081.67</v>
      </c>
      <c r="N60" s="239" t="n">
        <v>0</v>
      </c>
      <c r="R60" s="239" t="n">
        <v>0</v>
      </c>
      <c r="S60" s="239" t="s">
        <v>1399</v>
      </c>
      <c r="T60" s="259" t="b">
        <f aca="false">FALSE()</f>
        <v>0</v>
      </c>
      <c r="Y60" s="239" t="s">
        <v>2140</v>
      </c>
      <c r="Z60" s="239" t="s">
        <v>2136</v>
      </c>
      <c r="AC60" s="257" t="s">
        <v>2094</v>
      </c>
      <c r="AE60" s="239" t="s">
        <v>2207</v>
      </c>
      <c r="AF60" s="239" t="n">
        <v>1</v>
      </c>
      <c r="AH60" s="239" t="n">
        <v>0</v>
      </c>
      <c r="AI60" s="239" t="n">
        <v>5081.67</v>
      </c>
      <c r="AJ60" s="259" t="b">
        <f aca="false">FALSE()</f>
        <v>0</v>
      </c>
      <c r="AL60" s="239" t="s">
        <v>1959</v>
      </c>
      <c r="AM60" s="239" t="s">
        <v>1632</v>
      </c>
      <c r="AN60" s="239" t="s">
        <v>1595</v>
      </c>
      <c r="AO60" s="239" t="s">
        <v>2208</v>
      </c>
      <c r="AP60" s="239" t="s">
        <v>1527</v>
      </c>
      <c r="AS60" s="239" t="n">
        <v>0</v>
      </c>
      <c r="AV60" s="239" t="n">
        <v>0</v>
      </c>
      <c r="AZ60" s="239" t="n">
        <v>5081.67</v>
      </c>
      <c r="BA60" s="239" t="s">
        <v>1531</v>
      </c>
      <c r="BB60" s="259" t="b">
        <f aca="false">TRUE()</f>
        <v>1</v>
      </c>
      <c r="BC60" s="239" t="n">
        <v>0</v>
      </c>
      <c r="BD60" s="239" t="n">
        <v>0</v>
      </c>
      <c r="BM60" s="239" t="n">
        <v>0</v>
      </c>
      <c r="BQ60" s="239" t="s">
        <v>1561</v>
      </c>
      <c r="BU60" s="239" t="s">
        <v>2153</v>
      </c>
      <c r="BW60" s="239" t="n">
        <v>0</v>
      </c>
      <c r="BZ60" s="259" t="b">
        <f aca="false">FALSE()</f>
        <v>0</v>
      </c>
    </row>
    <row r="61" customFormat="false" ht="13.5" hidden="false" customHeight="false" outlineLevel="0" collapsed="false">
      <c r="A61" s="260" t="n">
        <v>45636</v>
      </c>
      <c r="B61" s="258" t="n">
        <v>45636</v>
      </c>
      <c r="C61" s="239" t="n">
        <v>2.29715200000019E+018</v>
      </c>
      <c r="D61" s="257" t="s">
        <v>2169</v>
      </c>
      <c r="E61" s="239" t="n">
        <v>0</v>
      </c>
      <c r="F61" s="239" t="n">
        <v>0</v>
      </c>
      <c r="G61" s="239" t="s">
        <v>1870</v>
      </c>
      <c r="H61" s="239" t="n">
        <v>3</v>
      </c>
      <c r="J61" s="239" t="s">
        <v>1526</v>
      </c>
      <c r="K61" s="239" t="n">
        <v>1</v>
      </c>
      <c r="L61" s="257" t="n">
        <v>3540</v>
      </c>
      <c r="M61" s="239" t="n">
        <v>3540</v>
      </c>
      <c r="N61" s="239" t="n">
        <v>0</v>
      </c>
      <c r="R61" s="239" t="n">
        <v>0</v>
      </c>
      <c r="S61" s="239" t="s">
        <v>1399</v>
      </c>
      <c r="T61" s="259" t="b">
        <f aca="false">FALSE()</f>
        <v>0</v>
      </c>
      <c r="Y61" s="239" t="s">
        <v>2140</v>
      </c>
      <c r="Z61" s="239" t="s">
        <v>2136</v>
      </c>
      <c r="AC61" s="257" t="s">
        <v>2094</v>
      </c>
      <c r="AE61" s="239" t="s">
        <v>2094</v>
      </c>
      <c r="AF61" s="239" t="n">
        <v>1</v>
      </c>
      <c r="AH61" s="239" t="n">
        <v>0</v>
      </c>
      <c r="AI61" s="239" t="n">
        <v>3540</v>
      </c>
      <c r="AJ61" s="259" t="b">
        <f aca="false">FALSE()</f>
        <v>0</v>
      </c>
      <c r="AL61" s="239" t="s">
        <v>1959</v>
      </c>
      <c r="AM61" s="239" t="s">
        <v>1632</v>
      </c>
      <c r="AN61" s="239" t="s">
        <v>1595</v>
      </c>
      <c r="AO61" s="239" t="s">
        <v>2171</v>
      </c>
      <c r="AP61" s="239" t="s">
        <v>1527</v>
      </c>
      <c r="AS61" s="239" t="n">
        <v>0</v>
      </c>
      <c r="AV61" s="239" t="n">
        <v>0</v>
      </c>
      <c r="AZ61" s="239" t="n">
        <v>3540</v>
      </c>
      <c r="BA61" s="239" t="s">
        <v>1531</v>
      </c>
      <c r="BB61" s="259" t="b">
        <f aca="false">TRUE()</f>
        <v>1</v>
      </c>
      <c r="BC61" s="239" t="n">
        <v>0</v>
      </c>
      <c r="BD61" s="239" t="n">
        <v>0</v>
      </c>
      <c r="BM61" s="239" t="n">
        <v>0</v>
      </c>
      <c r="BQ61" s="239" t="s">
        <v>1561</v>
      </c>
      <c r="BU61" s="239" t="s">
        <v>2153</v>
      </c>
      <c r="BW61" s="239" t="n">
        <v>0</v>
      </c>
      <c r="BZ61" s="259" t="b">
        <f aca="false">FALSE()</f>
        <v>0</v>
      </c>
    </row>
    <row r="62" customFormat="false" ht="13.5" hidden="false" customHeight="false" outlineLevel="0" collapsed="false">
      <c r="A62" s="260" t="n">
        <v>45649</v>
      </c>
      <c r="B62" s="258" t="n">
        <v>45649</v>
      </c>
      <c r="C62" s="239" t="n">
        <v>2.29715200000019E+018</v>
      </c>
      <c r="D62" s="257" t="s">
        <v>2169</v>
      </c>
      <c r="E62" s="239" t="n">
        <v>0</v>
      </c>
      <c r="F62" s="239" t="n">
        <v>0</v>
      </c>
      <c r="G62" s="239" t="s">
        <v>1870</v>
      </c>
      <c r="H62" s="239" t="n">
        <v>4</v>
      </c>
      <c r="J62" s="239" t="s">
        <v>1526</v>
      </c>
      <c r="K62" s="239" t="n">
        <v>1</v>
      </c>
      <c r="L62" s="257" t="n">
        <v>3540</v>
      </c>
      <c r="M62" s="239" t="n">
        <v>3540</v>
      </c>
      <c r="N62" s="239" t="n">
        <v>0</v>
      </c>
      <c r="R62" s="239" t="n">
        <v>0</v>
      </c>
      <c r="S62" s="239" t="s">
        <v>1399</v>
      </c>
      <c r="T62" s="259" t="b">
        <f aca="false">FALSE()</f>
        <v>0</v>
      </c>
      <c r="Y62" s="239" t="s">
        <v>2140</v>
      </c>
      <c r="Z62" s="239" t="s">
        <v>2136</v>
      </c>
      <c r="AC62" s="257" t="s">
        <v>2094</v>
      </c>
      <c r="AE62" s="239" t="s">
        <v>2094</v>
      </c>
      <c r="AF62" s="239" t="n">
        <v>1</v>
      </c>
      <c r="AH62" s="239" t="n">
        <v>0</v>
      </c>
      <c r="AI62" s="239" t="n">
        <v>3540</v>
      </c>
      <c r="AJ62" s="259" t="b">
        <f aca="false">FALSE()</f>
        <v>0</v>
      </c>
      <c r="AL62" s="239" t="s">
        <v>1959</v>
      </c>
      <c r="AM62" s="239" t="s">
        <v>1632</v>
      </c>
      <c r="AN62" s="239" t="s">
        <v>1595</v>
      </c>
      <c r="AO62" s="239" t="s">
        <v>2171</v>
      </c>
      <c r="AP62" s="239" t="s">
        <v>1527</v>
      </c>
      <c r="AS62" s="239" t="n">
        <v>0</v>
      </c>
      <c r="AV62" s="239" t="n">
        <v>0</v>
      </c>
      <c r="AZ62" s="239" t="n">
        <v>3540</v>
      </c>
      <c r="BA62" s="239" t="s">
        <v>1531</v>
      </c>
      <c r="BB62" s="259" t="b">
        <f aca="false">TRUE()</f>
        <v>1</v>
      </c>
      <c r="BC62" s="239" t="n">
        <v>0</v>
      </c>
      <c r="BD62" s="239" t="n">
        <v>0</v>
      </c>
      <c r="BM62" s="239" t="n">
        <v>0</v>
      </c>
      <c r="BQ62" s="239" t="s">
        <v>1561</v>
      </c>
      <c r="BU62" s="239" t="s">
        <v>2153</v>
      </c>
      <c r="BW62" s="239" t="n">
        <v>0</v>
      </c>
      <c r="BZ62" s="259" t="b">
        <f aca="false">FALSE()</f>
        <v>0</v>
      </c>
    </row>
    <row r="63" customFormat="false" ht="13.5" hidden="false" customHeight="false" outlineLevel="0" collapsed="false">
      <c r="A63" s="260" t="n">
        <v>45656</v>
      </c>
      <c r="B63" s="258" t="n">
        <v>45656</v>
      </c>
      <c r="C63" s="239" t="n">
        <v>2.29715200000019E+018</v>
      </c>
      <c r="D63" s="257" t="s">
        <v>2205</v>
      </c>
      <c r="E63" s="239" t="n">
        <v>0</v>
      </c>
      <c r="F63" s="239" t="n">
        <v>0</v>
      </c>
      <c r="G63" s="239" t="s">
        <v>1870</v>
      </c>
      <c r="H63" s="239" t="n">
        <v>2</v>
      </c>
      <c r="J63" s="239" t="s">
        <v>1526</v>
      </c>
      <c r="K63" s="239" t="n">
        <v>1</v>
      </c>
      <c r="L63" s="257" t="n">
        <v>1787.65</v>
      </c>
      <c r="M63" s="239" t="n">
        <v>1787.65</v>
      </c>
      <c r="N63" s="239" t="n">
        <v>0</v>
      </c>
      <c r="R63" s="239" t="n">
        <v>0</v>
      </c>
      <c r="S63" s="239" t="s">
        <v>1399</v>
      </c>
      <c r="T63" s="259" t="b">
        <f aca="false">FALSE()</f>
        <v>0</v>
      </c>
      <c r="Y63" s="239" t="s">
        <v>2140</v>
      </c>
      <c r="Z63" s="239" t="s">
        <v>2136</v>
      </c>
      <c r="AC63" s="257" t="s">
        <v>2094</v>
      </c>
      <c r="AE63" s="239" t="s">
        <v>2094</v>
      </c>
      <c r="AF63" s="239" t="n">
        <v>1</v>
      </c>
      <c r="AH63" s="239" t="n">
        <v>0</v>
      </c>
      <c r="AI63" s="239" t="n">
        <v>1787.65</v>
      </c>
      <c r="AJ63" s="259" t="b">
        <f aca="false">FALSE()</f>
        <v>0</v>
      </c>
      <c r="AM63" s="239" t="s">
        <v>1632</v>
      </c>
      <c r="AN63" s="239" t="s">
        <v>2163</v>
      </c>
      <c r="AP63" s="239" t="s">
        <v>1527</v>
      </c>
      <c r="AS63" s="239" t="n">
        <v>0</v>
      </c>
      <c r="AV63" s="239" t="n">
        <v>0</v>
      </c>
      <c r="AZ63" s="239" t="n">
        <v>1787.65</v>
      </c>
      <c r="BA63" s="239" t="s">
        <v>1531</v>
      </c>
      <c r="BB63" s="259" t="b">
        <f aca="false">TRUE()</f>
        <v>1</v>
      </c>
      <c r="BC63" s="239" t="n">
        <v>0</v>
      </c>
      <c r="BD63" s="239" t="n">
        <v>0</v>
      </c>
      <c r="BM63" s="239" t="n">
        <v>0</v>
      </c>
      <c r="BQ63" s="239" t="s">
        <v>1561</v>
      </c>
      <c r="BU63" s="239" t="s">
        <v>2153</v>
      </c>
      <c r="BW63" s="239" t="n">
        <v>0</v>
      </c>
      <c r="BZ63" s="259" t="b">
        <f aca="false">FALSE()</f>
        <v>0</v>
      </c>
    </row>
    <row r="64" customFormat="false" ht="13.5" hidden="false" customHeight="false" outlineLevel="0" collapsed="false">
      <c r="A64" s="258" t="n">
        <v>45658</v>
      </c>
      <c r="B64" s="258" t="n">
        <v>45658</v>
      </c>
      <c r="C64" s="239" t="n">
        <v>2.29715200000019E+018</v>
      </c>
      <c r="D64" s="239" t="s">
        <v>2096</v>
      </c>
      <c r="E64" s="239" t="n">
        <v>0</v>
      </c>
      <c r="F64" s="239" t="n">
        <v>0</v>
      </c>
      <c r="G64" s="239" t="s">
        <v>1870</v>
      </c>
      <c r="H64" s="239" t="n">
        <v>1</v>
      </c>
      <c r="J64" s="239" t="s">
        <v>1526</v>
      </c>
      <c r="K64" s="239" t="n">
        <v>1</v>
      </c>
      <c r="L64" s="239" t="n">
        <v>12950.15</v>
      </c>
      <c r="M64" s="239" t="n">
        <v>12950.15</v>
      </c>
      <c r="N64" s="239" t="n">
        <v>0</v>
      </c>
      <c r="R64" s="239" t="n">
        <v>0</v>
      </c>
      <c r="S64" s="239" t="s">
        <v>1399</v>
      </c>
      <c r="T64" s="259" t="b">
        <f aca="false">FALSE()</f>
        <v>0</v>
      </c>
      <c r="Y64" s="239" t="s">
        <v>2140</v>
      </c>
      <c r="Z64" s="239" t="s">
        <v>2136</v>
      </c>
      <c r="AC64" s="239" t="s">
        <v>2094</v>
      </c>
      <c r="AF64" s="239" t="n">
        <v>1</v>
      </c>
      <c r="AH64" s="239" t="n">
        <v>0</v>
      </c>
      <c r="AI64" s="239" t="n">
        <v>12950.15</v>
      </c>
      <c r="AJ64" s="259" t="b">
        <f aca="false">FALSE()</f>
        <v>0</v>
      </c>
      <c r="AL64" s="239" t="s">
        <v>1632</v>
      </c>
      <c r="AM64" s="239" t="s">
        <v>1632</v>
      </c>
      <c r="AN64" s="239" t="s">
        <v>1524</v>
      </c>
      <c r="AP64" s="239" t="s">
        <v>1527</v>
      </c>
      <c r="AS64" s="239" t="n">
        <v>0</v>
      </c>
      <c r="AV64" s="239" t="n">
        <v>0</v>
      </c>
      <c r="AZ64" s="239" t="n">
        <v>12950.15</v>
      </c>
      <c r="BA64" s="239" t="s">
        <v>1531</v>
      </c>
      <c r="BB64" s="259" t="b">
        <f aca="false">TRUE()</f>
        <v>1</v>
      </c>
      <c r="BC64" s="239" t="n">
        <v>0</v>
      </c>
      <c r="BD64" s="239" t="n">
        <v>0</v>
      </c>
      <c r="BM64" s="239" t="n">
        <v>0</v>
      </c>
      <c r="BQ64" s="239" t="s">
        <v>1561</v>
      </c>
      <c r="BV64" s="239" t="s">
        <v>2138</v>
      </c>
      <c r="BW64" s="239" t="n">
        <v>0</v>
      </c>
      <c r="BZ64" s="259" t="b">
        <f aca="false">FALSE()</f>
        <v>0</v>
      </c>
    </row>
    <row r="65" customFormat="false" ht="13.5" hidden="false" customHeight="false" outlineLevel="0" collapsed="false">
      <c r="A65" s="258" t="n">
        <v>45670</v>
      </c>
      <c r="B65" s="258" t="n">
        <v>45670</v>
      </c>
      <c r="C65" s="239" t="n">
        <v>2.29715200000019E+018</v>
      </c>
      <c r="D65" s="239" t="s">
        <v>2169</v>
      </c>
      <c r="E65" s="239" t="n">
        <v>0</v>
      </c>
      <c r="F65" s="239" t="n">
        <v>0</v>
      </c>
      <c r="G65" s="239" t="s">
        <v>1870</v>
      </c>
      <c r="H65" s="239" t="n">
        <v>5</v>
      </c>
      <c r="J65" s="239" t="s">
        <v>1526</v>
      </c>
      <c r="K65" s="239" t="n">
        <v>1</v>
      </c>
      <c r="L65" s="239" t="n">
        <v>11800</v>
      </c>
      <c r="M65" s="239" t="n">
        <v>11800</v>
      </c>
      <c r="N65" s="239" t="n">
        <v>0</v>
      </c>
      <c r="R65" s="239" t="n">
        <v>0</v>
      </c>
      <c r="S65" s="239" t="s">
        <v>1399</v>
      </c>
      <c r="T65" s="259" t="b">
        <f aca="false">FALSE()</f>
        <v>0</v>
      </c>
      <c r="Y65" s="239" t="s">
        <v>2140</v>
      </c>
      <c r="Z65" s="239" t="s">
        <v>2136</v>
      </c>
      <c r="AC65" s="239" t="s">
        <v>2094</v>
      </c>
      <c r="AE65" s="239" t="s">
        <v>2094</v>
      </c>
      <c r="AF65" s="239" t="n">
        <v>1</v>
      </c>
      <c r="AH65" s="239" t="n">
        <v>0</v>
      </c>
      <c r="AI65" s="239" t="n">
        <v>11800</v>
      </c>
      <c r="AJ65" s="259" t="b">
        <f aca="false">FALSE()</f>
        <v>0</v>
      </c>
      <c r="AL65" s="239" t="s">
        <v>1959</v>
      </c>
      <c r="AM65" s="239" t="s">
        <v>1632</v>
      </c>
      <c r="AN65" s="239" t="s">
        <v>1595</v>
      </c>
      <c r="AO65" s="239" t="s">
        <v>2171</v>
      </c>
      <c r="AP65" s="239" t="s">
        <v>1527</v>
      </c>
      <c r="AS65" s="239" t="n">
        <v>0</v>
      </c>
      <c r="AV65" s="239" t="n">
        <v>0</v>
      </c>
      <c r="AZ65" s="239" t="n">
        <v>11800</v>
      </c>
      <c r="BA65" s="239" t="s">
        <v>1531</v>
      </c>
      <c r="BB65" s="259" t="b">
        <f aca="false">TRUE()</f>
        <v>1</v>
      </c>
      <c r="BC65" s="239" t="n">
        <v>0</v>
      </c>
      <c r="BD65" s="239" t="n">
        <v>0</v>
      </c>
      <c r="BM65" s="239" t="n">
        <v>0</v>
      </c>
      <c r="BQ65" s="239" t="s">
        <v>1561</v>
      </c>
      <c r="BU65" s="239" t="s">
        <v>2153</v>
      </c>
      <c r="BW65" s="239" t="n">
        <v>0</v>
      </c>
      <c r="BZ65" s="259" t="b">
        <f aca="false">FALSE()</f>
        <v>0</v>
      </c>
    </row>
    <row r="66" customFormat="false" ht="13.5" hidden="false" customHeight="false" outlineLevel="0" collapsed="false">
      <c r="A66" s="258" t="n">
        <v>45672</v>
      </c>
      <c r="B66" s="258" t="n">
        <v>45672</v>
      </c>
      <c r="C66" s="239" t="n">
        <v>2.29715200000019E+018</v>
      </c>
      <c r="D66" s="239" t="s">
        <v>2202</v>
      </c>
      <c r="E66" s="239" t="n">
        <v>0</v>
      </c>
      <c r="F66" s="239" t="n">
        <v>0</v>
      </c>
      <c r="G66" s="239" t="s">
        <v>1870</v>
      </c>
      <c r="H66" s="239" t="s">
        <v>2209</v>
      </c>
      <c r="J66" s="239" t="s">
        <v>1526</v>
      </c>
      <c r="K66" s="239" t="n">
        <v>1</v>
      </c>
      <c r="L66" s="239" t="n">
        <v>53296.23</v>
      </c>
      <c r="M66" s="239" t="n">
        <v>53296.23</v>
      </c>
      <c r="N66" s="239" t="n">
        <v>0</v>
      </c>
      <c r="R66" s="239" t="n">
        <v>0</v>
      </c>
      <c r="S66" s="239" t="s">
        <v>1399</v>
      </c>
      <c r="T66" s="259" t="b">
        <f aca="false">FALSE()</f>
        <v>0</v>
      </c>
      <c r="Y66" s="239" t="s">
        <v>2140</v>
      </c>
      <c r="Z66" s="239" t="s">
        <v>2136</v>
      </c>
      <c r="AC66" s="239" t="s">
        <v>2094</v>
      </c>
      <c r="AE66" s="239" t="s">
        <v>2204</v>
      </c>
      <c r="AF66" s="239" t="n">
        <v>1</v>
      </c>
      <c r="AH66" s="239" t="n">
        <v>0</v>
      </c>
      <c r="AI66" s="239" t="n">
        <v>53296.23</v>
      </c>
      <c r="AJ66" s="259" t="b">
        <f aca="false">FALSE()</f>
        <v>0</v>
      </c>
      <c r="AM66" s="239" t="s">
        <v>1632</v>
      </c>
      <c r="AN66" s="239" t="s">
        <v>2163</v>
      </c>
      <c r="AP66" s="239" t="s">
        <v>1527</v>
      </c>
      <c r="AS66" s="239" t="n">
        <v>0</v>
      </c>
      <c r="AV66" s="239" t="n">
        <v>0</v>
      </c>
      <c r="AZ66" s="239" t="n">
        <v>53296.23</v>
      </c>
      <c r="BA66" s="239" t="s">
        <v>1531</v>
      </c>
      <c r="BB66" s="259" t="b">
        <f aca="false">TRUE()</f>
        <v>1</v>
      </c>
      <c r="BC66" s="239" t="n">
        <v>0</v>
      </c>
      <c r="BD66" s="239" t="n">
        <v>0</v>
      </c>
      <c r="BM66" s="239" t="n">
        <v>0</v>
      </c>
      <c r="BQ66" s="239" t="s">
        <v>1561</v>
      </c>
      <c r="BV66" s="239" t="s">
        <v>2138</v>
      </c>
      <c r="BW66" s="239" t="n">
        <v>0</v>
      </c>
      <c r="BZ66" s="259" t="b">
        <f aca="false">FALSE()</f>
        <v>0</v>
      </c>
    </row>
    <row r="67" customFormat="false" ht="13.5" hidden="false" customHeight="false" outlineLevel="0" collapsed="false">
      <c r="A67" s="258" t="n">
        <v>45678</v>
      </c>
      <c r="B67" s="258" t="n">
        <v>45678</v>
      </c>
      <c r="C67" s="239" t="n">
        <v>2.29715200000019E+018</v>
      </c>
      <c r="D67" s="239" t="s">
        <v>2202</v>
      </c>
      <c r="E67" s="239" t="n">
        <v>0</v>
      </c>
      <c r="F67" s="239" t="n">
        <v>0</v>
      </c>
      <c r="G67" s="239" t="s">
        <v>1870</v>
      </c>
      <c r="H67" s="239" t="s">
        <v>2210</v>
      </c>
      <c r="J67" s="239" t="s">
        <v>1526</v>
      </c>
      <c r="K67" s="239" t="n">
        <v>1</v>
      </c>
      <c r="L67" s="239" t="n">
        <v>53204.85</v>
      </c>
      <c r="M67" s="239" t="n">
        <v>53204.85</v>
      </c>
      <c r="N67" s="239" t="n">
        <v>0</v>
      </c>
      <c r="R67" s="239" t="n">
        <v>0</v>
      </c>
      <c r="S67" s="239" t="s">
        <v>1399</v>
      </c>
      <c r="T67" s="259" t="b">
        <f aca="false">FALSE()</f>
        <v>0</v>
      </c>
      <c r="Y67" s="239" t="s">
        <v>2140</v>
      </c>
      <c r="Z67" s="239" t="s">
        <v>2136</v>
      </c>
      <c r="AC67" s="239" t="s">
        <v>2094</v>
      </c>
      <c r="AE67" s="239" t="s">
        <v>2204</v>
      </c>
      <c r="AF67" s="239" t="n">
        <v>1</v>
      </c>
      <c r="AH67" s="239" t="n">
        <v>0</v>
      </c>
      <c r="AI67" s="239" t="n">
        <v>53204.85</v>
      </c>
      <c r="AJ67" s="259" t="b">
        <f aca="false">FALSE()</f>
        <v>0</v>
      </c>
      <c r="AM67" s="239" t="s">
        <v>1632</v>
      </c>
      <c r="AN67" s="239" t="s">
        <v>2163</v>
      </c>
      <c r="AP67" s="239" t="s">
        <v>1527</v>
      </c>
      <c r="AS67" s="239" t="n">
        <v>0</v>
      </c>
      <c r="AV67" s="239" t="n">
        <v>0</v>
      </c>
      <c r="AZ67" s="239" t="n">
        <v>53204.85</v>
      </c>
      <c r="BA67" s="239" t="s">
        <v>1531</v>
      </c>
      <c r="BB67" s="259" t="b">
        <f aca="false">TRUE()</f>
        <v>1</v>
      </c>
      <c r="BC67" s="239" t="n">
        <v>0</v>
      </c>
      <c r="BD67" s="239" t="n">
        <v>0</v>
      </c>
      <c r="BM67" s="239" t="n">
        <v>0</v>
      </c>
      <c r="BQ67" s="239" t="s">
        <v>1561</v>
      </c>
      <c r="BV67" s="239" t="s">
        <v>2138</v>
      </c>
      <c r="BW67" s="239" t="n">
        <v>0</v>
      </c>
      <c r="BZ67" s="259" t="b">
        <f aca="false">FALSE()</f>
        <v>0</v>
      </c>
    </row>
    <row r="68" customFormat="false" ht="13.5" hidden="false" customHeight="false" outlineLevel="0" collapsed="false">
      <c r="A68" s="258" t="n">
        <v>45685</v>
      </c>
      <c r="B68" s="258" t="n">
        <v>45685</v>
      </c>
      <c r="C68" s="239" t="n">
        <v>2.29715200000019E+018</v>
      </c>
      <c r="D68" s="239" t="s">
        <v>2202</v>
      </c>
      <c r="E68" s="239" t="n">
        <v>0</v>
      </c>
      <c r="F68" s="239" t="n">
        <v>0</v>
      </c>
      <c r="G68" s="239" t="s">
        <v>1870</v>
      </c>
      <c r="H68" s="239" t="s">
        <v>2211</v>
      </c>
      <c r="J68" s="239" t="s">
        <v>1526</v>
      </c>
      <c r="K68" s="239" t="n">
        <v>1</v>
      </c>
      <c r="L68" s="239" t="n">
        <v>26561.94</v>
      </c>
      <c r="M68" s="239" t="n">
        <v>26561.94</v>
      </c>
      <c r="N68" s="239" t="n">
        <v>0</v>
      </c>
      <c r="R68" s="239" t="n">
        <v>0</v>
      </c>
      <c r="S68" s="239" t="s">
        <v>1399</v>
      </c>
      <c r="T68" s="259" t="b">
        <f aca="false">FALSE()</f>
        <v>0</v>
      </c>
      <c r="Y68" s="239" t="s">
        <v>2140</v>
      </c>
      <c r="Z68" s="239" t="s">
        <v>2136</v>
      </c>
      <c r="AC68" s="239" t="s">
        <v>2094</v>
      </c>
      <c r="AE68" s="239" t="s">
        <v>2204</v>
      </c>
      <c r="AF68" s="239" t="n">
        <v>1</v>
      </c>
      <c r="AH68" s="239" t="n">
        <v>0</v>
      </c>
      <c r="AI68" s="239" t="n">
        <v>26561.94</v>
      </c>
      <c r="AJ68" s="259" t="b">
        <f aca="false">FALSE()</f>
        <v>0</v>
      </c>
      <c r="AM68" s="239" t="s">
        <v>1632</v>
      </c>
      <c r="AN68" s="239" t="s">
        <v>2163</v>
      </c>
      <c r="AP68" s="239" t="s">
        <v>1527</v>
      </c>
      <c r="AS68" s="239" t="n">
        <v>0</v>
      </c>
      <c r="AV68" s="239" t="n">
        <v>0</v>
      </c>
      <c r="AZ68" s="239" t="n">
        <v>26561.94</v>
      </c>
      <c r="BA68" s="239" t="s">
        <v>1531</v>
      </c>
      <c r="BB68" s="259" t="b">
        <f aca="false">TRUE()</f>
        <v>1</v>
      </c>
      <c r="BC68" s="239" t="n">
        <v>0</v>
      </c>
      <c r="BD68" s="239" t="n">
        <v>0</v>
      </c>
      <c r="BM68" s="239" t="n">
        <v>0</v>
      </c>
      <c r="BQ68" s="239" t="s">
        <v>1561</v>
      </c>
      <c r="BV68" s="239" t="s">
        <v>2138</v>
      </c>
      <c r="BW68" s="239" t="n">
        <v>0</v>
      </c>
      <c r="BZ68" s="259" t="b">
        <f aca="false">FALSE()</f>
        <v>0</v>
      </c>
    </row>
    <row r="69" customFormat="false" ht="13.5" hidden="false" customHeight="false" outlineLevel="0" collapsed="false">
      <c r="A69" s="258" t="n">
        <v>45687</v>
      </c>
      <c r="B69" s="258" t="n">
        <v>45687</v>
      </c>
      <c r="C69" s="239" t="n">
        <v>2.29715200000019E+018</v>
      </c>
      <c r="D69" s="239" t="s">
        <v>2205</v>
      </c>
      <c r="E69" s="239" t="n">
        <v>0</v>
      </c>
      <c r="F69" s="239" t="n">
        <v>0</v>
      </c>
      <c r="G69" s="239" t="s">
        <v>1870</v>
      </c>
      <c r="H69" s="239" t="n">
        <v>3</v>
      </c>
      <c r="J69" s="239" t="s">
        <v>1526</v>
      </c>
      <c r="K69" s="239" t="n">
        <v>1</v>
      </c>
      <c r="L69" s="239" t="n">
        <v>1804.89</v>
      </c>
      <c r="M69" s="239" t="n">
        <v>1804.89</v>
      </c>
      <c r="N69" s="239" t="n">
        <v>0</v>
      </c>
      <c r="R69" s="239" t="n">
        <v>0</v>
      </c>
      <c r="S69" s="239" t="s">
        <v>1399</v>
      </c>
      <c r="T69" s="259" t="b">
        <f aca="false">FALSE()</f>
        <v>0</v>
      </c>
      <c r="Y69" s="239" t="s">
        <v>2140</v>
      </c>
      <c r="Z69" s="239" t="s">
        <v>2136</v>
      </c>
      <c r="AC69" s="239" t="s">
        <v>2094</v>
      </c>
      <c r="AE69" s="239" t="s">
        <v>2094</v>
      </c>
      <c r="AF69" s="239" t="n">
        <v>1</v>
      </c>
      <c r="AH69" s="239" t="n">
        <v>0</v>
      </c>
      <c r="AI69" s="239" t="n">
        <v>1804.89</v>
      </c>
      <c r="AJ69" s="259" t="b">
        <f aca="false">FALSE()</f>
        <v>0</v>
      </c>
      <c r="AM69" s="239" t="s">
        <v>1632</v>
      </c>
      <c r="AN69" s="239" t="s">
        <v>2163</v>
      </c>
      <c r="AP69" s="239" t="s">
        <v>1527</v>
      </c>
      <c r="AS69" s="239" t="n">
        <v>0</v>
      </c>
      <c r="AV69" s="239" t="n">
        <v>0</v>
      </c>
      <c r="AZ69" s="239" t="n">
        <v>1804.89</v>
      </c>
      <c r="BA69" s="239" t="s">
        <v>1531</v>
      </c>
      <c r="BB69" s="259" t="b">
        <f aca="false">TRUE()</f>
        <v>1</v>
      </c>
      <c r="BC69" s="239" t="n">
        <v>0</v>
      </c>
      <c r="BD69" s="239" t="n">
        <v>0</v>
      </c>
      <c r="BM69" s="239" t="n">
        <v>0</v>
      </c>
      <c r="BQ69" s="239" t="s">
        <v>1561</v>
      </c>
      <c r="BV69" s="239" t="s">
        <v>2138</v>
      </c>
      <c r="BW69" s="239" t="n">
        <v>0</v>
      </c>
      <c r="BZ69" s="259" t="b">
        <f aca="false">FALSE()</f>
        <v>0</v>
      </c>
    </row>
    <row r="70" customFormat="false" ht="13.5" hidden="false" customHeight="false" outlineLevel="0" collapsed="false">
      <c r="A70" s="258" t="n">
        <v>45691</v>
      </c>
      <c r="B70" s="258" t="n">
        <v>45691</v>
      </c>
      <c r="C70" s="239" t="n">
        <v>2.29715200000019E+018</v>
      </c>
      <c r="D70" s="239" t="s">
        <v>2202</v>
      </c>
      <c r="E70" s="239" t="n">
        <v>0</v>
      </c>
      <c r="F70" s="239" t="n">
        <v>0</v>
      </c>
      <c r="G70" s="239" t="s">
        <v>1870</v>
      </c>
      <c r="H70" s="239" t="s">
        <v>2212</v>
      </c>
      <c r="J70" s="239" t="s">
        <v>1526</v>
      </c>
      <c r="K70" s="239" t="n">
        <v>1</v>
      </c>
      <c r="L70" s="239" t="n">
        <v>26820.06</v>
      </c>
      <c r="M70" s="239" t="n">
        <v>26820.06</v>
      </c>
      <c r="N70" s="239" t="n">
        <v>0</v>
      </c>
      <c r="R70" s="239" t="n">
        <v>0</v>
      </c>
      <c r="S70" s="239" t="s">
        <v>1399</v>
      </c>
      <c r="T70" s="259" t="b">
        <f aca="false">FALSE()</f>
        <v>0</v>
      </c>
      <c r="Y70" s="239" t="s">
        <v>2140</v>
      </c>
      <c r="Z70" s="239" t="s">
        <v>2136</v>
      </c>
      <c r="AC70" s="239" t="s">
        <v>2094</v>
      </c>
      <c r="AE70" s="239" t="s">
        <v>2204</v>
      </c>
      <c r="AF70" s="239" t="n">
        <v>1</v>
      </c>
      <c r="AH70" s="239" t="n">
        <v>0</v>
      </c>
      <c r="AI70" s="239" t="n">
        <v>26820.06</v>
      </c>
      <c r="AJ70" s="259" t="b">
        <f aca="false">FALSE()</f>
        <v>0</v>
      </c>
      <c r="AM70" s="239" t="s">
        <v>1632</v>
      </c>
      <c r="AN70" s="239" t="s">
        <v>2163</v>
      </c>
      <c r="AP70" s="239" t="s">
        <v>1527</v>
      </c>
      <c r="AS70" s="239" t="n">
        <v>0</v>
      </c>
      <c r="AV70" s="239" t="n">
        <v>0</v>
      </c>
      <c r="AZ70" s="239" t="n">
        <v>26820.06</v>
      </c>
      <c r="BA70" s="239" t="s">
        <v>1531</v>
      </c>
      <c r="BB70" s="259" t="b">
        <f aca="false">TRUE()</f>
        <v>1</v>
      </c>
      <c r="BC70" s="239" t="n">
        <v>0</v>
      </c>
      <c r="BD70" s="239" t="n">
        <v>0</v>
      </c>
      <c r="BM70" s="239" t="n">
        <v>0</v>
      </c>
      <c r="BQ70" s="239" t="s">
        <v>1561</v>
      </c>
      <c r="BV70" s="239" t="s">
        <v>2138</v>
      </c>
      <c r="BW70" s="239" t="n">
        <v>0</v>
      </c>
      <c r="BZ70" s="259" t="b">
        <f aca="false">FALSE()</f>
        <v>0</v>
      </c>
    </row>
    <row r="71" customFormat="false" ht="13.5" hidden="false" customHeight="false" outlineLevel="0" collapsed="false">
      <c r="A71" s="258" t="n">
        <v>45704</v>
      </c>
      <c r="B71" s="258" t="n">
        <v>45704</v>
      </c>
      <c r="C71" s="239" t="n">
        <v>2.29715200000019E+018</v>
      </c>
      <c r="D71" s="239" t="s">
        <v>2169</v>
      </c>
      <c r="E71" s="239" t="n">
        <v>0</v>
      </c>
      <c r="F71" s="239" t="n">
        <v>0</v>
      </c>
      <c r="G71" s="239" t="s">
        <v>1870</v>
      </c>
      <c r="H71" s="239" t="n">
        <v>6</v>
      </c>
      <c r="J71" s="239" t="s">
        <v>1526</v>
      </c>
      <c r="K71" s="239" t="n">
        <v>1</v>
      </c>
      <c r="L71" s="239" t="n">
        <v>11800</v>
      </c>
      <c r="M71" s="239" t="n">
        <v>11800</v>
      </c>
      <c r="N71" s="239" t="n">
        <v>0</v>
      </c>
      <c r="R71" s="239" t="n">
        <v>0</v>
      </c>
      <c r="S71" s="239" t="s">
        <v>1399</v>
      </c>
      <c r="T71" s="259" t="b">
        <f aca="false">FALSE()</f>
        <v>0</v>
      </c>
      <c r="Y71" s="239" t="s">
        <v>2140</v>
      </c>
      <c r="Z71" s="239" t="s">
        <v>2136</v>
      </c>
      <c r="AC71" s="239" t="s">
        <v>2094</v>
      </c>
      <c r="AE71" s="239" t="s">
        <v>2094</v>
      </c>
      <c r="AF71" s="239" t="n">
        <v>1</v>
      </c>
      <c r="AH71" s="239" t="n">
        <v>0</v>
      </c>
      <c r="AI71" s="239" t="n">
        <v>11800</v>
      </c>
      <c r="AJ71" s="259" t="b">
        <f aca="false">FALSE()</f>
        <v>0</v>
      </c>
      <c r="AL71" s="239" t="s">
        <v>1959</v>
      </c>
      <c r="AM71" s="239" t="s">
        <v>1632</v>
      </c>
      <c r="AN71" s="239" t="s">
        <v>1595</v>
      </c>
      <c r="AO71" s="239" t="s">
        <v>2171</v>
      </c>
      <c r="AP71" s="239" t="s">
        <v>1527</v>
      </c>
      <c r="AS71" s="239" t="n">
        <v>0</v>
      </c>
      <c r="AV71" s="239" t="n">
        <v>0</v>
      </c>
      <c r="AZ71" s="239" t="n">
        <v>11800</v>
      </c>
      <c r="BA71" s="239" t="s">
        <v>1531</v>
      </c>
      <c r="BB71" s="259" t="b">
        <f aca="false">TRUE()</f>
        <v>1</v>
      </c>
      <c r="BC71" s="239" t="n">
        <v>0</v>
      </c>
      <c r="BD71" s="239" t="n">
        <v>0</v>
      </c>
      <c r="BM71" s="239" t="n">
        <v>0</v>
      </c>
      <c r="BQ71" s="239" t="s">
        <v>1561</v>
      </c>
      <c r="BU71" s="239" t="s">
        <v>2153</v>
      </c>
      <c r="BW71" s="239" t="n">
        <v>0</v>
      </c>
      <c r="BZ71" s="259" t="b">
        <f aca="false">FALSE()</f>
        <v>0</v>
      </c>
    </row>
    <row r="72" customFormat="false" ht="13.5" hidden="false" customHeight="false" outlineLevel="0" collapsed="false">
      <c r="A72" s="258" t="n">
        <v>45717</v>
      </c>
      <c r="B72" s="258" t="n">
        <v>45717</v>
      </c>
      <c r="C72" s="239" t="n">
        <v>2.29715200000019E+018</v>
      </c>
      <c r="D72" s="239" t="s">
        <v>2205</v>
      </c>
      <c r="E72" s="239" t="n">
        <v>0</v>
      </c>
      <c r="F72" s="239" t="n">
        <v>0</v>
      </c>
      <c r="G72" s="239" t="s">
        <v>1870</v>
      </c>
      <c r="H72" s="239" t="n">
        <v>4</v>
      </c>
      <c r="J72" s="239" t="s">
        <v>1526</v>
      </c>
      <c r="K72" s="239" t="n">
        <v>1</v>
      </c>
      <c r="L72" s="239" t="n">
        <v>1824.06</v>
      </c>
      <c r="M72" s="239" t="n">
        <v>1824.06</v>
      </c>
      <c r="N72" s="239" t="n">
        <v>0</v>
      </c>
      <c r="R72" s="239" t="n">
        <v>0</v>
      </c>
      <c r="S72" s="239" t="s">
        <v>1399</v>
      </c>
      <c r="T72" s="259" t="b">
        <f aca="false">FALSE()</f>
        <v>0</v>
      </c>
      <c r="Y72" s="239" t="s">
        <v>2140</v>
      </c>
      <c r="Z72" s="239" t="s">
        <v>2136</v>
      </c>
      <c r="AC72" s="239" t="s">
        <v>2094</v>
      </c>
      <c r="AE72" s="239" t="s">
        <v>2094</v>
      </c>
      <c r="AF72" s="239" t="n">
        <v>1</v>
      </c>
      <c r="AH72" s="239" t="n">
        <v>0</v>
      </c>
      <c r="AI72" s="239" t="n">
        <v>1824.06</v>
      </c>
      <c r="AJ72" s="259" t="b">
        <f aca="false">FALSE()</f>
        <v>0</v>
      </c>
      <c r="AM72" s="239" t="s">
        <v>1632</v>
      </c>
      <c r="AN72" s="239" t="s">
        <v>2163</v>
      </c>
      <c r="AP72" s="239" t="s">
        <v>1527</v>
      </c>
      <c r="AS72" s="239" t="n">
        <v>0</v>
      </c>
      <c r="AV72" s="239" t="n">
        <v>0</v>
      </c>
      <c r="AZ72" s="239" t="n">
        <v>1824.06</v>
      </c>
      <c r="BA72" s="239" t="s">
        <v>1531</v>
      </c>
      <c r="BB72" s="259" t="b">
        <f aca="false">TRUE()</f>
        <v>1</v>
      </c>
      <c r="BC72" s="239" t="n">
        <v>0</v>
      </c>
      <c r="BD72" s="239" t="n">
        <v>0</v>
      </c>
      <c r="BM72" s="239" t="n">
        <v>0</v>
      </c>
      <c r="BQ72" s="239" t="s">
        <v>1561</v>
      </c>
      <c r="BV72" s="239" t="s">
        <v>2138</v>
      </c>
      <c r="BW72" s="239" t="n">
        <v>0</v>
      </c>
      <c r="BZ72" s="259" t="b">
        <f aca="false">FALSE()</f>
        <v>0</v>
      </c>
    </row>
    <row r="73" customFormat="false" ht="13.5" hidden="false" customHeight="false" outlineLevel="0" collapsed="false">
      <c r="A73" s="258" t="n">
        <v>45719</v>
      </c>
      <c r="B73" s="258" t="n">
        <v>45719</v>
      </c>
      <c r="C73" s="239" t="n">
        <v>2.29715200000019E+018</v>
      </c>
      <c r="D73" s="239" t="s">
        <v>2206</v>
      </c>
      <c r="E73" s="239" t="n">
        <v>0</v>
      </c>
      <c r="F73" s="239" t="n">
        <v>0</v>
      </c>
      <c r="G73" s="239" t="s">
        <v>1870</v>
      </c>
      <c r="H73" s="239" t="s">
        <v>2213</v>
      </c>
      <c r="J73" s="239" t="s">
        <v>1526</v>
      </c>
      <c r="K73" s="239" t="n">
        <v>1</v>
      </c>
      <c r="L73" s="239" t="n">
        <v>20326.68</v>
      </c>
      <c r="M73" s="239" t="n">
        <v>20326.68</v>
      </c>
      <c r="N73" s="239" t="n">
        <v>0</v>
      </c>
      <c r="R73" s="239" t="n">
        <v>0</v>
      </c>
      <c r="S73" s="239" t="s">
        <v>1399</v>
      </c>
      <c r="T73" s="259" t="b">
        <f aca="false">FALSE()</f>
        <v>0</v>
      </c>
      <c r="Y73" s="239" t="s">
        <v>2140</v>
      </c>
      <c r="Z73" s="239" t="s">
        <v>2136</v>
      </c>
      <c r="AC73" s="239" t="s">
        <v>2094</v>
      </c>
      <c r="AE73" s="239" t="s">
        <v>2207</v>
      </c>
      <c r="AF73" s="239" t="n">
        <v>1</v>
      </c>
      <c r="AH73" s="239" t="n">
        <v>0</v>
      </c>
      <c r="AI73" s="239" t="n">
        <v>20326.68</v>
      </c>
      <c r="AJ73" s="259" t="b">
        <f aca="false">FALSE()</f>
        <v>0</v>
      </c>
      <c r="AL73" s="239" t="s">
        <v>1959</v>
      </c>
      <c r="AM73" s="239" t="s">
        <v>1632</v>
      </c>
      <c r="AN73" s="239" t="s">
        <v>1595</v>
      </c>
      <c r="AO73" s="239" t="s">
        <v>2208</v>
      </c>
      <c r="AP73" s="239" t="s">
        <v>1527</v>
      </c>
      <c r="AS73" s="239" t="n">
        <v>0</v>
      </c>
      <c r="AV73" s="239" t="n">
        <v>0</v>
      </c>
      <c r="AZ73" s="239" t="n">
        <v>20326.68</v>
      </c>
      <c r="BA73" s="239" t="s">
        <v>1531</v>
      </c>
      <c r="BB73" s="259" t="b">
        <f aca="false">TRUE()</f>
        <v>1</v>
      </c>
      <c r="BC73" s="239" t="n">
        <v>0</v>
      </c>
      <c r="BD73" s="239" t="n">
        <v>0</v>
      </c>
      <c r="BM73" s="239" t="n">
        <v>0</v>
      </c>
      <c r="BQ73" s="239" t="s">
        <v>1561</v>
      </c>
      <c r="BU73" s="239" t="s">
        <v>2153</v>
      </c>
      <c r="BW73" s="239" t="n">
        <v>0</v>
      </c>
      <c r="BZ73" s="259" t="b">
        <f aca="false">FALSE()</f>
        <v>0</v>
      </c>
    </row>
    <row r="74" customFormat="false" ht="13.5" hidden="false" customHeight="false" outlineLevel="0" collapsed="false">
      <c r="A74" s="258" t="n">
        <v>45746</v>
      </c>
      <c r="B74" s="258" t="n">
        <v>45746</v>
      </c>
      <c r="C74" s="239" t="n">
        <v>2.29715200000019E+018</v>
      </c>
      <c r="D74" s="239" t="s">
        <v>2205</v>
      </c>
      <c r="E74" s="239" t="n">
        <v>0</v>
      </c>
      <c r="F74" s="239" t="n">
        <v>0</v>
      </c>
      <c r="G74" s="239" t="s">
        <v>1870</v>
      </c>
      <c r="H74" s="239" t="n">
        <v>5</v>
      </c>
      <c r="J74" s="239" t="s">
        <v>1526</v>
      </c>
      <c r="K74" s="239" t="n">
        <v>1</v>
      </c>
      <c r="L74" s="239" t="n">
        <v>1786.19</v>
      </c>
      <c r="M74" s="239" t="n">
        <v>1786.19</v>
      </c>
      <c r="N74" s="239" t="n">
        <v>0</v>
      </c>
      <c r="R74" s="239" t="n">
        <v>0</v>
      </c>
      <c r="S74" s="239" t="s">
        <v>1399</v>
      </c>
      <c r="T74" s="259" t="b">
        <f aca="false">FALSE()</f>
        <v>0</v>
      </c>
      <c r="Y74" s="239" t="s">
        <v>2140</v>
      </c>
      <c r="Z74" s="239" t="s">
        <v>2136</v>
      </c>
      <c r="AC74" s="239" t="s">
        <v>2094</v>
      </c>
      <c r="AE74" s="239" t="s">
        <v>2094</v>
      </c>
      <c r="AF74" s="239" t="n">
        <v>1</v>
      </c>
      <c r="AH74" s="239" t="n">
        <v>0</v>
      </c>
      <c r="AI74" s="239" t="n">
        <v>1786.19</v>
      </c>
      <c r="AJ74" s="259" t="b">
        <f aca="false">FALSE()</f>
        <v>0</v>
      </c>
      <c r="AM74" s="239" t="s">
        <v>1632</v>
      </c>
      <c r="AN74" s="239" t="s">
        <v>2163</v>
      </c>
      <c r="AP74" s="239" t="s">
        <v>1527</v>
      </c>
      <c r="AS74" s="239" t="n">
        <v>0</v>
      </c>
      <c r="AV74" s="239" t="n">
        <v>0</v>
      </c>
      <c r="AZ74" s="239" t="n">
        <v>1786.19</v>
      </c>
      <c r="BA74" s="239" t="s">
        <v>1531</v>
      </c>
      <c r="BB74" s="259" t="b">
        <f aca="false">TRUE()</f>
        <v>1</v>
      </c>
      <c r="BC74" s="239" t="n">
        <v>0</v>
      </c>
      <c r="BD74" s="239" t="n">
        <v>0</v>
      </c>
      <c r="BM74" s="239" t="n">
        <v>0</v>
      </c>
      <c r="BQ74" s="239" t="s">
        <v>1561</v>
      </c>
      <c r="BV74" s="239" t="s">
        <v>2138</v>
      </c>
      <c r="BW74" s="239" t="n">
        <v>0</v>
      </c>
      <c r="BZ74" s="259" t="b">
        <f aca="false">FALSE()</f>
        <v>0</v>
      </c>
    </row>
    <row r="75" customFormat="false" ht="13.5" hidden="false" customHeight="false" outlineLevel="0" collapsed="false">
      <c r="A75" s="260" t="n">
        <v>45598</v>
      </c>
      <c r="B75" s="258" t="n">
        <v>45598</v>
      </c>
      <c r="C75" s="239" t="n">
        <v>2.29715200000019E+018</v>
      </c>
      <c r="D75" s="257" t="s">
        <v>2169</v>
      </c>
      <c r="E75" s="239" t="n">
        <v>0</v>
      </c>
      <c r="F75" s="239" t="n">
        <v>0</v>
      </c>
      <c r="G75" s="239" t="s">
        <v>1870</v>
      </c>
      <c r="H75" s="239" t="n">
        <v>7</v>
      </c>
      <c r="J75" s="239" t="s">
        <v>1526</v>
      </c>
      <c r="K75" s="239" t="n">
        <v>1</v>
      </c>
      <c r="L75" s="257" t="n">
        <v>3540</v>
      </c>
      <c r="M75" s="239" t="n">
        <v>3540</v>
      </c>
      <c r="N75" s="239" t="n">
        <v>0</v>
      </c>
      <c r="R75" s="239" t="n">
        <v>0</v>
      </c>
      <c r="S75" s="239" t="s">
        <v>1399</v>
      </c>
      <c r="T75" s="259" t="b">
        <f aca="false">FALSE()</f>
        <v>0</v>
      </c>
      <c r="Y75" s="239" t="s">
        <v>2140</v>
      </c>
      <c r="Z75" s="239" t="s">
        <v>2136</v>
      </c>
      <c r="AC75" s="257" t="s">
        <v>2094</v>
      </c>
      <c r="AE75" s="239" t="s">
        <v>2094</v>
      </c>
      <c r="AF75" s="239" t="n">
        <v>1</v>
      </c>
      <c r="AH75" s="239" t="n">
        <v>0</v>
      </c>
      <c r="AI75" s="239" t="n">
        <v>3540</v>
      </c>
      <c r="AJ75" s="259" t="b">
        <f aca="false">FALSE()</f>
        <v>0</v>
      </c>
      <c r="AL75" s="239" t="s">
        <v>1959</v>
      </c>
      <c r="AM75" s="239" t="s">
        <v>1632</v>
      </c>
      <c r="AN75" s="239" t="s">
        <v>1595</v>
      </c>
      <c r="AO75" s="239" t="s">
        <v>2171</v>
      </c>
      <c r="AP75" s="239" t="s">
        <v>1527</v>
      </c>
      <c r="AS75" s="239" t="n">
        <v>0</v>
      </c>
      <c r="AV75" s="239" t="n">
        <v>0</v>
      </c>
      <c r="AZ75" s="239" t="n">
        <v>3540</v>
      </c>
      <c r="BA75" s="239" t="s">
        <v>1531</v>
      </c>
      <c r="BB75" s="259" t="b">
        <f aca="false">TRUE()</f>
        <v>1</v>
      </c>
      <c r="BC75" s="239" t="n">
        <v>0</v>
      </c>
      <c r="BD75" s="239" t="n">
        <v>0</v>
      </c>
      <c r="BM75" s="239" t="n">
        <v>0</v>
      </c>
      <c r="BQ75" s="239" t="s">
        <v>1561</v>
      </c>
      <c r="BU75" s="239" t="s">
        <v>2153</v>
      </c>
      <c r="BW75" s="239" t="n">
        <v>0</v>
      </c>
      <c r="BZ75" s="259" t="b">
        <f aca="false">FALSE()</f>
        <v>0</v>
      </c>
    </row>
    <row r="76" customFormat="false" ht="13.5" hidden="false" customHeight="false" outlineLevel="0" collapsed="false">
      <c r="A76" s="260" t="n">
        <v>45584</v>
      </c>
      <c r="B76" s="258" t="n">
        <v>45584</v>
      </c>
      <c r="C76" s="239" t="n">
        <v>2.29715200000019E+018</v>
      </c>
      <c r="D76" s="257" t="s">
        <v>2169</v>
      </c>
      <c r="E76" s="239" t="n">
        <v>0</v>
      </c>
      <c r="F76" s="239" t="n">
        <v>0</v>
      </c>
      <c r="G76" s="239" t="s">
        <v>1870</v>
      </c>
      <c r="H76" s="239" t="n">
        <v>8</v>
      </c>
      <c r="J76" s="239" t="s">
        <v>1526</v>
      </c>
      <c r="K76" s="239" t="n">
        <v>1</v>
      </c>
      <c r="L76" s="257" t="n">
        <v>3540</v>
      </c>
      <c r="M76" s="239" t="n">
        <v>3540</v>
      </c>
      <c r="N76" s="239" t="n">
        <v>0</v>
      </c>
      <c r="R76" s="239" t="n">
        <v>0</v>
      </c>
      <c r="S76" s="239" t="s">
        <v>1399</v>
      </c>
      <c r="T76" s="259" t="b">
        <f aca="false">FALSE()</f>
        <v>0</v>
      </c>
      <c r="Y76" s="239" t="s">
        <v>2140</v>
      </c>
      <c r="Z76" s="239" t="s">
        <v>2136</v>
      </c>
      <c r="AC76" s="257" t="s">
        <v>2094</v>
      </c>
      <c r="AE76" s="239" t="s">
        <v>2094</v>
      </c>
      <c r="AF76" s="239" t="n">
        <v>1</v>
      </c>
      <c r="AH76" s="239" t="n">
        <v>0</v>
      </c>
      <c r="AI76" s="239" t="n">
        <v>3540</v>
      </c>
      <c r="AJ76" s="259" t="b">
        <f aca="false">FALSE()</f>
        <v>0</v>
      </c>
      <c r="AL76" s="239" t="s">
        <v>1959</v>
      </c>
      <c r="AM76" s="239" t="s">
        <v>1632</v>
      </c>
      <c r="AN76" s="239" t="s">
        <v>1595</v>
      </c>
      <c r="AO76" s="239" t="s">
        <v>2171</v>
      </c>
      <c r="AP76" s="239" t="s">
        <v>1527</v>
      </c>
      <c r="AS76" s="239" t="n">
        <v>0</v>
      </c>
      <c r="AV76" s="239" t="n">
        <v>0</v>
      </c>
      <c r="AZ76" s="239" t="n">
        <v>3540</v>
      </c>
      <c r="BA76" s="239" t="s">
        <v>1531</v>
      </c>
      <c r="BB76" s="259" t="b">
        <f aca="false">TRUE()</f>
        <v>1</v>
      </c>
      <c r="BC76" s="239" t="n">
        <v>0</v>
      </c>
      <c r="BD76" s="239" t="n">
        <v>0</v>
      </c>
      <c r="BM76" s="239" t="n">
        <v>0</v>
      </c>
      <c r="BQ76" s="239" t="s">
        <v>1561</v>
      </c>
      <c r="BU76" s="239" t="s">
        <v>2153</v>
      </c>
      <c r="BW76" s="239" t="n">
        <v>0</v>
      </c>
      <c r="BZ76" s="259" t="b">
        <f aca="false">FALSE()</f>
        <v>0</v>
      </c>
    </row>
    <row r="77" customFormat="false" ht="13.5" hidden="false" customHeight="false" outlineLevel="0" collapsed="false">
      <c r="A77" s="258" t="n">
        <v>45671</v>
      </c>
      <c r="B77" s="258" t="n">
        <v>45671</v>
      </c>
      <c r="C77" s="239" t="n">
        <v>2.29715200000019E+018</v>
      </c>
      <c r="D77" s="239" t="s">
        <v>2214</v>
      </c>
      <c r="E77" s="239" t="n">
        <v>0</v>
      </c>
      <c r="F77" s="239" t="n">
        <v>0</v>
      </c>
      <c r="G77" s="239" t="s">
        <v>1870</v>
      </c>
      <c r="H77" s="239" t="n">
        <v>1</v>
      </c>
      <c r="J77" s="239" t="s">
        <v>1526</v>
      </c>
      <c r="K77" s="239" t="n">
        <v>1</v>
      </c>
      <c r="L77" s="239" t="n">
        <v>3422</v>
      </c>
      <c r="M77" s="239" t="n">
        <v>3422</v>
      </c>
      <c r="N77" s="239" t="n">
        <v>0</v>
      </c>
      <c r="R77" s="239" t="n">
        <v>0</v>
      </c>
      <c r="S77" s="239" t="s">
        <v>1399</v>
      </c>
      <c r="T77" s="259" t="b">
        <f aca="false">FALSE()</f>
        <v>0</v>
      </c>
      <c r="Y77" s="239" t="s">
        <v>2140</v>
      </c>
      <c r="Z77" s="239" t="s">
        <v>2136</v>
      </c>
      <c r="AC77" s="239" t="s">
        <v>2094</v>
      </c>
      <c r="AE77" s="239" t="s">
        <v>2201</v>
      </c>
      <c r="AF77" s="239" t="n">
        <v>1</v>
      </c>
      <c r="AH77" s="239" t="n">
        <v>0</v>
      </c>
      <c r="AI77" s="239" t="n">
        <v>3422</v>
      </c>
      <c r="AJ77" s="259" t="b">
        <f aca="false">FALSE()</f>
        <v>0</v>
      </c>
      <c r="AL77" s="239" t="s">
        <v>2215</v>
      </c>
      <c r="AM77" s="239" t="s">
        <v>1632</v>
      </c>
      <c r="AN77" s="239" t="s">
        <v>1524</v>
      </c>
      <c r="AP77" s="239" t="s">
        <v>1527</v>
      </c>
      <c r="AS77" s="239" t="n">
        <v>0</v>
      </c>
      <c r="AV77" s="239" t="n">
        <v>0</v>
      </c>
      <c r="AZ77" s="239" t="n">
        <v>3422</v>
      </c>
      <c r="BA77" s="239" t="s">
        <v>1531</v>
      </c>
      <c r="BB77" s="259" t="b">
        <f aca="false">TRUE()</f>
        <v>1</v>
      </c>
      <c r="BC77" s="239" t="n">
        <v>0</v>
      </c>
      <c r="BD77" s="239" t="n">
        <v>0</v>
      </c>
      <c r="BM77" s="239" t="n">
        <v>0</v>
      </c>
      <c r="BQ77" s="239" t="s">
        <v>1561</v>
      </c>
      <c r="BV77" s="239" t="s">
        <v>2138</v>
      </c>
      <c r="BW77" s="239" t="n">
        <v>0</v>
      </c>
      <c r="BZ77" s="259" t="b">
        <f aca="false">FALSE()</f>
        <v>0</v>
      </c>
    </row>
    <row r="78" customFormat="false" ht="13.5" hidden="false" customHeight="false" outlineLevel="0" collapsed="false">
      <c r="A78" s="258" t="n">
        <v>45677</v>
      </c>
      <c r="B78" s="258" t="n">
        <v>45677</v>
      </c>
      <c r="C78" s="239" t="n">
        <v>2.29715200000019E+018</v>
      </c>
      <c r="D78" s="239" t="s">
        <v>2214</v>
      </c>
      <c r="E78" s="239" t="n">
        <v>0</v>
      </c>
      <c r="F78" s="239" t="n">
        <v>0</v>
      </c>
      <c r="G78" s="239" t="s">
        <v>1870</v>
      </c>
      <c r="H78" s="239" t="n">
        <v>2</v>
      </c>
      <c r="J78" s="239" t="s">
        <v>1526</v>
      </c>
      <c r="K78" s="239" t="n">
        <v>1</v>
      </c>
      <c r="L78" s="239" t="n">
        <v>4012</v>
      </c>
      <c r="M78" s="239" t="n">
        <v>4012</v>
      </c>
      <c r="N78" s="239" t="n">
        <v>0</v>
      </c>
      <c r="R78" s="239" t="n">
        <v>0</v>
      </c>
      <c r="S78" s="239" t="s">
        <v>1399</v>
      </c>
      <c r="T78" s="259" t="b">
        <f aca="false">FALSE()</f>
        <v>0</v>
      </c>
      <c r="Y78" s="239" t="s">
        <v>2140</v>
      </c>
      <c r="Z78" s="239" t="s">
        <v>2136</v>
      </c>
      <c r="AC78" s="239" t="s">
        <v>2094</v>
      </c>
      <c r="AE78" s="239" t="s">
        <v>2201</v>
      </c>
      <c r="AF78" s="239" t="n">
        <v>1</v>
      </c>
      <c r="AH78" s="239" t="n">
        <v>0</v>
      </c>
      <c r="AI78" s="239" t="n">
        <v>4012</v>
      </c>
      <c r="AJ78" s="259" t="b">
        <f aca="false">FALSE()</f>
        <v>0</v>
      </c>
      <c r="AL78" s="239" t="s">
        <v>2215</v>
      </c>
      <c r="AM78" s="239" t="s">
        <v>1632</v>
      </c>
      <c r="AN78" s="239" t="s">
        <v>1524</v>
      </c>
      <c r="AP78" s="239" t="s">
        <v>1527</v>
      </c>
      <c r="AS78" s="239" t="n">
        <v>0</v>
      </c>
      <c r="AV78" s="239" t="n">
        <v>0</v>
      </c>
      <c r="AZ78" s="239" t="n">
        <v>4012</v>
      </c>
      <c r="BA78" s="239" t="s">
        <v>1531</v>
      </c>
      <c r="BB78" s="259" t="b">
        <f aca="false">TRUE()</f>
        <v>1</v>
      </c>
      <c r="BC78" s="239" t="n">
        <v>0</v>
      </c>
      <c r="BD78" s="239" t="n">
        <v>0</v>
      </c>
      <c r="BM78" s="239" t="n">
        <v>0</v>
      </c>
      <c r="BQ78" s="239" t="s">
        <v>1561</v>
      </c>
      <c r="BV78" s="239" t="s">
        <v>2138</v>
      </c>
      <c r="BW78" s="239" t="n">
        <v>0</v>
      </c>
      <c r="BZ78" s="259" t="b">
        <f aca="false">FALSE()</f>
        <v>0</v>
      </c>
    </row>
    <row r="79" customFormat="false" ht="13.5" hidden="false" customHeight="false" outlineLevel="0" collapsed="false">
      <c r="A79" s="258" t="n">
        <v>45699</v>
      </c>
      <c r="B79" s="258" t="n">
        <v>45699</v>
      </c>
      <c r="C79" s="239" t="n">
        <v>2.29715200000019E+018</v>
      </c>
      <c r="D79" s="239" t="s">
        <v>2214</v>
      </c>
      <c r="E79" s="239" t="n">
        <v>0</v>
      </c>
      <c r="F79" s="239" t="n">
        <v>0</v>
      </c>
      <c r="G79" s="239" t="s">
        <v>1870</v>
      </c>
      <c r="H79" s="239" t="n">
        <v>3</v>
      </c>
      <c r="J79" s="239" t="s">
        <v>1526</v>
      </c>
      <c r="K79" s="239" t="n">
        <v>1</v>
      </c>
      <c r="L79" s="239" t="n">
        <v>23585</v>
      </c>
      <c r="M79" s="239" t="n">
        <v>23585</v>
      </c>
      <c r="N79" s="239" t="n">
        <v>0</v>
      </c>
      <c r="R79" s="239" t="n">
        <v>0</v>
      </c>
      <c r="S79" s="239" t="s">
        <v>1399</v>
      </c>
      <c r="T79" s="259" t="b">
        <f aca="false">FALSE()</f>
        <v>0</v>
      </c>
      <c r="Y79" s="239" t="s">
        <v>2140</v>
      </c>
      <c r="Z79" s="239" t="s">
        <v>2136</v>
      </c>
      <c r="AC79" s="239" t="s">
        <v>2094</v>
      </c>
      <c r="AE79" s="239" t="s">
        <v>2201</v>
      </c>
      <c r="AF79" s="239" t="n">
        <v>1</v>
      </c>
      <c r="AH79" s="239" t="n">
        <v>0</v>
      </c>
      <c r="AI79" s="239" t="n">
        <v>23585</v>
      </c>
      <c r="AJ79" s="259" t="b">
        <f aca="false">FALSE()</f>
        <v>0</v>
      </c>
      <c r="AL79" s="239" t="s">
        <v>2215</v>
      </c>
      <c r="AM79" s="239" t="s">
        <v>1632</v>
      </c>
      <c r="AN79" s="239" t="s">
        <v>1524</v>
      </c>
      <c r="AP79" s="239" t="s">
        <v>1527</v>
      </c>
      <c r="AS79" s="239" t="n">
        <v>0</v>
      </c>
      <c r="AV79" s="239" t="n">
        <v>0</v>
      </c>
      <c r="AZ79" s="239" t="n">
        <v>23585</v>
      </c>
      <c r="BA79" s="239" t="s">
        <v>1531</v>
      </c>
      <c r="BB79" s="259" t="b">
        <f aca="false">TRUE()</f>
        <v>1</v>
      </c>
      <c r="BC79" s="239" t="n">
        <v>0</v>
      </c>
      <c r="BD79" s="239" t="n">
        <v>0</v>
      </c>
      <c r="BM79" s="239" t="n">
        <v>0</v>
      </c>
      <c r="BQ79" s="239" t="s">
        <v>1561</v>
      </c>
      <c r="BV79" s="239" t="s">
        <v>2138</v>
      </c>
      <c r="BW79" s="239" t="n">
        <v>0</v>
      </c>
      <c r="BZ79" s="259" t="b">
        <f aca="false">FALSE()</f>
        <v>0</v>
      </c>
    </row>
    <row r="80" customFormat="false" ht="13.5" hidden="false" customHeight="false" outlineLevel="0" collapsed="false">
      <c r="A80" s="258" t="n">
        <v>45741</v>
      </c>
      <c r="B80" s="258" t="n">
        <v>45741</v>
      </c>
      <c r="C80" s="239" t="n">
        <v>2.29715200000019E+018</v>
      </c>
      <c r="D80" s="239" t="s">
        <v>2214</v>
      </c>
      <c r="E80" s="239" t="n">
        <v>0</v>
      </c>
      <c r="F80" s="239" t="n">
        <v>0</v>
      </c>
      <c r="G80" s="239" t="s">
        <v>1870</v>
      </c>
      <c r="H80" s="239" t="n">
        <v>4</v>
      </c>
      <c r="J80" s="239" t="s">
        <v>1526</v>
      </c>
      <c r="K80" s="239" t="n">
        <v>1</v>
      </c>
      <c r="L80" s="239" t="n">
        <v>15310</v>
      </c>
      <c r="M80" s="239" t="n">
        <v>15310</v>
      </c>
      <c r="N80" s="239" t="n">
        <v>0</v>
      </c>
      <c r="R80" s="239" t="n">
        <v>0</v>
      </c>
      <c r="S80" s="239" t="s">
        <v>1399</v>
      </c>
      <c r="T80" s="259" t="b">
        <f aca="false">FALSE()</f>
        <v>0</v>
      </c>
      <c r="Y80" s="239" t="s">
        <v>2140</v>
      </c>
      <c r="Z80" s="239" t="s">
        <v>2136</v>
      </c>
      <c r="AC80" s="239" t="s">
        <v>2094</v>
      </c>
      <c r="AE80" s="239" t="s">
        <v>2201</v>
      </c>
      <c r="AF80" s="239" t="n">
        <v>1</v>
      </c>
      <c r="AH80" s="239" t="n">
        <v>0</v>
      </c>
      <c r="AI80" s="239" t="n">
        <v>15310</v>
      </c>
      <c r="AJ80" s="259" t="b">
        <f aca="false">FALSE()</f>
        <v>0</v>
      </c>
      <c r="AL80" s="239" t="s">
        <v>2215</v>
      </c>
      <c r="AM80" s="239" t="s">
        <v>1632</v>
      </c>
      <c r="AN80" s="239" t="s">
        <v>1524</v>
      </c>
      <c r="AP80" s="239" t="s">
        <v>1527</v>
      </c>
      <c r="AS80" s="239" t="n">
        <v>0</v>
      </c>
      <c r="AV80" s="239" t="n">
        <v>0</v>
      </c>
      <c r="AZ80" s="239" t="n">
        <v>15310</v>
      </c>
      <c r="BA80" s="239" t="s">
        <v>1531</v>
      </c>
      <c r="BB80" s="259" t="b">
        <f aca="false">TRUE()</f>
        <v>1</v>
      </c>
      <c r="BC80" s="239" t="n">
        <v>0</v>
      </c>
      <c r="BD80" s="239" t="n">
        <v>0</v>
      </c>
      <c r="BM80" s="239" t="n">
        <v>0</v>
      </c>
      <c r="BQ80" s="239" t="s">
        <v>1561</v>
      </c>
      <c r="BV80" s="239" t="s">
        <v>2138</v>
      </c>
      <c r="BW80" s="239" t="n">
        <v>0</v>
      </c>
      <c r="BZ80" s="259" t="b">
        <f aca="false">FALSE()</f>
        <v>0</v>
      </c>
    </row>
    <row r="81" customFormat="false" ht="13.5" hidden="false" customHeight="false" outlineLevel="0" collapsed="false">
      <c r="A81" s="258" t="n">
        <v>45716</v>
      </c>
      <c r="B81" s="258" t="n">
        <v>45716</v>
      </c>
      <c r="C81" s="239" t="n">
        <v>2.29715200000023E+018</v>
      </c>
      <c r="D81" s="239" t="s">
        <v>2083</v>
      </c>
      <c r="E81" s="239" t="n">
        <v>0</v>
      </c>
      <c r="F81" s="239" t="n">
        <v>0</v>
      </c>
      <c r="G81" s="239" t="s">
        <v>1870</v>
      </c>
      <c r="H81" s="239" t="n">
        <v>6</v>
      </c>
      <c r="J81" s="239" t="s">
        <v>1526</v>
      </c>
      <c r="K81" s="239" t="n">
        <v>1</v>
      </c>
      <c r="L81" s="239" t="n">
        <v>126846</v>
      </c>
      <c r="M81" s="239" t="n">
        <v>126846</v>
      </c>
      <c r="N81" s="239" t="n">
        <v>126846</v>
      </c>
      <c r="R81" s="239" t="n">
        <v>0</v>
      </c>
      <c r="S81" s="239" t="s">
        <v>1399</v>
      </c>
      <c r="T81" s="259" t="b">
        <f aca="false">FALSE()</f>
        <v>0</v>
      </c>
      <c r="Y81" s="239" t="s">
        <v>947</v>
      </c>
      <c r="Z81" s="239" t="s">
        <v>2136</v>
      </c>
      <c r="AC81" s="239" t="s">
        <v>2080</v>
      </c>
      <c r="AE81" s="239" t="s">
        <v>2146</v>
      </c>
      <c r="AF81" s="239" t="n">
        <v>1</v>
      </c>
      <c r="AH81" s="239" t="n">
        <v>0</v>
      </c>
      <c r="AI81" s="239" t="n">
        <v>126846</v>
      </c>
      <c r="AJ81" s="259" t="b">
        <f aca="false">FALSE()</f>
        <v>0</v>
      </c>
      <c r="AL81" s="239" t="s">
        <v>1632</v>
      </c>
      <c r="AM81" s="239" t="s">
        <v>1632</v>
      </c>
      <c r="AN81" s="239" t="s">
        <v>1524</v>
      </c>
      <c r="AP81" s="239" t="s">
        <v>1527</v>
      </c>
      <c r="AS81" s="239" t="n">
        <v>0</v>
      </c>
      <c r="AV81" s="239" t="n">
        <v>0</v>
      </c>
      <c r="AZ81" s="239" t="n">
        <v>126846</v>
      </c>
      <c r="BA81" s="239" t="s">
        <v>1531</v>
      </c>
      <c r="BB81" s="259" t="b">
        <f aca="false">TRUE()</f>
        <v>1</v>
      </c>
      <c r="BC81" s="239" t="n">
        <v>0</v>
      </c>
      <c r="BD81" s="239" t="n">
        <v>0</v>
      </c>
      <c r="BM81" s="239" t="n">
        <v>0</v>
      </c>
      <c r="BQ81" s="239" t="s">
        <v>1561</v>
      </c>
      <c r="BV81" s="239" t="s">
        <v>2138</v>
      </c>
      <c r="BW81" s="239" t="n">
        <v>0</v>
      </c>
      <c r="BZ81" s="259" t="b">
        <f aca="false">FALSE()</f>
        <v>0</v>
      </c>
    </row>
    <row r="82" customFormat="false" ht="13.5" hidden="false" customHeight="false" outlineLevel="0" collapsed="false">
      <c r="A82" s="258" t="n">
        <v>45747</v>
      </c>
      <c r="B82" s="258" t="n">
        <v>45747</v>
      </c>
      <c r="C82" s="239" t="n">
        <v>2.29715200000023E+018</v>
      </c>
      <c r="D82" s="239" t="s">
        <v>2083</v>
      </c>
      <c r="E82" s="239" t="n">
        <v>0</v>
      </c>
      <c r="F82" s="239" t="n">
        <v>0</v>
      </c>
      <c r="G82" s="239" t="s">
        <v>1870</v>
      </c>
      <c r="H82" s="239" t="n">
        <v>7</v>
      </c>
      <c r="J82" s="239" t="s">
        <v>1526</v>
      </c>
      <c r="K82" s="239" t="n">
        <v>1</v>
      </c>
      <c r="L82" s="239" t="n">
        <v>89795</v>
      </c>
      <c r="M82" s="239" t="n">
        <v>89795</v>
      </c>
      <c r="N82" s="239" t="n">
        <v>89795</v>
      </c>
      <c r="R82" s="239" t="n">
        <v>0</v>
      </c>
      <c r="S82" s="239" t="s">
        <v>1399</v>
      </c>
      <c r="T82" s="259" t="b">
        <f aca="false">FALSE()</f>
        <v>0</v>
      </c>
      <c r="Y82" s="239" t="s">
        <v>947</v>
      </c>
      <c r="Z82" s="239" t="s">
        <v>2136</v>
      </c>
      <c r="AC82" s="239" t="s">
        <v>2080</v>
      </c>
      <c r="AE82" s="239" t="s">
        <v>2146</v>
      </c>
      <c r="AF82" s="239" t="n">
        <v>1</v>
      </c>
      <c r="AH82" s="239" t="n">
        <v>0</v>
      </c>
      <c r="AI82" s="239" t="n">
        <v>89795</v>
      </c>
      <c r="AJ82" s="259" t="b">
        <f aca="false">FALSE()</f>
        <v>0</v>
      </c>
      <c r="AL82" s="239" t="s">
        <v>1632</v>
      </c>
      <c r="AM82" s="239" t="s">
        <v>1632</v>
      </c>
      <c r="AN82" s="239" t="s">
        <v>1524</v>
      </c>
      <c r="AP82" s="239" t="s">
        <v>1527</v>
      </c>
      <c r="AS82" s="239" t="n">
        <v>0</v>
      </c>
      <c r="AV82" s="239" t="n">
        <v>0</v>
      </c>
      <c r="AZ82" s="239" t="n">
        <v>89795</v>
      </c>
      <c r="BA82" s="239" t="s">
        <v>1531</v>
      </c>
      <c r="BB82" s="259" t="b">
        <f aca="false">TRUE()</f>
        <v>1</v>
      </c>
      <c r="BC82" s="239" t="n">
        <v>0</v>
      </c>
      <c r="BD82" s="239" t="n">
        <v>0</v>
      </c>
      <c r="BM82" s="239" t="n">
        <v>0</v>
      </c>
      <c r="BQ82" s="239" t="s">
        <v>1561</v>
      </c>
      <c r="BV82" s="239" t="s">
        <v>2138</v>
      </c>
      <c r="BW82" s="239" t="n">
        <v>0</v>
      </c>
      <c r="BZ82" s="259" t="b">
        <f aca="false">FALSE()</f>
        <v>0</v>
      </c>
    </row>
    <row r="83" customFormat="false" ht="13.5" hidden="false" customHeight="false" outlineLevel="0" collapsed="false">
      <c r="A83" s="260" t="n">
        <v>45777</v>
      </c>
      <c r="B83" s="258" t="n">
        <v>45777</v>
      </c>
      <c r="C83" s="239" t="n">
        <v>2.29715200000023E+018</v>
      </c>
      <c r="D83" s="257" t="s">
        <v>2081</v>
      </c>
      <c r="E83" s="239" t="n">
        <v>0</v>
      </c>
      <c r="F83" s="239" t="n">
        <v>0</v>
      </c>
      <c r="G83" s="239" t="s">
        <v>1870</v>
      </c>
      <c r="H83" s="239" t="s">
        <v>2216</v>
      </c>
      <c r="J83" s="239" t="s">
        <v>1526</v>
      </c>
      <c r="K83" s="239" t="n">
        <v>1</v>
      </c>
      <c r="L83" s="257" t="n">
        <v>100000</v>
      </c>
      <c r="M83" s="239" t="n">
        <v>99000</v>
      </c>
      <c r="N83" s="239" t="n">
        <v>0</v>
      </c>
      <c r="R83" s="239" t="n">
        <v>0</v>
      </c>
      <c r="S83" s="239" t="s">
        <v>1399</v>
      </c>
      <c r="T83" s="259" t="b">
        <f aca="false">FALSE()</f>
        <v>0</v>
      </c>
      <c r="Y83" s="239" t="s">
        <v>2140</v>
      </c>
      <c r="Z83" s="239" t="s">
        <v>2136</v>
      </c>
      <c r="AC83" s="257" t="s">
        <v>2080</v>
      </c>
      <c r="AE83" s="239" t="s">
        <v>2146</v>
      </c>
      <c r="AF83" s="239" t="n">
        <v>1</v>
      </c>
      <c r="AH83" s="239" t="n">
        <v>0</v>
      </c>
      <c r="AI83" s="239" t="n">
        <v>100000</v>
      </c>
      <c r="AJ83" s="259" t="b">
        <f aca="false">FALSE()</f>
        <v>0</v>
      </c>
      <c r="AL83" s="239" t="s">
        <v>1632</v>
      </c>
      <c r="AM83" s="239" t="s">
        <v>1632</v>
      </c>
      <c r="AN83" s="239" t="s">
        <v>1524</v>
      </c>
      <c r="AP83" s="239" t="s">
        <v>1531</v>
      </c>
      <c r="AQ83" s="239" t="n">
        <v>2.29715200000003E+018</v>
      </c>
      <c r="AR83" s="239" t="s">
        <v>2147</v>
      </c>
      <c r="AS83" s="239" t="n">
        <v>1</v>
      </c>
      <c r="AT83" s="239" t="s">
        <v>2148</v>
      </c>
      <c r="AU83" s="239" t="s">
        <v>2149</v>
      </c>
      <c r="AV83" s="239" t="n">
        <v>1000</v>
      </c>
      <c r="AZ83" s="239" t="n">
        <v>100000</v>
      </c>
      <c r="BA83" s="239" t="s">
        <v>1531</v>
      </c>
      <c r="BB83" s="259" t="b">
        <f aca="false">TRUE()</f>
        <v>1</v>
      </c>
      <c r="BC83" s="239" t="n">
        <v>0</v>
      </c>
      <c r="BD83" s="239" t="n">
        <v>0</v>
      </c>
      <c r="BQ83" s="239" t="s">
        <v>1561</v>
      </c>
      <c r="BV83" s="239" t="s">
        <v>2138</v>
      </c>
      <c r="BW83" s="239" t="n">
        <v>0</v>
      </c>
      <c r="BZ83" s="259" t="b">
        <f aca="false">FALSE()</f>
        <v>0</v>
      </c>
    </row>
  </sheetData>
  <autoFilter ref="A1:CN8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1" sqref="AC4:AE412 A10"/>
    </sheetView>
  </sheetViews>
  <sheetFormatPr defaultColWidth="8.73046875" defaultRowHeight="13.5" zeroHeight="false" outlineLevelRow="0" outlineLevelCol="0"/>
  <cols>
    <col collapsed="false" customWidth="true" hidden="false" outlineLevel="0" max="1" min="1" style="261" width="10.09"/>
    <col collapsed="false" customWidth="true" hidden="false" outlineLevel="0" max="2" min="2" style="261" width="15.64"/>
    <col collapsed="false" customWidth="true" hidden="false" outlineLevel="0" max="3" min="3" style="261" width="16.73"/>
    <col collapsed="false" customWidth="true" hidden="false" outlineLevel="0" max="4" min="4" style="261" width="25.73"/>
    <col collapsed="false" customWidth="true" hidden="false" outlineLevel="0" max="5" min="5" style="261" width="14.64"/>
    <col collapsed="false" customWidth="true" hidden="false" outlineLevel="0" max="6" min="6" style="261" width="12"/>
    <col collapsed="false" customWidth="true" hidden="false" outlineLevel="0" max="7" min="7" style="261" width="12.45"/>
    <col collapsed="false" customWidth="true" hidden="false" outlineLevel="0" max="8" min="8" style="261" width="16.09"/>
    <col collapsed="false" customWidth="true" hidden="false" outlineLevel="0" max="9" min="9" style="261" width="14"/>
    <col collapsed="false" customWidth="true" hidden="false" outlineLevel="0" max="10" min="10" style="261" width="14.45"/>
    <col collapsed="false" customWidth="true" hidden="false" outlineLevel="0" max="11" min="11" style="261" width="12.18"/>
    <col collapsed="false" customWidth="true" hidden="false" outlineLevel="0" max="12" min="12" style="261" width="13.27"/>
    <col collapsed="false" customWidth="true" hidden="false" outlineLevel="0" max="13" min="13" style="261" width="13.82"/>
    <col collapsed="false" customWidth="false" hidden="false" outlineLevel="0" max="16384" min="14" style="261" width="8.73"/>
  </cols>
  <sheetData>
    <row r="1" customFormat="false" ht="13.5" hidden="false" customHeight="false" outlineLevel="0" collapsed="false">
      <c r="A1" s="261" t="s">
        <v>2217</v>
      </c>
      <c r="B1" s="261" t="s">
        <v>2218</v>
      </c>
      <c r="C1" s="261" t="s">
        <v>2219</v>
      </c>
      <c r="D1" s="261" t="s">
        <v>2220</v>
      </c>
      <c r="E1" s="261" t="s">
        <v>2221</v>
      </c>
      <c r="F1" s="261" t="s">
        <v>2222</v>
      </c>
      <c r="G1" s="261" t="s">
        <v>2223</v>
      </c>
      <c r="H1" s="261" t="s">
        <v>2224</v>
      </c>
      <c r="I1" s="261" t="s">
        <v>2225</v>
      </c>
      <c r="J1" s="261" t="s">
        <v>2226</v>
      </c>
      <c r="K1" s="261" t="s">
        <v>2227</v>
      </c>
      <c r="L1" s="261" t="s">
        <v>2228</v>
      </c>
      <c r="M1" s="261" t="s">
        <v>2229</v>
      </c>
    </row>
    <row r="2" customFormat="false" ht="13.5" hidden="false" customHeight="false" outlineLevel="0" collapsed="false">
      <c r="A2" s="262" t="n">
        <v>45778</v>
      </c>
      <c r="B2" s="261" t="s">
        <v>287</v>
      </c>
      <c r="C2" s="261" t="s">
        <v>2230</v>
      </c>
      <c r="D2" s="261" t="s">
        <v>89</v>
      </c>
      <c r="E2" s="263" t="n">
        <v>2.29715E+018</v>
      </c>
      <c r="H2" s="261" t="n">
        <v>10000</v>
      </c>
      <c r="J2" s="261" t="n">
        <v>1800</v>
      </c>
      <c r="K2" s="261" t="n">
        <v>0</v>
      </c>
      <c r="L2" s="261" t="n">
        <v>0</v>
      </c>
      <c r="M2" s="261" t="n">
        <v>0</v>
      </c>
    </row>
    <row r="3" customFormat="false" ht="13.5" hidden="false" customHeight="false" outlineLevel="0" collapsed="false">
      <c r="A3" s="262" t="n">
        <v>45779</v>
      </c>
      <c r="B3" s="261" t="s">
        <v>289</v>
      </c>
      <c r="C3" s="261" t="s">
        <v>2230</v>
      </c>
      <c r="D3" s="261" t="s">
        <v>89</v>
      </c>
      <c r="E3" s="263" t="n">
        <v>2.29715E+018</v>
      </c>
      <c r="H3" s="261" t="n">
        <v>15000</v>
      </c>
      <c r="J3" s="261" t="n">
        <v>2700</v>
      </c>
      <c r="K3" s="261" t="n">
        <v>0</v>
      </c>
      <c r="L3" s="261" t="n">
        <v>0</v>
      </c>
      <c r="M3" s="261" t="n">
        <v>0</v>
      </c>
    </row>
    <row r="4" customFormat="false" ht="13.5" hidden="false" customHeight="false" outlineLevel="0" collapsed="false">
      <c r="A4" s="262" t="n">
        <v>45779</v>
      </c>
      <c r="B4" s="261" t="s">
        <v>1026</v>
      </c>
      <c r="C4" s="261" t="s">
        <v>2230</v>
      </c>
      <c r="D4" s="261" t="s">
        <v>89</v>
      </c>
      <c r="E4" s="263" t="n">
        <v>2.29715E+018</v>
      </c>
      <c r="H4" s="261" t="n">
        <v>6346.62</v>
      </c>
      <c r="J4" s="261" t="n">
        <v>0</v>
      </c>
      <c r="K4" s="261" t="n">
        <v>571.2</v>
      </c>
      <c r="L4" s="261" t="n">
        <v>571.2</v>
      </c>
      <c r="M4" s="261" t="n">
        <v>0</v>
      </c>
    </row>
    <row r="5" customFormat="false" ht="13.5" hidden="false" customHeight="false" outlineLevel="0" collapsed="false">
      <c r="A5" s="262" t="n">
        <v>45779</v>
      </c>
      <c r="B5" s="261" t="s">
        <v>290</v>
      </c>
      <c r="C5" s="261" t="s">
        <v>2230</v>
      </c>
      <c r="D5" s="261" t="s">
        <v>89</v>
      </c>
      <c r="E5" s="263" t="n">
        <v>2.29715E+018</v>
      </c>
      <c r="H5" s="261" t="n">
        <v>10000</v>
      </c>
      <c r="J5" s="261" t="n">
        <v>0</v>
      </c>
      <c r="K5" s="261" t="n">
        <v>900</v>
      </c>
      <c r="L5" s="261" t="n">
        <v>900</v>
      </c>
      <c r="M5" s="261" t="n">
        <v>0</v>
      </c>
    </row>
    <row r="6" customFormat="false" ht="13.5" hidden="false" customHeight="false" outlineLevel="0" collapsed="false">
      <c r="A6" s="262" t="n">
        <v>45779</v>
      </c>
      <c r="B6" s="264" t="s">
        <v>1027</v>
      </c>
      <c r="C6" s="261" t="s">
        <v>2230</v>
      </c>
      <c r="D6" s="261" t="s">
        <v>89</v>
      </c>
      <c r="E6" s="263" t="n">
        <v>2.29715E+018</v>
      </c>
      <c r="H6" s="261" t="n">
        <v>10000</v>
      </c>
      <c r="J6" s="261" t="n">
        <v>1800</v>
      </c>
      <c r="K6" s="261" t="n">
        <v>0</v>
      </c>
      <c r="L6" s="261" t="n">
        <v>0</v>
      </c>
      <c r="M6" s="261" t="n">
        <v>0</v>
      </c>
    </row>
    <row r="7" customFormat="false" ht="13.5" hidden="false" customHeight="false" outlineLevel="0" collapsed="false">
      <c r="A7" s="262" t="n">
        <v>45780</v>
      </c>
      <c r="B7" s="261" t="s">
        <v>294</v>
      </c>
      <c r="C7" s="261" t="s">
        <v>2230</v>
      </c>
      <c r="D7" s="261" t="s">
        <v>89</v>
      </c>
      <c r="E7" s="263" t="n">
        <v>2.29715E+018</v>
      </c>
      <c r="H7" s="261" t="n">
        <v>64800</v>
      </c>
      <c r="J7" s="261" t="n">
        <v>11664</v>
      </c>
      <c r="K7" s="261" t="n">
        <v>0</v>
      </c>
      <c r="L7" s="261" t="n">
        <v>0</v>
      </c>
      <c r="M7" s="261" t="n">
        <v>0</v>
      </c>
    </row>
    <row r="8" customFormat="false" ht="13.5" hidden="false" customHeight="false" outlineLevel="0" collapsed="false">
      <c r="A8" s="262" t="n">
        <v>45780</v>
      </c>
      <c r="B8" s="261" t="s">
        <v>292</v>
      </c>
      <c r="C8" s="261" t="s">
        <v>2230</v>
      </c>
      <c r="D8" s="261" t="s">
        <v>89</v>
      </c>
      <c r="E8" s="263" t="n">
        <v>2.29715E+018</v>
      </c>
      <c r="H8" s="261" t="n">
        <v>40667.8</v>
      </c>
      <c r="J8" s="261" t="n">
        <v>7320.2</v>
      </c>
      <c r="K8" s="261" t="n">
        <v>0</v>
      </c>
      <c r="L8" s="261" t="n">
        <v>0</v>
      </c>
      <c r="M8" s="261" t="n">
        <v>0</v>
      </c>
    </row>
    <row r="9" customFormat="false" ht="13.5" hidden="false" customHeight="false" outlineLevel="0" collapsed="false">
      <c r="A9" s="262" t="n">
        <v>45782</v>
      </c>
      <c r="B9" s="261" t="s">
        <v>1028</v>
      </c>
      <c r="C9" s="261" t="s">
        <v>2230</v>
      </c>
      <c r="D9" s="261" t="s">
        <v>89</v>
      </c>
      <c r="E9" s="263" t="n">
        <v>2.29715E+018</v>
      </c>
      <c r="H9" s="261" t="n">
        <v>5000</v>
      </c>
      <c r="J9" s="261" t="n">
        <v>0</v>
      </c>
      <c r="K9" s="261" t="n">
        <v>450</v>
      </c>
      <c r="L9" s="261" t="n">
        <v>450</v>
      </c>
      <c r="M9" s="261" t="n">
        <v>0</v>
      </c>
    </row>
    <row r="10" customFormat="false" ht="13.5" hidden="false" customHeight="false" outlineLevel="0" collapsed="false">
      <c r="A10" s="262" t="n">
        <v>45782</v>
      </c>
      <c r="B10" s="264" t="s">
        <v>1029</v>
      </c>
      <c r="C10" s="261" t="s">
        <v>2230</v>
      </c>
      <c r="D10" s="261" t="s">
        <v>89</v>
      </c>
      <c r="E10" s="263" t="n">
        <v>2.29715E+018</v>
      </c>
      <c r="H10" s="261" t="n">
        <v>30000</v>
      </c>
      <c r="J10" s="261" t="n">
        <v>5400</v>
      </c>
      <c r="K10" s="261" t="n">
        <v>0</v>
      </c>
      <c r="L10" s="261" t="n">
        <v>0</v>
      </c>
      <c r="M10" s="261" t="n">
        <v>0</v>
      </c>
    </row>
    <row r="11" customFormat="false" ht="13.5" hidden="false" customHeight="false" outlineLevel="0" collapsed="false">
      <c r="A11" s="262" t="n">
        <v>45783</v>
      </c>
      <c r="B11" s="261" t="s">
        <v>1030</v>
      </c>
      <c r="C11" s="261" t="s">
        <v>2230</v>
      </c>
      <c r="D11" s="261" t="s">
        <v>89</v>
      </c>
      <c r="E11" s="263" t="n">
        <v>2.29715E+018</v>
      </c>
      <c r="H11" s="261" t="n">
        <v>10000</v>
      </c>
      <c r="J11" s="261" t="n">
        <v>1800</v>
      </c>
      <c r="K11" s="261" t="n">
        <v>0</v>
      </c>
      <c r="L11" s="261" t="n">
        <v>0</v>
      </c>
      <c r="M11" s="261" t="n">
        <v>0</v>
      </c>
    </row>
    <row r="12" customFormat="false" ht="13.5" hidden="false" customHeight="false" outlineLevel="0" collapsed="false">
      <c r="A12" s="262" t="n">
        <v>45783</v>
      </c>
      <c r="B12" s="261" t="s">
        <v>302</v>
      </c>
      <c r="C12" s="261" t="s">
        <v>2230</v>
      </c>
      <c r="D12" s="261" t="s">
        <v>89</v>
      </c>
      <c r="E12" s="263" t="n">
        <v>2.29715E+018</v>
      </c>
      <c r="H12" s="261" t="n">
        <v>14000</v>
      </c>
      <c r="J12" s="261" t="n">
        <v>2520</v>
      </c>
      <c r="K12" s="261" t="n">
        <v>0</v>
      </c>
      <c r="L12" s="261" t="n">
        <v>0</v>
      </c>
      <c r="M12" s="261" t="n">
        <v>0</v>
      </c>
    </row>
    <row r="13" customFormat="false" ht="13.5" hidden="false" customHeight="false" outlineLevel="0" collapsed="false">
      <c r="A13" s="262" t="n">
        <v>45784</v>
      </c>
      <c r="B13" s="264" t="s">
        <v>1031</v>
      </c>
      <c r="C13" s="261" t="s">
        <v>2230</v>
      </c>
      <c r="D13" s="261" t="s">
        <v>89</v>
      </c>
      <c r="E13" s="263" t="n">
        <v>2.29715E+018</v>
      </c>
      <c r="H13" s="261" t="n">
        <v>5000</v>
      </c>
      <c r="J13" s="261" t="n">
        <v>0</v>
      </c>
      <c r="K13" s="261" t="n">
        <v>450</v>
      </c>
      <c r="L13" s="261" t="n">
        <v>450</v>
      </c>
      <c r="M13" s="261" t="n">
        <v>0</v>
      </c>
    </row>
    <row r="14" customFormat="false" ht="13.5" hidden="false" customHeight="false" outlineLevel="0" collapsed="false">
      <c r="A14" s="262" t="n">
        <v>45784</v>
      </c>
      <c r="B14" s="261" t="s">
        <v>304</v>
      </c>
      <c r="C14" s="261" t="s">
        <v>2230</v>
      </c>
      <c r="D14" s="261" t="s">
        <v>89</v>
      </c>
      <c r="E14" s="263" t="n">
        <v>2.29715E+018</v>
      </c>
      <c r="H14" s="261" t="n">
        <v>32000</v>
      </c>
      <c r="J14" s="261" t="n">
        <v>5760</v>
      </c>
      <c r="K14" s="261" t="n">
        <v>0</v>
      </c>
      <c r="L14" s="261" t="n">
        <v>0</v>
      </c>
      <c r="M14" s="261" t="n">
        <v>0</v>
      </c>
    </row>
    <row r="15" customFormat="false" ht="13.5" hidden="false" customHeight="false" outlineLevel="0" collapsed="false">
      <c r="A15" s="262" t="n">
        <v>45784</v>
      </c>
      <c r="B15" s="264" t="s">
        <v>1032</v>
      </c>
      <c r="C15" s="261" t="s">
        <v>2230</v>
      </c>
      <c r="D15" s="261" t="s">
        <v>89</v>
      </c>
      <c r="E15" s="263" t="n">
        <v>2.29715E+018</v>
      </c>
      <c r="H15" s="261" t="n">
        <v>10000</v>
      </c>
      <c r="J15" s="261" t="n">
        <v>1800</v>
      </c>
      <c r="K15" s="261" t="n">
        <v>0</v>
      </c>
      <c r="L15" s="261" t="n">
        <v>0</v>
      </c>
      <c r="M15" s="261" t="n">
        <v>0</v>
      </c>
    </row>
    <row r="16" customFormat="false" ht="13.5" hidden="false" customHeight="false" outlineLevel="0" collapsed="false">
      <c r="A16" s="262" t="n">
        <v>45785</v>
      </c>
      <c r="B16" s="261" t="s">
        <v>306</v>
      </c>
      <c r="C16" s="261" t="s">
        <v>2230</v>
      </c>
      <c r="D16" s="261" t="s">
        <v>89</v>
      </c>
      <c r="E16" s="263" t="n">
        <v>2.29715E+018</v>
      </c>
      <c r="H16" s="261" t="n">
        <v>4000</v>
      </c>
      <c r="J16" s="261" t="n">
        <v>720</v>
      </c>
      <c r="K16" s="261" t="n">
        <v>0</v>
      </c>
      <c r="L16" s="261" t="n">
        <v>0</v>
      </c>
      <c r="M16" s="261" t="n">
        <v>0</v>
      </c>
    </row>
    <row r="17" customFormat="false" ht="13.5" hidden="false" customHeight="false" outlineLevel="0" collapsed="false">
      <c r="A17" s="262" t="n">
        <v>45786</v>
      </c>
      <c r="B17" s="261" t="s">
        <v>308</v>
      </c>
      <c r="C17" s="261" t="s">
        <v>2230</v>
      </c>
      <c r="D17" s="261" t="s">
        <v>89</v>
      </c>
      <c r="E17" s="263" t="n">
        <v>2.29715E+018</v>
      </c>
      <c r="H17" s="261" t="n">
        <v>216000</v>
      </c>
      <c r="J17" s="261" t="n">
        <v>38880</v>
      </c>
      <c r="K17" s="261" t="n">
        <v>0</v>
      </c>
      <c r="L17" s="261" t="n">
        <v>0</v>
      </c>
      <c r="M17" s="261" t="n">
        <v>0</v>
      </c>
    </row>
    <row r="18" customFormat="false" ht="13.5" hidden="false" customHeight="false" outlineLevel="0" collapsed="false">
      <c r="A18" s="262" t="n">
        <v>45786</v>
      </c>
      <c r="B18" s="264" t="s">
        <v>1033</v>
      </c>
      <c r="C18" s="261" t="s">
        <v>2230</v>
      </c>
      <c r="D18" s="261" t="s">
        <v>89</v>
      </c>
      <c r="E18" s="263" t="n">
        <v>2.29715E+018</v>
      </c>
      <c r="H18" s="261" t="n">
        <v>3388.98</v>
      </c>
      <c r="J18" s="261" t="n">
        <v>610.02</v>
      </c>
      <c r="K18" s="261" t="n">
        <v>0</v>
      </c>
      <c r="L18" s="261" t="n">
        <v>0</v>
      </c>
      <c r="M18" s="261" t="n">
        <v>0</v>
      </c>
    </row>
    <row r="19" customFormat="false" ht="13.5" hidden="false" customHeight="false" outlineLevel="0" collapsed="false">
      <c r="A19" s="262" t="n">
        <v>45787</v>
      </c>
      <c r="B19" s="264" t="s">
        <v>1034</v>
      </c>
      <c r="C19" s="261" t="s">
        <v>2230</v>
      </c>
      <c r="D19" s="261" t="s">
        <v>89</v>
      </c>
      <c r="E19" s="263" t="n">
        <v>2.29715E+018</v>
      </c>
      <c r="H19" s="261" t="n">
        <v>10000</v>
      </c>
      <c r="J19" s="261" t="n">
        <v>1800</v>
      </c>
      <c r="K19" s="261" t="n">
        <v>0</v>
      </c>
      <c r="L19" s="261" t="n">
        <v>0</v>
      </c>
      <c r="M19" s="261" t="n">
        <v>0</v>
      </c>
    </row>
    <row r="20" customFormat="false" ht="13.5" hidden="false" customHeight="false" outlineLevel="0" collapsed="false">
      <c r="A20" s="262" t="n">
        <v>45787</v>
      </c>
      <c r="B20" s="264" t="s">
        <v>1035</v>
      </c>
      <c r="C20" s="261" t="s">
        <v>2230</v>
      </c>
      <c r="D20" s="261" t="s">
        <v>89</v>
      </c>
      <c r="E20" s="263" t="n">
        <v>2.29715E+018</v>
      </c>
      <c r="H20" s="261" t="n">
        <v>8729</v>
      </c>
      <c r="J20" s="261" t="n">
        <v>1571.22</v>
      </c>
      <c r="K20" s="261" t="n">
        <v>0</v>
      </c>
      <c r="L20" s="261" t="n">
        <v>0</v>
      </c>
      <c r="M20" s="261" t="n">
        <v>0</v>
      </c>
    </row>
    <row r="21" customFormat="false" ht="13.5" hidden="false" customHeight="false" outlineLevel="0" collapsed="false">
      <c r="A21" s="262" t="n">
        <v>45789</v>
      </c>
      <c r="B21" s="261" t="s">
        <v>310</v>
      </c>
      <c r="C21" s="261" t="s">
        <v>2230</v>
      </c>
      <c r="D21" s="261" t="s">
        <v>89</v>
      </c>
      <c r="E21" s="263" t="n">
        <v>2.29715E+018</v>
      </c>
      <c r="H21" s="261" t="n">
        <v>12711.87</v>
      </c>
      <c r="J21" s="261" t="n">
        <v>2288.14</v>
      </c>
      <c r="K21" s="261" t="n">
        <v>0</v>
      </c>
      <c r="L21" s="261" t="n">
        <v>0</v>
      </c>
      <c r="M21" s="261" t="n">
        <v>0</v>
      </c>
    </row>
    <row r="22" customFormat="false" ht="13.5" hidden="false" customHeight="false" outlineLevel="0" collapsed="false">
      <c r="A22" s="262" t="n">
        <v>45789</v>
      </c>
      <c r="B22" s="261" t="s">
        <v>312</v>
      </c>
      <c r="C22" s="261" t="s">
        <v>2230</v>
      </c>
      <c r="D22" s="261" t="s">
        <v>89</v>
      </c>
      <c r="E22" s="263" t="n">
        <v>2.29715E+018</v>
      </c>
      <c r="H22" s="261" t="n">
        <v>12711.87</v>
      </c>
      <c r="J22" s="261" t="n">
        <v>2288.14</v>
      </c>
      <c r="K22" s="261" t="n">
        <v>0</v>
      </c>
      <c r="L22" s="261" t="n">
        <v>0</v>
      </c>
      <c r="M22" s="261" t="n">
        <v>0</v>
      </c>
    </row>
    <row r="23" customFormat="false" ht="13.5" hidden="false" customHeight="false" outlineLevel="0" collapsed="false">
      <c r="A23" s="262" t="n">
        <v>45789</v>
      </c>
      <c r="B23" s="264" t="s">
        <v>1036</v>
      </c>
      <c r="C23" s="261" t="s">
        <v>2230</v>
      </c>
      <c r="D23" s="261" t="s">
        <v>89</v>
      </c>
      <c r="E23" s="263" t="n">
        <v>2.29715E+018</v>
      </c>
      <c r="H23" s="261" t="n">
        <v>4237.29</v>
      </c>
      <c r="J23" s="261" t="n">
        <v>0</v>
      </c>
      <c r="K23" s="261" t="n">
        <v>381.36</v>
      </c>
      <c r="L23" s="261" t="n">
        <v>381.36</v>
      </c>
      <c r="M23" s="261" t="n">
        <v>0</v>
      </c>
    </row>
    <row r="24" customFormat="false" ht="13.5" hidden="false" customHeight="false" outlineLevel="0" collapsed="false">
      <c r="A24" s="262" t="n">
        <v>45789</v>
      </c>
      <c r="B24" s="261" t="s">
        <v>314</v>
      </c>
      <c r="C24" s="261" t="s">
        <v>2230</v>
      </c>
      <c r="D24" s="261" t="s">
        <v>89</v>
      </c>
      <c r="E24" s="263" t="n">
        <v>2.29715E+018</v>
      </c>
      <c r="H24" s="261" t="n">
        <v>6000</v>
      </c>
      <c r="J24" s="261" t="n">
        <v>1080</v>
      </c>
      <c r="K24" s="261" t="n">
        <v>0</v>
      </c>
      <c r="L24" s="261" t="n">
        <v>0</v>
      </c>
      <c r="M24" s="261" t="n">
        <v>0</v>
      </c>
    </row>
    <row r="25" customFormat="false" ht="13.5" hidden="false" customHeight="false" outlineLevel="0" collapsed="false">
      <c r="A25" s="262" t="n">
        <v>45790</v>
      </c>
      <c r="B25" s="261" t="s">
        <v>315</v>
      </c>
      <c r="C25" s="261" t="s">
        <v>2230</v>
      </c>
      <c r="D25" s="261" t="s">
        <v>89</v>
      </c>
      <c r="E25" s="263" t="n">
        <v>2.29715E+018</v>
      </c>
      <c r="H25" s="261" t="n">
        <v>150000</v>
      </c>
      <c r="J25" s="261" t="n">
        <v>27000</v>
      </c>
      <c r="K25" s="261" t="n">
        <v>0</v>
      </c>
      <c r="L25" s="261" t="n">
        <v>0</v>
      </c>
      <c r="M25" s="261" t="n">
        <v>0</v>
      </c>
    </row>
    <row r="26" customFormat="false" ht="13.5" hidden="false" customHeight="false" outlineLevel="0" collapsed="false">
      <c r="A26" s="262" t="n">
        <v>45790</v>
      </c>
      <c r="B26" s="261" t="s">
        <v>321</v>
      </c>
      <c r="C26" s="261" t="s">
        <v>2230</v>
      </c>
      <c r="D26" s="261" t="s">
        <v>89</v>
      </c>
      <c r="E26" s="263" t="n">
        <v>2.29715E+018</v>
      </c>
      <c r="H26" s="261" t="n">
        <v>81000</v>
      </c>
      <c r="J26" s="261" t="n">
        <v>14580</v>
      </c>
      <c r="K26" s="261" t="n">
        <v>0</v>
      </c>
      <c r="L26" s="261" t="n">
        <v>0</v>
      </c>
      <c r="M26" s="261" t="n">
        <v>0</v>
      </c>
    </row>
    <row r="27" customFormat="false" ht="13.5" hidden="false" customHeight="false" outlineLevel="0" collapsed="false">
      <c r="A27" s="262" t="n">
        <v>45790</v>
      </c>
      <c r="B27" s="261" t="s">
        <v>317</v>
      </c>
      <c r="C27" s="261" t="s">
        <v>2230</v>
      </c>
      <c r="D27" s="261" t="s">
        <v>89</v>
      </c>
      <c r="E27" s="263" t="n">
        <v>2.29715E+018</v>
      </c>
      <c r="H27" s="261" t="n">
        <v>12000</v>
      </c>
      <c r="J27" s="261" t="n">
        <v>2160</v>
      </c>
      <c r="K27" s="261" t="n">
        <v>0</v>
      </c>
      <c r="L27" s="261" t="n">
        <v>0</v>
      </c>
      <c r="M27" s="261" t="n">
        <v>0</v>
      </c>
    </row>
    <row r="28" customFormat="false" ht="13.5" hidden="false" customHeight="false" outlineLevel="0" collapsed="false">
      <c r="A28" s="262" t="n">
        <v>45790</v>
      </c>
      <c r="B28" s="261" t="s">
        <v>319</v>
      </c>
      <c r="C28" s="261" t="s">
        <v>2230</v>
      </c>
      <c r="D28" s="261" t="s">
        <v>89</v>
      </c>
      <c r="E28" s="263" t="n">
        <v>2.29715E+018</v>
      </c>
      <c r="H28" s="261" t="n">
        <v>19067.8</v>
      </c>
      <c r="J28" s="261" t="n">
        <v>3432.2</v>
      </c>
      <c r="K28" s="261" t="n">
        <v>0</v>
      </c>
      <c r="L28" s="261" t="n">
        <v>0</v>
      </c>
      <c r="M28" s="261" t="n">
        <v>0</v>
      </c>
    </row>
    <row r="29" customFormat="false" ht="13.5" hidden="false" customHeight="false" outlineLevel="0" collapsed="false">
      <c r="A29" s="262" t="n">
        <v>45791</v>
      </c>
      <c r="B29" s="261" t="s">
        <v>323</v>
      </c>
      <c r="C29" s="261" t="s">
        <v>2230</v>
      </c>
      <c r="D29" s="261" t="s">
        <v>89</v>
      </c>
      <c r="E29" s="263" t="n">
        <v>2.29715E+018</v>
      </c>
      <c r="H29" s="261" t="n">
        <v>20000</v>
      </c>
      <c r="J29" s="261" t="n">
        <v>3600</v>
      </c>
      <c r="K29" s="261" t="n">
        <v>0</v>
      </c>
      <c r="L29" s="261" t="n">
        <v>0</v>
      </c>
      <c r="M29" s="261" t="n">
        <v>0</v>
      </c>
    </row>
    <row r="30" customFormat="false" ht="13.5" hidden="false" customHeight="false" outlineLevel="0" collapsed="false">
      <c r="A30" s="262" t="n">
        <v>45792</v>
      </c>
      <c r="B30" s="261" t="s">
        <v>325</v>
      </c>
      <c r="C30" s="261" t="s">
        <v>2230</v>
      </c>
      <c r="D30" s="261" t="s">
        <v>89</v>
      </c>
      <c r="E30" s="263" t="n">
        <v>2.29715E+018</v>
      </c>
      <c r="H30" s="261" t="n">
        <v>100000</v>
      </c>
      <c r="J30" s="261" t="n">
        <v>18000</v>
      </c>
      <c r="K30" s="261" t="n">
        <v>0</v>
      </c>
      <c r="L30" s="261" t="n">
        <v>0</v>
      </c>
      <c r="M30" s="261" t="n">
        <v>0</v>
      </c>
    </row>
    <row r="31" customFormat="false" ht="13.5" hidden="false" customHeight="false" outlineLevel="0" collapsed="false">
      <c r="A31" s="262" t="n">
        <v>45792</v>
      </c>
      <c r="B31" s="264" t="s">
        <v>1038</v>
      </c>
      <c r="C31" s="261" t="s">
        <v>2230</v>
      </c>
      <c r="D31" s="261" t="s">
        <v>89</v>
      </c>
      <c r="E31" s="263" t="n">
        <v>2.29715E+018</v>
      </c>
      <c r="H31" s="261" t="n">
        <v>16950</v>
      </c>
      <c r="J31" s="261" t="n">
        <v>3051</v>
      </c>
      <c r="K31" s="261" t="n">
        <v>0</v>
      </c>
      <c r="L31" s="261" t="n">
        <v>0</v>
      </c>
      <c r="M31" s="261" t="n">
        <v>0</v>
      </c>
    </row>
    <row r="32" customFormat="false" ht="13.5" hidden="false" customHeight="false" outlineLevel="0" collapsed="false">
      <c r="A32" s="262" t="n">
        <v>45792</v>
      </c>
      <c r="B32" s="264" t="s">
        <v>1037</v>
      </c>
      <c r="C32" s="261" t="s">
        <v>2230</v>
      </c>
      <c r="D32" s="261" t="s">
        <v>89</v>
      </c>
      <c r="E32" s="263" t="n">
        <v>2.29715E+018</v>
      </c>
      <c r="H32" s="261" t="n">
        <v>150000</v>
      </c>
      <c r="J32" s="261" t="n">
        <v>27000</v>
      </c>
      <c r="K32" s="261" t="n">
        <v>0</v>
      </c>
      <c r="L32" s="261" t="n">
        <v>0</v>
      </c>
      <c r="M32" s="261" t="n">
        <v>0</v>
      </c>
    </row>
    <row r="33" customFormat="false" ht="13.5" hidden="false" customHeight="false" outlineLevel="0" collapsed="false">
      <c r="A33" s="262" t="n">
        <v>45793</v>
      </c>
      <c r="B33" s="264" t="s">
        <v>1039</v>
      </c>
      <c r="C33" s="261" t="s">
        <v>2230</v>
      </c>
      <c r="D33" s="261" t="s">
        <v>89</v>
      </c>
      <c r="E33" s="263" t="n">
        <v>2.29715E+018</v>
      </c>
      <c r="H33" s="261" t="n">
        <v>10000</v>
      </c>
      <c r="J33" s="261" t="n">
        <v>1800</v>
      </c>
      <c r="K33" s="261" t="n">
        <v>0</v>
      </c>
      <c r="L33" s="261" t="n">
        <v>0</v>
      </c>
      <c r="M33" s="261" t="n">
        <v>0</v>
      </c>
    </row>
    <row r="34" customFormat="false" ht="13.5" hidden="false" customHeight="false" outlineLevel="0" collapsed="false">
      <c r="A34" s="262" t="n">
        <v>45793</v>
      </c>
      <c r="B34" s="261" t="s">
        <v>327</v>
      </c>
      <c r="C34" s="261" t="s">
        <v>2230</v>
      </c>
      <c r="D34" s="261" t="s">
        <v>89</v>
      </c>
      <c r="E34" s="263" t="n">
        <v>2.29715E+018</v>
      </c>
      <c r="H34" s="261" t="n">
        <v>55000</v>
      </c>
      <c r="J34" s="261" t="n">
        <v>9900</v>
      </c>
      <c r="K34" s="261" t="n">
        <v>0</v>
      </c>
      <c r="L34" s="261" t="n">
        <v>0</v>
      </c>
      <c r="M34" s="261" t="n">
        <v>0</v>
      </c>
    </row>
    <row r="35" customFormat="false" ht="13.5" hidden="false" customHeight="false" outlineLevel="0" collapsed="false">
      <c r="A35" s="262" t="n">
        <v>45793</v>
      </c>
      <c r="B35" s="261" t="s">
        <v>329</v>
      </c>
      <c r="C35" s="261" t="s">
        <v>2230</v>
      </c>
      <c r="D35" s="261" t="s">
        <v>89</v>
      </c>
      <c r="E35" s="263" t="n">
        <v>2.29715E+018</v>
      </c>
      <c r="H35" s="261" t="n">
        <v>4000</v>
      </c>
      <c r="J35" s="261" t="n">
        <v>720</v>
      </c>
      <c r="K35" s="261" t="n">
        <v>0</v>
      </c>
      <c r="L35" s="261" t="n">
        <v>0</v>
      </c>
      <c r="M35" s="261" t="n">
        <v>0</v>
      </c>
    </row>
    <row r="36" customFormat="false" ht="13.5" hidden="false" customHeight="false" outlineLevel="0" collapsed="false">
      <c r="A36" s="262" t="n">
        <v>45796</v>
      </c>
      <c r="B36" s="261" t="s">
        <v>1040</v>
      </c>
      <c r="C36" s="261" t="s">
        <v>2230</v>
      </c>
      <c r="D36" s="261" t="s">
        <v>89</v>
      </c>
      <c r="E36" s="263" t="n">
        <v>2.29715E+018</v>
      </c>
      <c r="H36" s="261" t="n">
        <v>92540</v>
      </c>
      <c r="J36" s="261" t="n">
        <v>16657.2</v>
      </c>
      <c r="K36" s="261" t="n">
        <v>0</v>
      </c>
      <c r="L36" s="261" t="n">
        <v>0</v>
      </c>
      <c r="M36" s="261" t="n">
        <v>0</v>
      </c>
    </row>
    <row r="37" customFormat="false" ht="13.5" hidden="false" customHeight="false" outlineLevel="0" collapsed="false">
      <c r="A37" s="262" t="n">
        <v>45797</v>
      </c>
      <c r="B37" s="261" t="s">
        <v>340</v>
      </c>
      <c r="C37" s="261" t="s">
        <v>2230</v>
      </c>
      <c r="D37" s="261" t="s">
        <v>89</v>
      </c>
      <c r="E37" s="263" t="n">
        <v>2.29715E+018</v>
      </c>
      <c r="H37" s="261" t="n">
        <v>36450</v>
      </c>
      <c r="J37" s="261" t="n">
        <v>6561</v>
      </c>
      <c r="K37" s="261" t="n">
        <v>0</v>
      </c>
      <c r="L37" s="261" t="n">
        <v>0</v>
      </c>
      <c r="M37" s="261" t="n">
        <v>0</v>
      </c>
    </row>
    <row r="38" customFormat="false" ht="13.5" hidden="false" customHeight="false" outlineLevel="0" collapsed="false">
      <c r="A38" s="262" t="n">
        <v>45797</v>
      </c>
      <c r="B38" s="261" t="s">
        <v>342</v>
      </c>
      <c r="C38" s="261" t="s">
        <v>2230</v>
      </c>
      <c r="D38" s="261" t="s">
        <v>89</v>
      </c>
      <c r="E38" s="263" t="n">
        <v>2.29715E+018</v>
      </c>
      <c r="H38" s="261" t="n">
        <v>255000</v>
      </c>
      <c r="J38" s="261" t="n">
        <v>45900</v>
      </c>
      <c r="K38" s="261" t="n">
        <v>0</v>
      </c>
      <c r="L38" s="261" t="n">
        <v>0</v>
      </c>
      <c r="M38" s="261" t="n">
        <v>0</v>
      </c>
    </row>
    <row r="39" customFormat="false" ht="13.5" hidden="false" customHeight="false" outlineLevel="0" collapsed="false">
      <c r="A39" s="262" t="n">
        <v>45797</v>
      </c>
      <c r="B39" s="261" t="s">
        <v>334</v>
      </c>
      <c r="C39" s="261" t="s">
        <v>2230</v>
      </c>
      <c r="D39" s="261" t="s">
        <v>89</v>
      </c>
      <c r="E39" s="263" t="n">
        <v>2.29715E+018</v>
      </c>
      <c r="H39" s="261" t="n">
        <v>36450</v>
      </c>
      <c r="J39" s="261" t="n">
        <v>6561</v>
      </c>
      <c r="K39" s="261" t="n">
        <v>0</v>
      </c>
      <c r="L39" s="261" t="n">
        <v>0</v>
      </c>
      <c r="M39" s="261" t="n">
        <v>0</v>
      </c>
    </row>
    <row r="40" customFormat="false" ht="13.5" hidden="false" customHeight="false" outlineLevel="0" collapsed="false">
      <c r="A40" s="262" t="n">
        <v>45797</v>
      </c>
      <c r="B40" s="261" t="s">
        <v>336</v>
      </c>
      <c r="C40" s="261" t="s">
        <v>2230</v>
      </c>
      <c r="D40" s="261" t="s">
        <v>89</v>
      </c>
      <c r="E40" s="263" t="n">
        <v>2.29715E+018</v>
      </c>
      <c r="H40" s="261" t="n">
        <v>36450</v>
      </c>
      <c r="J40" s="261" t="n">
        <v>6561</v>
      </c>
      <c r="K40" s="261" t="n">
        <v>0</v>
      </c>
      <c r="L40" s="261" t="n">
        <v>0</v>
      </c>
      <c r="M40" s="261" t="n">
        <v>0</v>
      </c>
    </row>
    <row r="41" customFormat="false" ht="13.5" hidden="false" customHeight="false" outlineLevel="0" collapsed="false">
      <c r="A41" s="262" t="n">
        <v>45797</v>
      </c>
      <c r="B41" s="261" t="s">
        <v>338</v>
      </c>
      <c r="C41" s="261" t="s">
        <v>2230</v>
      </c>
      <c r="D41" s="261" t="s">
        <v>89</v>
      </c>
      <c r="E41" s="263" t="n">
        <v>2.29715E+018</v>
      </c>
      <c r="H41" s="261" t="n">
        <v>36450</v>
      </c>
      <c r="J41" s="261" t="n">
        <v>6561</v>
      </c>
      <c r="K41" s="261" t="n">
        <v>0</v>
      </c>
      <c r="L41" s="261" t="n">
        <v>0</v>
      </c>
      <c r="M41" s="261" t="n">
        <v>0</v>
      </c>
    </row>
    <row r="42" customFormat="false" ht="13.5" hidden="false" customHeight="false" outlineLevel="0" collapsed="false">
      <c r="A42" s="262" t="n">
        <v>45798</v>
      </c>
      <c r="B42" s="261" t="s">
        <v>1042</v>
      </c>
      <c r="C42" s="261" t="s">
        <v>2230</v>
      </c>
      <c r="D42" s="261" t="s">
        <v>89</v>
      </c>
      <c r="E42" s="263" t="n">
        <v>2.29715E+018</v>
      </c>
      <c r="H42" s="261" t="n">
        <v>10000</v>
      </c>
      <c r="J42" s="261" t="n">
        <v>1800</v>
      </c>
      <c r="K42" s="261" t="n">
        <v>0</v>
      </c>
      <c r="L42" s="261" t="n">
        <v>0</v>
      </c>
      <c r="M42" s="261" t="n">
        <v>0</v>
      </c>
    </row>
    <row r="43" customFormat="false" ht="13.5" hidden="false" customHeight="false" outlineLevel="0" collapsed="false">
      <c r="A43" s="262" t="n">
        <v>45800</v>
      </c>
      <c r="B43" s="261" t="s">
        <v>348</v>
      </c>
      <c r="C43" s="261" t="s">
        <v>2230</v>
      </c>
      <c r="D43" s="261" t="s">
        <v>89</v>
      </c>
      <c r="E43" s="263" t="n">
        <v>2.29715E+018</v>
      </c>
      <c r="H43" s="261" t="n">
        <v>144000</v>
      </c>
      <c r="J43" s="261" t="n">
        <v>25920</v>
      </c>
      <c r="K43" s="261" t="n">
        <v>0</v>
      </c>
      <c r="L43" s="261" t="n">
        <v>0</v>
      </c>
      <c r="M43" s="261" t="n">
        <v>0</v>
      </c>
    </row>
    <row r="44" customFormat="false" ht="13.5" hidden="false" customHeight="false" outlineLevel="0" collapsed="false">
      <c r="A44" s="262" t="n">
        <v>45800</v>
      </c>
      <c r="B44" s="264" t="s">
        <v>1043</v>
      </c>
      <c r="C44" s="261" t="s">
        <v>2230</v>
      </c>
      <c r="D44" s="261" t="s">
        <v>89</v>
      </c>
      <c r="E44" s="263" t="n">
        <v>2.29715E+018</v>
      </c>
      <c r="H44" s="261" t="n">
        <v>15000</v>
      </c>
      <c r="J44" s="261" t="n">
        <v>2700</v>
      </c>
      <c r="K44" s="261" t="n">
        <v>0</v>
      </c>
      <c r="L44" s="261" t="n">
        <v>0</v>
      </c>
      <c r="M44" s="261" t="n">
        <v>0</v>
      </c>
    </row>
    <row r="45" customFormat="false" ht="13.5" hidden="false" customHeight="false" outlineLevel="0" collapsed="false">
      <c r="A45" s="262" t="n">
        <v>45800</v>
      </c>
      <c r="B45" s="261" t="s">
        <v>347</v>
      </c>
      <c r="C45" s="261" t="s">
        <v>2230</v>
      </c>
      <c r="D45" s="261" t="s">
        <v>89</v>
      </c>
      <c r="E45" s="263" t="n">
        <v>2.29715E+018</v>
      </c>
      <c r="H45" s="261" t="n">
        <v>5000</v>
      </c>
      <c r="J45" s="261" t="n">
        <v>900</v>
      </c>
      <c r="K45" s="261" t="n">
        <v>0</v>
      </c>
      <c r="L45" s="261" t="n">
        <v>0</v>
      </c>
      <c r="M45" s="261" t="n">
        <v>0</v>
      </c>
    </row>
    <row r="46" customFormat="false" ht="13.5" hidden="false" customHeight="false" outlineLevel="0" collapsed="false">
      <c r="A46" s="262" t="n">
        <v>45803</v>
      </c>
      <c r="B46" s="261" t="s">
        <v>1044</v>
      </c>
      <c r="C46" s="261" t="s">
        <v>2230</v>
      </c>
      <c r="D46" s="261" t="s">
        <v>89</v>
      </c>
      <c r="E46" s="263" t="n">
        <v>2.29715E+018</v>
      </c>
      <c r="H46" s="261" t="n">
        <v>12000</v>
      </c>
      <c r="J46" s="261" t="n">
        <v>2160</v>
      </c>
      <c r="K46" s="261" t="n">
        <v>0</v>
      </c>
      <c r="L46" s="261" t="n">
        <v>0</v>
      </c>
      <c r="M46" s="261" t="n">
        <v>0</v>
      </c>
    </row>
    <row r="47" customFormat="false" ht="13.5" hidden="false" customHeight="false" outlineLevel="0" collapsed="false">
      <c r="A47" s="262" t="n">
        <v>45803</v>
      </c>
      <c r="B47" s="261" t="s">
        <v>1045</v>
      </c>
      <c r="C47" s="261" t="s">
        <v>2230</v>
      </c>
      <c r="D47" s="261" t="s">
        <v>89</v>
      </c>
      <c r="E47" s="263" t="n">
        <v>2.29715E+018</v>
      </c>
      <c r="H47" s="261" t="n">
        <v>44915.5</v>
      </c>
      <c r="J47" s="261" t="n">
        <v>8084.79</v>
      </c>
      <c r="K47" s="261" t="n">
        <v>0</v>
      </c>
      <c r="L47" s="261" t="n">
        <v>0</v>
      </c>
      <c r="M47" s="261" t="n">
        <v>0</v>
      </c>
    </row>
    <row r="48" customFormat="false" ht="13.5" hidden="false" customHeight="false" outlineLevel="0" collapsed="false">
      <c r="A48" s="262" t="n">
        <v>45803</v>
      </c>
      <c r="B48" s="261" t="s">
        <v>353</v>
      </c>
      <c r="C48" s="261" t="s">
        <v>2230</v>
      </c>
      <c r="D48" s="261" t="s">
        <v>89</v>
      </c>
      <c r="E48" s="263" t="n">
        <v>2.29715E+018</v>
      </c>
      <c r="H48" s="261" t="n">
        <v>70000</v>
      </c>
      <c r="J48" s="261" t="n">
        <v>12600</v>
      </c>
      <c r="K48" s="261" t="n">
        <v>0</v>
      </c>
      <c r="L48" s="261" t="n">
        <v>0</v>
      </c>
      <c r="M48" s="261" t="n">
        <v>0</v>
      </c>
    </row>
    <row r="49" customFormat="false" ht="13.5" hidden="false" customHeight="false" outlineLevel="0" collapsed="false">
      <c r="A49" s="262" t="n">
        <v>45803</v>
      </c>
      <c r="B49" s="261" t="s">
        <v>357</v>
      </c>
      <c r="C49" s="261" t="s">
        <v>2230</v>
      </c>
      <c r="D49" s="261" t="s">
        <v>89</v>
      </c>
      <c r="E49" s="263" t="n">
        <v>2.29715E+018</v>
      </c>
      <c r="H49" s="261" t="n">
        <v>59322.03</v>
      </c>
      <c r="J49" s="261" t="n">
        <v>10677.97</v>
      </c>
      <c r="K49" s="261" t="n">
        <v>0</v>
      </c>
      <c r="L49" s="261" t="n">
        <v>0</v>
      </c>
      <c r="M49" s="261" t="n">
        <v>0</v>
      </c>
    </row>
    <row r="50" customFormat="false" ht="13.5" hidden="false" customHeight="false" outlineLevel="0" collapsed="false">
      <c r="A50" s="262" t="n">
        <v>45803</v>
      </c>
      <c r="B50" s="261" t="s">
        <v>349</v>
      </c>
      <c r="C50" s="261" t="s">
        <v>2230</v>
      </c>
      <c r="D50" s="261" t="s">
        <v>89</v>
      </c>
      <c r="E50" s="263" t="n">
        <v>2.29715E+018</v>
      </c>
      <c r="H50" s="261" t="n">
        <v>137288.14</v>
      </c>
      <c r="J50" s="261" t="n">
        <v>24711.87</v>
      </c>
      <c r="K50" s="261" t="n">
        <v>0</v>
      </c>
      <c r="L50" s="261" t="n">
        <v>0</v>
      </c>
      <c r="M50" s="261" t="n">
        <v>0</v>
      </c>
    </row>
    <row r="51" customFormat="false" ht="13.5" hidden="false" customHeight="false" outlineLevel="0" collapsed="false">
      <c r="A51" s="262" t="n">
        <v>45803</v>
      </c>
      <c r="B51" s="261" t="s">
        <v>351</v>
      </c>
      <c r="C51" s="261" t="s">
        <v>2230</v>
      </c>
      <c r="D51" s="261" t="s">
        <v>89</v>
      </c>
      <c r="E51" s="263" t="n">
        <v>2.29715E+018</v>
      </c>
      <c r="H51" s="261" t="n">
        <v>37800</v>
      </c>
      <c r="J51" s="261" t="n">
        <v>0</v>
      </c>
      <c r="K51" s="261" t="n">
        <v>3402</v>
      </c>
      <c r="L51" s="261" t="n">
        <v>3402</v>
      </c>
      <c r="M51" s="261" t="n">
        <v>0</v>
      </c>
    </row>
    <row r="52" customFormat="false" ht="13.5" hidden="false" customHeight="false" outlineLevel="0" collapsed="false">
      <c r="A52" s="262" t="n">
        <v>45803</v>
      </c>
      <c r="B52" s="261" t="s">
        <v>355</v>
      </c>
      <c r="C52" s="261" t="s">
        <v>2230</v>
      </c>
      <c r="D52" s="261" t="s">
        <v>89</v>
      </c>
      <c r="E52" s="263" t="n">
        <v>2.29715E+018</v>
      </c>
      <c r="H52" s="261" t="n">
        <v>10000</v>
      </c>
      <c r="J52" s="261" t="n">
        <v>1800</v>
      </c>
      <c r="K52" s="261" t="n">
        <v>0</v>
      </c>
      <c r="L52" s="261" t="n">
        <v>0</v>
      </c>
      <c r="M52" s="261" t="n">
        <v>0</v>
      </c>
    </row>
    <row r="53" customFormat="false" ht="13.5" hidden="false" customHeight="false" outlineLevel="0" collapsed="false">
      <c r="A53" s="262" t="n">
        <v>45805</v>
      </c>
      <c r="B53" s="264" t="s">
        <v>1046</v>
      </c>
      <c r="C53" s="261" t="s">
        <v>2230</v>
      </c>
      <c r="D53" s="261" t="s">
        <v>89</v>
      </c>
      <c r="E53" s="263" t="n">
        <v>2.29715E+018</v>
      </c>
      <c r="H53" s="261" t="n">
        <v>16949.15</v>
      </c>
      <c r="J53" s="261" t="n">
        <v>3050.85</v>
      </c>
      <c r="K53" s="261" t="n">
        <v>0</v>
      </c>
      <c r="L53" s="261" t="n">
        <v>0</v>
      </c>
      <c r="M53" s="261" t="n">
        <v>0</v>
      </c>
    </row>
    <row r="54" customFormat="false" ht="13.5" hidden="false" customHeight="false" outlineLevel="0" collapsed="false">
      <c r="A54" s="262" t="n">
        <v>45805</v>
      </c>
      <c r="B54" s="261" t="s">
        <v>359</v>
      </c>
      <c r="C54" s="261" t="s">
        <v>2230</v>
      </c>
      <c r="D54" s="261" t="s">
        <v>89</v>
      </c>
      <c r="E54" s="263" t="n">
        <v>2.29715E+018</v>
      </c>
      <c r="H54" s="261" t="n">
        <v>20000</v>
      </c>
      <c r="J54" s="261" t="n">
        <v>3600</v>
      </c>
      <c r="K54" s="261" t="n">
        <v>0</v>
      </c>
      <c r="L54" s="261" t="n">
        <v>0</v>
      </c>
      <c r="M54" s="261" t="n">
        <v>0</v>
      </c>
    </row>
    <row r="55" customFormat="false" ht="13.5" hidden="false" customHeight="false" outlineLevel="0" collapsed="false">
      <c r="A55" s="262" t="n">
        <v>45806</v>
      </c>
      <c r="B55" s="261" t="s">
        <v>365</v>
      </c>
      <c r="C55" s="261" t="s">
        <v>2230</v>
      </c>
      <c r="D55" s="261" t="s">
        <v>89</v>
      </c>
      <c r="E55" s="263" t="n">
        <v>2.29715E+018</v>
      </c>
      <c r="H55" s="261" t="n">
        <v>20000</v>
      </c>
      <c r="J55" s="261" t="n">
        <v>3600</v>
      </c>
      <c r="K55" s="261" t="n">
        <v>0</v>
      </c>
      <c r="L55" s="261" t="n">
        <v>0</v>
      </c>
      <c r="M55" s="261" t="n">
        <v>0</v>
      </c>
    </row>
    <row r="56" customFormat="false" ht="13.5" hidden="false" customHeight="false" outlineLevel="0" collapsed="false">
      <c r="A56" s="262" t="n">
        <v>45806</v>
      </c>
      <c r="B56" s="261" t="s">
        <v>361</v>
      </c>
      <c r="C56" s="261" t="s">
        <v>2230</v>
      </c>
      <c r="D56" s="261" t="s">
        <v>89</v>
      </c>
      <c r="E56" s="263" t="n">
        <v>2.29715E+018</v>
      </c>
      <c r="H56" s="261" t="n">
        <v>5000</v>
      </c>
      <c r="J56" s="261" t="n">
        <v>900</v>
      </c>
      <c r="K56" s="261" t="n">
        <v>0</v>
      </c>
      <c r="L56" s="261" t="n">
        <v>0</v>
      </c>
      <c r="M56" s="261" t="n">
        <v>0</v>
      </c>
    </row>
    <row r="57" customFormat="false" ht="13.5" hidden="false" customHeight="false" outlineLevel="0" collapsed="false">
      <c r="A57" s="262" t="n">
        <v>45806</v>
      </c>
      <c r="B57" s="264" t="s">
        <v>1047</v>
      </c>
      <c r="C57" s="261" t="s">
        <v>2230</v>
      </c>
      <c r="D57" s="261" t="s">
        <v>89</v>
      </c>
      <c r="E57" s="263" t="n">
        <v>2.29715E+018</v>
      </c>
      <c r="H57" s="261" t="n">
        <v>6779.66</v>
      </c>
      <c r="J57" s="261" t="n">
        <v>1220.34</v>
      </c>
      <c r="K57" s="261" t="n">
        <v>0</v>
      </c>
      <c r="L57" s="261" t="n">
        <v>0</v>
      </c>
      <c r="M57" s="261" t="n">
        <v>0</v>
      </c>
    </row>
    <row r="58" customFormat="false" ht="13.5" hidden="false" customHeight="false" outlineLevel="0" collapsed="false">
      <c r="A58" s="262" t="n">
        <v>45806</v>
      </c>
      <c r="B58" s="261" t="s">
        <v>371</v>
      </c>
      <c r="C58" s="261" t="s">
        <v>2230</v>
      </c>
      <c r="D58" s="261" t="s">
        <v>89</v>
      </c>
      <c r="E58" s="263" t="n">
        <v>2.29715E+018</v>
      </c>
      <c r="H58" s="261" t="n">
        <v>15000</v>
      </c>
      <c r="J58" s="261" t="n">
        <v>2700</v>
      </c>
      <c r="K58" s="261" t="n">
        <v>0</v>
      </c>
      <c r="L58" s="261" t="n">
        <v>0</v>
      </c>
      <c r="M58" s="261" t="n">
        <v>0</v>
      </c>
    </row>
    <row r="59" customFormat="false" ht="13.5" hidden="false" customHeight="false" outlineLevel="0" collapsed="false">
      <c r="A59" s="262" t="n">
        <v>45806</v>
      </c>
      <c r="B59" s="261" t="s">
        <v>369</v>
      </c>
      <c r="C59" s="261" t="s">
        <v>2230</v>
      </c>
      <c r="D59" s="261" t="s">
        <v>89</v>
      </c>
      <c r="E59" s="263" t="n">
        <v>2.29715E+018</v>
      </c>
      <c r="H59" s="261" t="n">
        <v>831384</v>
      </c>
      <c r="J59" s="261" t="n">
        <v>149649.12</v>
      </c>
      <c r="K59" s="261" t="n">
        <v>0</v>
      </c>
      <c r="L59" s="261" t="n">
        <v>0</v>
      </c>
      <c r="M59" s="261" t="n">
        <v>0</v>
      </c>
    </row>
    <row r="60" customFormat="false" ht="13.5" hidden="false" customHeight="false" outlineLevel="0" collapsed="false">
      <c r="A60" s="262" t="n">
        <v>45806</v>
      </c>
      <c r="B60" s="261" t="s">
        <v>363</v>
      </c>
      <c r="C60" s="261" t="s">
        <v>2230</v>
      </c>
      <c r="D60" s="261" t="s">
        <v>89</v>
      </c>
      <c r="E60" s="263" t="n">
        <v>2.29715E+018</v>
      </c>
      <c r="H60" s="261" t="n">
        <v>70000</v>
      </c>
      <c r="J60" s="261" t="n">
        <v>12600</v>
      </c>
      <c r="K60" s="261" t="n">
        <v>0</v>
      </c>
      <c r="L60" s="261" t="n">
        <v>0</v>
      </c>
      <c r="M60" s="261" t="n">
        <v>0</v>
      </c>
    </row>
    <row r="61" customFormat="false" ht="13.5" hidden="false" customHeight="false" outlineLevel="0" collapsed="false">
      <c r="A61" s="262" t="n">
        <v>45806</v>
      </c>
      <c r="B61" s="261" t="s">
        <v>367</v>
      </c>
      <c r="C61" s="261" t="s">
        <v>2230</v>
      </c>
      <c r="D61" s="261" t="s">
        <v>89</v>
      </c>
      <c r="E61" s="263" t="n">
        <v>2.29715E+018</v>
      </c>
      <c r="H61" s="261" t="n">
        <v>124200</v>
      </c>
      <c r="J61" s="261" t="n">
        <v>22356</v>
      </c>
      <c r="K61" s="261" t="n">
        <v>0</v>
      </c>
      <c r="L61" s="261" t="n">
        <v>0</v>
      </c>
      <c r="M61" s="261" t="n">
        <v>0</v>
      </c>
    </row>
    <row r="62" customFormat="false" ht="13.5" hidden="false" customHeight="false" outlineLevel="0" collapsed="false">
      <c r="A62" s="262" t="n">
        <v>45807</v>
      </c>
      <c r="B62" s="261" t="s">
        <v>1049</v>
      </c>
      <c r="C62" s="261" t="s">
        <v>2230</v>
      </c>
      <c r="D62" s="261" t="s">
        <v>89</v>
      </c>
      <c r="E62" s="263" t="n">
        <v>2.29715E+018</v>
      </c>
      <c r="H62" s="261" t="n">
        <v>9000</v>
      </c>
      <c r="J62" s="261" t="n">
        <v>1620</v>
      </c>
      <c r="K62" s="261" t="n">
        <v>0</v>
      </c>
      <c r="L62" s="261" t="n">
        <v>0</v>
      </c>
      <c r="M62" s="261" t="n">
        <v>0</v>
      </c>
    </row>
    <row r="63" customFormat="false" ht="13.5" hidden="false" customHeight="false" outlineLevel="0" collapsed="false">
      <c r="A63" s="262" t="n">
        <v>45807</v>
      </c>
      <c r="B63" s="261" t="s">
        <v>373</v>
      </c>
      <c r="C63" s="261" t="s">
        <v>2230</v>
      </c>
      <c r="D63" s="261" t="s">
        <v>89</v>
      </c>
      <c r="E63" s="263" t="n">
        <v>2.29715E+018</v>
      </c>
      <c r="H63" s="261" t="n">
        <v>1458000</v>
      </c>
      <c r="J63" s="261" t="n">
        <v>262440</v>
      </c>
      <c r="K63" s="261" t="n">
        <v>0</v>
      </c>
      <c r="L63" s="261" t="n">
        <v>0</v>
      </c>
      <c r="M63" s="261" t="n">
        <v>0</v>
      </c>
    </row>
    <row r="64" customFormat="false" ht="13.5" hidden="false" customHeight="false" outlineLevel="0" collapsed="false">
      <c r="A64" s="262" t="n">
        <v>45807</v>
      </c>
      <c r="B64" s="261" t="s">
        <v>380</v>
      </c>
      <c r="C64" s="261" t="s">
        <v>2230</v>
      </c>
      <c r="D64" s="261" t="s">
        <v>89</v>
      </c>
      <c r="E64" s="263" t="n">
        <v>2.29715E+018</v>
      </c>
      <c r="H64" s="261" t="n">
        <v>27000</v>
      </c>
      <c r="J64" s="261" t="n">
        <v>4860</v>
      </c>
      <c r="K64" s="261" t="n">
        <v>0</v>
      </c>
      <c r="L64" s="261" t="n">
        <v>0</v>
      </c>
      <c r="M64" s="261" t="n">
        <v>0</v>
      </c>
    </row>
    <row r="65" customFormat="false" ht="13.5" hidden="false" customHeight="false" outlineLevel="0" collapsed="false">
      <c r="A65" s="262" t="n">
        <v>45808</v>
      </c>
      <c r="B65" s="261" t="s">
        <v>382</v>
      </c>
      <c r="C65" s="261" t="s">
        <v>2230</v>
      </c>
      <c r="D65" s="261" t="s">
        <v>89</v>
      </c>
      <c r="E65" s="263" t="n">
        <v>2.29715E+018</v>
      </c>
      <c r="H65" s="261" t="n">
        <v>25000</v>
      </c>
      <c r="J65" s="261" t="n">
        <v>4500</v>
      </c>
      <c r="K65" s="261" t="n">
        <v>0</v>
      </c>
      <c r="L65" s="261" t="n">
        <v>0</v>
      </c>
      <c r="M65" s="261" t="n">
        <v>0</v>
      </c>
    </row>
    <row r="66" customFormat="false" ht="13.5" hidden="false" customHeight="false" outlineLevel="0" collapsed="false">
      <c r="A66" s="262" t="n">
        <v>45808</v>
      </c>
      <c r="B66" s="261" t="s">
        <v>1051</v>
      </c>
      <c r="C66" s="261" t="s">
        <v>2231</v>
      </c>
      <c r="D66" s="261" t="s">
        <v>2232</v>
      </c>
      <c r="E66" s="263" t="n">
        <v>2.29715E+018</v>
      </c>
      <c r="H66" s="261" t="n">
        <v>-22881.36</v>
      </c>
      <c r="J66" s="261" t="n">
        <v>-4118.64</v>
      </c>
      <c r="K66" s="261" t="n">
        <v>0</v>
      </c>
      <c r="L66" s="261" t="n">
        <v>0</v>
      </c>
      <c r="M66" s="261" t="n">
        <v>0</v>
      </c>
    </row>
    <row r="67" customFormat="false" ht="13.5" hidden="false" customHeight="false" outlineLevel="0" collapsed="false">
      <c r="A67" s="262" t="n">
        <v>45808</v>
      </c>
      <c r="B67" s="261" t="s">
        <v>1052</v>
      </c>
      <c r="C67" s="261" t="s">
        <v>2231</v>
      </c>
      <c r="D67" s="261" t="s">
        <v>2232</v>
      </c>
      <c r="E67" s="263" t="n">
        <v>2.29715E+018</v>
      </c>
      <c r="H67" s="261" t="n">
        <v>-129600</v>
      </c>
      <c r="J67" s="261" t="n">
        <v>-23328</v>
      </c>
      <c r="K67" s="261" t="n">
        <v>0</v>
      </c>
      <c r="L67" s="261" t="n">
        <v>0</v>
      </c>
      <c r="M67" s="261" t="n">
        <v>0</v>
      </c>
    </row>
    <row r="68" customFormat="false" ht="13.5" hidden="false" customHeight="false" outlineLevel="0" collapsed="false">
      <c r="A68" s="262" t="n">
        <v>45808</v>
      </c>
      <c r="B68" s="261" t="s">
        <v>1050</v>
      </c>
      <c r="C68" s="261" t="s">
        <v>2230</v>
      </c>
      <c r="D68" s="261" t="s">
        <v>89</v>
      </c>
      <c r="E68" s="263" t="n">
        <v>2.29715E+018</v>
      </c>
      <c r="H68" s="261" t="n">
        <v>17781.37</v>
      </c>
      <c r="J68" s="261" t="n">
        <v>0</v>
      </c>
      <c r="K68" s="261" t="n">
        <v>1600.32</v>
      </c>
      <c r="L68" s="261" t="n">
        <v>1600.32</v>
      </c>
      <c r="M68" s="261" t="n">
        <v>0</v>
      </c>
    </row>
    <row r="70" customFormat="false" ht="13.5" hidden="false" customHeight="false" outlineLevel="0" collapsed="false">
      <c r="G70" s="261" t="e">
        <f aca="false">'fy 25-26-accrual'!#ref!</f>
        <v>#VALUE!</v>
      </c>
      <c r="H70" s="265" t="n">
        <f aca="false">SUBTOTAL(9,H2:H68)</f>
        <v>4690889.72</v>
      </c>
    </row>
    <row r="71" customFormat="false" ht="13.5" hidden="false" customHeight="false" outlineLevel="0" collapsed="false">
      <c r="F71" s="261" t="s">
        <v>377</v>
      </c>
      <c r="G71" s="266" t="e">
        <f aca="false">H70-G70</f>
        <v>#VALUE!</v>
      </c>
    </row>
  </sheetData>
  <autoFilter ref="A1:M6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2072</v>
      </c>
      <c r="B1" s="0" t="s">
        <v>1381</v>
      </c>
      <c r="C1" s="0" t="s">
        <v>2109</v>
      </c>
      <c r="D1" s="0" t="s">
        <v>2110</v>
      </c>
      <c r="E1" s="0" t="s">
        <v>1388</v>
      </c>
      <c r="F1" s="0" t="s">
        <v>1403</v>
      </c>
      <c r="G1" s="0" t="s">
        <v>1404</v>
      </c>
      <c r="H1" s="0" t="s">
        <v>2111</v>
      </c>
      <c r="I1" s="0" t="s">
        <v>1382</v>
      </c>
      <c r="J1" s="0" t="s">
        <v>1383</v>
      </c>
      <c r="K1" s="0" t="s">
        <v>1384</v>
      </c>
      <c r="L1" s="0" t="s">
        <v>1397</v>
      </c>
      <c r="M1" s="0" t="s">
        <v>51</v>
      </c>
      <c r="N1" s="0" t="s">
        <v>1398</v>
      </c>
      <c r="O1" s="0" t="s">
        <v>1414</v>
      </c>
      <c r="P1" s="0" t="s">
        <v>2112</v>
      </c>
      <c r="Q1" s="0" t="s">
        <v>1406</v>
      </c>
      <c r="R1" s="0" t="s">
        <v>1399</v>
      </c>
      <c r="S1" s="0" t="s">
        <v>1400</v>
      </c>
      <c r="T1" s="0" t="s">
        <v>1380</v>
      </c>
      <c r="U1" s="0" t="s">
        <v>2113</v>
      </c>
      <c r="V1" s="0" t="s">
        <v>2114</v>
      </c>
      <c r="W1" s="0" t="s">
        <v>2115</v>
      </c>
      <c r="X1" s="0" t="s">
        <v>2116</v>
      </c>
      <c r="Y1" s="0" t="s">
        <v>2117</v>
      </c>
      <c r="Z1" s="0" t="s">
        <v>2118</v>
      </c>
      <c r="AA1" s="0" t="s">
        <v>1433</v>
      </c>
      <c r="AB1" s="0" t="s">
        <v>1425</v>
      </c>
      <c r="AC1" s="0" t="s">
        <v>1510</v>
      </c>
      <c r="AD1" s="0" t="s">
        <v>1511</v>
      </c>
      <c r="AE1" s="0" t="s">
        <v>2119</v>
      </c>
      <c r="AF1" s="0" t="s">
        <v>1427</v>
      </c>
      <c r="AG1" s="0" t="s">
        <v>1431</v>
      </c>
      <c r="AH1" s="0" t="s">
        <v>2120</v>
      </c>
      <c r="AI1" s="0" t="s">
        <v>1430</v>
      </c>
      <c r="AJ1" s="0" t="s">
        <v>2121</v>
      </c>
      <c r="AK1" s="0" t="s">
        <v>1505</v>
      </c>
      <c r="AL1" s="0" t="s">
        <v>2122</v>
      </c>
      <c r="AM1" s="0" t="s">
        <v>2123</v>
      </c>
      <c r="AN1" s="0" t="s">
        <v>1379</v>
      </c>
      <c r="AO1" s="0" t="s">
        <v>1485</v>
      </c>
      <c r="AP1" s="0" t="s">
        <v>1391</v>
      </c>
      <c r="AQ1" s="0" t="s">
        <v>2124</v>
      </c>
      <c r="AR1" s="0" t="s">
        <v>1392</v>
      </c>
      <c r="AS1" s="0" t="s">
        <v>1393</v>
      </c>
      <c r="AT1" s="0" t="s">
        <v>1394</v>
      </c>
      <c r="AU1" s="0" t="s">
        <v>1395</v>
      </c>
      <c r="AV1" s="0" t="s">
        <v>1396</v>
      </c>
      <c r="AW1" s="0" t="s">
        <v>1389</v>
      </c>
      <c r="AX1" s="0" t="s">
        <v>1390</v>
      </c>
      <c r="AY1" s="0" t="s">
        <v>1486</v>
      </c>
      <c r="AZ1" s="0" t="s">
        <v>2125</v>
      </c>
      <c r="BA1" s="0" t="s">
        <v>1385</v>
      </c>
      <c r="BB1" s="0" t="s">
        <v>1386</v>
      </c>
      <c r="BC1" s="0" t="s">
        <v>1428</v>
      </c>
      <c r="BD1" s="0" t="s">
        <v>1429</v>
      </c>
      <c r="BE1" s="0" t="s">
        <v>1489</v>
      </c>
      <c r="BF1" s="0" t="s">
        <v>2126</v>
      </c>
      <c r="BG1" s="0" t="s">
        <v>1513</v>
      </c>
      <c r="BH1" s="0" t="s">
        <v>2127</v>
      </c>
      <c r="BI1" s="0" t="s">
        <v>2128</v>
      </c>
      <c r="BJ1" s="0" t="s">
        <v>2129</v>
      </c>
      <c r="BK1" s="0" t="s">
        <v>1480</v>
      </c>
      <c r="BL1" s="0" t="s">
        <v>1481</v>
      </c>
      <c r="BM1" s="0" t="s">
        <v>1482</v>
      </c>
      <c r="BN1" s="0" t="s">
        <v>1483</v>
      </c>
      <c r="BO1" s="0" t="s">
        <v>1484</v>
      </c>
      <c r="BP1" s="0" t="s">
        <v>2130</v>
      </c>
      <c r="BQ1" s="0" t="s">
        <v>1497</v>
      </c>
      <c r="BR1" s="0" t="s">
        <v>1477</v>
      </c>
      <c r="BS1" s="0" t="s">
        <v>1478</v>
      </c>
      <c r="BT1" s="0" t="s">
        <v>1479</v>
      </c>
      <c r="BU1" s="0" t="s">
        <v>1512</v>
      </c>
      <c r="BV1" s="0" t="s">
        <v>2131</v>
      </c>
      <c r="BW1" s="0" t="s">
        <v>1416</v>
      </c>
      <c r="BX1" s="0" t="s">
        <v>2132</v>
      </c>
      <c r="BY1" s="0" t="s">
        <v>2133</v>
      </c>
      <c r="BZ1" s="0" t="s">
        <v>2134</v>
      </c>
      <c r="CA1" s="0" t="s">
        <v>88</v>
      </c>
      <c r="CB1" s="0" t="s">
        <v>1488</v>
      </c>
      <c r="CC1" s="0" t="s">
        <v>1465</v>
      </c>
      <c r="CD1" s="0" t="s">
        <v>1466</v>
      </c>
      <c r="CE1" s="0" t="s">
        <v>1467</v>
      </c>
      <c r="CF1" s="0" t="s">
        <v>1468</v>
      </c>
      <c r="CG1" s="0" t="s">
        <v>1469</v>
      </c>
      <c r="CH1" s="0" t="s">
        <v>1470</v>
      </c>
      <c r="CI1" s="0" t="s">
        <v>1471</v>
      </c>
      <c r="CJ1" s="0" t="s">
        <v>1472</v>
      </c>
      <c r="CK1" s="0" t="s">
        <v>1473</v>
      </c>
      <c r="CL1" s="0" t="s">
        <v>1474</v>
      </c>
      <c r="CM1" s="0" t="s">
        <v>1475</v>
      </c>
      <c r="CN1" s="0" t="s">
        <v>1476</v>
      </c>
    </row>
    <row r="2" customFormat="false" ht="13.8" hidden="false" customHeight="false" outlineLevel="0" collapsed="false">
      <c r="A2" s="267" t="n">
        <v>45734</v>
      </c>
      <c r="B2" s="267" t="n">
        <v>45734</v>
      </c>
      <c r="C2" s="0" t="n">
        <v>2.29715200000003E+018</v>
      </c>
      <c r="D2" s="0" t="s">
        <v>2135</v>
      </c>
      <c r="E2" s="0" t="n">
        <v>0</v>
      </c>
      <c r="F2" s="0" t="n">
        <v>0</v>
      </c>
      <c r="G2" s="0" t="s">
        <v>1538</v>
      </c>
      <c r="H2" s="0" t="n">
        <v>1024250439264</v>
      </c>
      <c r="J2" s="0" t="s">
        <v>1526</v>
      </c>
      <c r="K2" s="0" t="n">
        <v>1</v>
      </c>
      <c r="L2" s="0" t="n">
        <v>8988</v>
      </c>
      <c r="M2" s="0" t="n">
        <v>10605.84</v>
      </c>
      <c r="N2" s="0" t="n">
        <v>0.84</v>
      </c>
      <c r="R2" s="0" t="n">
        <v>0</v>
      </c>
      <c r="S2" s="0" t="s">
        <v>1399</v>
      </c>
      <c r="Y2" s="0" t="s">
        <v>947</v>
      </c>
      <c r="Z2" s="0" t="s">
        <v>2136</v>
      </c>
      <c r="AC2" s="0" t="s">
        <v>2094</v>
      </c>
      <c r="AF2" s="0" t="n">
        <v>1</v>
      </c>
      <c r="AH2" s="0" t="n">
        <v>1617.84</v>
      </c>
      <c r="AI2" s="0" t="n">
        <v>8988</v>
      </c>
      <c r="AL2" s="0" t="s">
        <v>1743</v>
      </c>
      <c r="AM2" s="0" t="s">
        <v>1632</v>
      </c>
      <c r="AN2" s="0" t="s">
        <v>1595</v>
      </c>
      <c r="AO2" s="0" t="s">
        <v>2137</v>
      </c>
      <c r="AP2" s="0" t="s">
        <v>1527</v>
      </c>
      <c r="AS2" s="0" t="n">
        <v>0</v>
      </c>
      <c r="AV2" s="0" t="n">
        <v>0</v>
      </c>
      <c r="AZ2" s="0" t="n">
        <v>8988</v>
      </c>
      <c r="BA2" s="0" t="s">
        <v>1531</v>
      </c>
      <c r="BC2" s="0" t="n">
        <v>0</v>
      </c>
      <c r="BD2" s="0" t="n">
        <v>0</v>
      </c>
      <c r="BG2" s="0" t="n">
        <v>2.29715200000003E+018</v>
      </c>
      <c r="BH2" s="0" t="s">
        <v>1566</v>
      </c>
      <c r="BI2" s="0" t="n">
        <v>18</v>
      </c>
      <c r="BJ2" s="0" t="s">
        <v>1567</v>
      </c>
      <c r="BM2" s="0" t="n">
        <v>0</v>
      </c>
      <c r="BQ2" s="0" t="s">
        <v>1561</v>
      </c>
      <c r="BV2" s="0" t="s">
        <v>2138</v>
      </c>
      <c r="BW2" s="0" t="n">
        <v>0</v>
      </c>
      <c r="CC2" s="0" t="n">
        <v>0</v>
      </c>
      <c r="CD2" s="0" t="n">
        <v>0</v>
      </c>
      <c r="CE2" s="0" t="n">
        <v>18</v>
      </c>
      <c r="CF2" s="0" t="n">
        <v>0</v>
      </c>
      <c r="CG2" s="0" t="n">
        <v>0</v>
      </c>
      <c r="CH2" s="0" t="n">
        <v>0</v>
      </c>
      <c r="CI2" s="0" t="n">
        <v>1617.84</v>
      </c>
      <c r="CJ2" s="0" t="n">
        <v>0</v>
      </c>
      <c r="CK2" s="0" t="n">
        <v>0</v>
      </c>
      <c r="CL2" s="0" t="n">
        <v>0</v>
      </c>
      <c r="CM2" s="0" t="n">
        <v>1617.84</v>
      </c>
      <c r="CN2" s="0" t="n">
        <v>0</v>
      </c>
    </row>
    <row r="3" customFormat="false" ht="13.8" hidden="false" customHeight="false" outlineLevel="0" collapsed="false">
      <c r="A3" s="267" t="n">
        <v>45734</v>
      </c>
      <c r="B3" s="267" t="n">
        <v>45734</v>
      </c>
      <c r="C3" s="0" t="n">
        <v>2.29715200000003E+018</v>
      </c>
      <c r="D3" s="0" t="s">
        <v>2087</v>
      </c>
      <c r="E3" s="0" t="n">
        <v>0</v>
      </c>
      <c r="F3" s="0" t="n">
        <v>0</v>
      </c>
      <c r="G3" s="0" t="s">
        <v>1538</v>
      </c>
      <c r="H3" s="0" t="s">
        <v>2139</v>
      </c>
      <c r="J3" s="0" t="s">
        <v>1526</v>
      </c>
      <c r="K3" s="0" t="n">
        <v>1</v>
      </c>
      <c r="L3" s="0" t="n">
        <v>80605</v>
      </c>
      <c r="M3" s="0" t="n">
        <v>86205</v>
      </c>
      <c r="N3" s="0" t="n">
        <v>0</v>
      </c>
      <c r="R3" s="0" t="n">
        <v>0</v>
      </c>
      <c r="S3" s="0" t="s">
        <v>1399</v>
      </c>
      <c r="Y3" s="0" t="s">
        <v>2140</v>
      </c>
      <c r="Z3" s="0" t="s">
        <v>2136</v>
      </c>
      <c r="AC3" s="0" t="s">
        <v>2085</v>
      </c>
      <c r="AE3" s="0" t="s">
        <v>2141</v>
      </c>
      <c r="AF3" s="0" t="n">
        <v>1</v>
      </c>
      <c r="AH3" s="0" t="n">
        <v>12600</v>
      </c>
      <c r="AI3" s="0" t="n">
        <v>70000</v>
      </c>
      <c r="AL3" s="0" t="s">
        <v>1522</v>
      </c>
      <c r="AM3" s="0" t="s">
        <v>1632</v>
      </c>
      <c r="AN3" s="0" t="s">
        <v>1595</v>
      </c>
      <c r="AO3" s="0" t="s">
        <v>2142</v>
      </c>
      <c r="AP3" s="0" t="s">
        <v>1531</v>
      </c>
      <c r="AQ3" s="0" t="n">
        <v>2.29715200000003E+018</v>
      </c>
      <c r="AR3" s="0" t="s">
        <v>1596</v>
      </c>
      <c r="AS3" s="0" t="n">
        <v>10</v>
      </c>
      <c r="AT3" s="0" t="s">
        <v>1534</v>
      </c>
      <c r="AU3" s="0" t="s">
        <v>1535</v>
      </c>
      <c r="AV3" s="0" t="n">
        <v>7000</v>
      </c>
      <c r="AZ3" s="0" t="n">
        <v>70000</v>
      </c>
      <c r="BA3" s="0" t="s">
        <v>1531</v>
      </c>
      <c r="BC3" s="0" t="n">
        <v>0</v>
      </c>
      <c r="BD3" s="0" t="n">
        <v>0</v>
      </c>
      <c r="BG3" s="0" t="n">
        <v>2.29715200000003E+018</v>
      </c>
      <c r="BH3" s="0" t="s">
        <v>1566</v>
      </c>
      <c r="BI3" s="0" t="n">
        <v>18</v>
      </c>
      <c r="BJ3" s="0" t="s">
        <v>1567</v>
      </c>
      <c r="BQ3" s="0" t="s">
        <v>1561</v>
      </c>
      <c r="BV3" s="0" t="s">
        <v>2138</v>
      </c>
      <c r="BW3" s="0" t="n">
        <v>0</v>
      </c>
      <c r="CC3" s="0" t="n">
        <v>0</v>
      </c>
      <c r="CD3" s="0" t="n">
        <v>0</v>
      </c>
      <c r="CE3" s="0" t="n">
        <v>18</v>
      </c>
      <c r="CF3" s="0" t="n">
        <v>0</v>
      </c>
      <c r="CG3" s="0" t="n">
        <v>0</v>
      </c>
      <c r="CH3" s="0" t="n">
        <v>0</v>
      </c>
      <c r="CI3" s="0" t="n">
        <v>12600</v>
      </c>
      <c r="CJ3" s="0" t="n">
        <v>0</v>
      </c>
      <c r="CK3" s="0" t="n">
        <v>0</v>
      </c>
      <c r="CL3" s="0" t="n">
        <v>0</v>
      </c>
      <c r="CM3" s="0" t="n">
        <v>12600</v>
      </c>
      <c r="CN3" s="0" t="n">
        <v>0</v>
      </c>
    </row>
    <row r="4" customFormat="false" ht="13.8" hidden="false" customHeight="false" outlineLevel="0" collapsed="false">
      <c r="A4" s="267" t="n">
        <v>45734</v>
      </c>
      <c r="B4" s="267" t="n">
        <v>45734</v>
      </c>
      <c r="C4" s="0" t="n">
        <v>2.29715200000003E+018</v>
      </c>
      <c r="D4" s="0" t="s">
        <v>2087</v>
      </c>
      <c r="E4" s="0" t="n">
        <v>0</v>
      </c>
      <c r="F4" s="0" t="n">
        <v>0</v>
      </c>
      <c r="G4" s="0" t="s">
        <v>1538</v>
      </c>
      <c r="H4" s="0" t="s">
        <v>2139</v>
      </c>
      <c r="J4" s="0" t="s">
        <v>1526</v>
      </c>
      <c r="K4" s="0" t="n">
        <v>1</v>
      </c>
      <c r="L4" s="0" t="n">
        <v>80605</v>
      </c>
      <c r="M4" s="0" t="n">
        <v>86205</v>
      </c>
      <c r="N4" s="0" t="n">
        <v>0</v>
      </c>
      <c r="R4" s="0" t="n">
        <v>0</v>
      </c>
      <c r="S4" s="0" t="s">
        <v>1399</v>
      </c>
      <c r="Y4" s="0" t="s">
        <v>2140</v>
      </c>
      <c r="Z4" s="0" t="s">
        <v>2136</v>
      </c>
      <c r="AC4" s="0" t="s">
        <v>2143</v>
      </c>
      <c r="AE4" s="0" t="s">
        <v>2143</v>
      </c>
      <c r="AF4" s="0" t="n">
        <v>1</v>
      </c>
      <c r="AH4" s="0" t="n">
        <v>0</v>
      </c>
      <c r="AI4" s="0" t="n">
        <v>10605</v>
      </c>
      <c r="AL4" s="0" t="s">
        <v>1522</v>
      </c>
      <c r="AM4" s="0" t="s">
        <v>1632</v>
      </c>
      <c r="AN4" s="0" t="s">
        <v>1595</v>
      </c>
      <c r="AO4" s="0" t="s">
        <v>2142</v>
      </c>
      <c r="AP4" s="0" t="s">
        <v>1531</v>
      </c>
      <c r="AQ4" s="0" t="n">
        <v>2.29715200000003E+018</v>
      </c>
      <c r="AR4" s="0" t="s">
        <v>1596</v>
      </c>
      <c r="AS4" s="0" t="n">
        <v>10</v>
      </c>
      <c r="AT4" s="0" t="s">
        <v>1534</v>
      </c>
      <c r="AU4" s="0" t="s">
        <v>1535</v>
      </c>
      <c r="AV4" s="0" t="n">
        <v>7000</v>
      </c>
      <c r="AZ4" s="0" t="n">
        <v>10605</v>
      </c>
      <c r="BA4" s="0" t="s">
        <v>1531</v>
      </c>
      <c r="BC4" s="0" t="n">
        <v>0</v>
      </c>
      <c r="BD4" s="0" t="n">
        <v>0</v>
      </c>
      <c r="BG4" s="0" t="n">
        <v>2.29715200000003E+018</v>
      </c>
      <c r="BH4" s="0" t="s">
        <v>2144</v>
      </c>
      <c r="BI4" s="0" t="n">
        <v>0</v>
      </c>
      <c r="BJ4" s="0" t="s">
        <v>1567</v>
      </c>
      <c r="BQ4" s="0" t="s">
        <v>1561</v>
      </c>
      <c r="BV4" s="0" t="s">
        <v>2138</v>
      </c>
      <c r="BW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</row>
    <row r="5" customFormat="false" ht="13.8" hidden="false" customHeight="false" outlineLevel="0" collapsed="false">
      <c r="A5" s="267" t="n">
        <v>45747</v>
      </c>
      <c r="B5" s="267" t="n">
        <v>45747</v>
      </c>
      <c r="C5" s="0" t="n">
        <v>2.29715200000005E+018</v>
      </c>
      <c r="D5" s="0" t="s">
        <v>2083</v>
      </c>
      <c r="E5" s="0" t="n">
        <v>0</v>
      </c>
      <c r="F5" s="0" t="n">
        <v>0</v>
      </c>
      <c r="G5" s="0" t="s">
        <v>1538</v>
      </c>
      <c r="H5" s="0" t="s">
        <v>2145</v>
      </c>
      <c r="J5" s="0" t="s">
        <v>1526</v>
      </c>
      <c r="K5" s="0" t="n">
        <v>1</v>
      </c>
      <c r="L5" s="0" t="n">
        <v>121651</v>
      </c>
      <c r="M5" s="0" t="n">
        <v>120651</v>
      </c>
      <c r="N5" s="0" t="n">
        <v>0</v>
      </c>
      <c r="R5" s="0" t="n">
        <v>0</v>
      </c>
      <c r="S5" s="0" t="s">
        <v>1399</v>
      </c>
      <c r="Y5" s="0" t="s">
        <v>2140</v>
      </c>
      <c r="Z5" s="0" t="s">
        <v>2136</v>
      </c>
      <c r="AC5" s="0" t="s">
        <v>2080</v>
      </c>
      <c r="AE5" s="0" t="s">
        <v>2146</v>
      </c>
      <c r="AF5" s="0" t="n">
        <v>1</v>
      </c>
      <c r="AH5" s="0" t="n">
        <v>0</v>
      </c>
      <c r="AI5" s="0" t="n">
        <v>100000</v>
      </c>
      <c r="AL5" s="0" t="s">
        <v>1632</v>
      </c>
      <c r="AM5" s="0" t="s">
        <v>1632</v>
      </c>
      <c r="AN5" s="0" t="s">
        <v>1524</v>
      </c>
      <c r="AP5" s="0" t="s">
        <v>1531</v>
      </c>
      <c r="AQ5" s="0" t="n">
        <v>2.29715200000003E+018</v>
      </c>
      <c r="AR5" s="0" t="s">
        <v>2147</v>
      </c>
      <c r="AS5" s="0" t="n">
        <v>1</v>
      </c>
      <c r="AT5" s="0" t="s">
        <v>2148</v>
      </c>
      <c r="AU5" s="0" t="s">
        <v>2149</v>
      </c>
      <c r="AV5" s="0" t="n">
        <v>1000</v>
      </c>
      <c r="AZ5" s="0" t="n">
        <v>100000</v>
      </c>
      <c r="BA5" s="0" t="s">
        <v>1531</v>
      </c>
      <c r="BC5" s="0" t="n">
        <v>0</v>
      </c>
      <c r="BD5" s="0" t="n">
        <v>0</v>
      </c>
      <c r="BQ5" s="0" t="s">
        <v>1561</v>
      </c>
      <c r="BV5" s="0" t="s">
        <v>2138</v>
      </c>
      <c r="BW5" s="0" t="n">
        <v>0</v>
      </c>
    </row>
    <row r="6" customFormat="false" ht="13.8" hidden="false" customHeight="false" outlineLevel="0" collapsed="false">
      <c r="A6" s="267" t="n">
        <v>45747</v>
      </c>
      <c r="B6" s="267" t="n">
        <v>45747</v>
      </c>
      <c r="C6" s="0" t="n">
        <v>2.29715200000005E+018</v>
      </c>
      <c r="D6" s="0" t="s">
        <v>2083</v>
      </c>
      <c r="E6" s="0" t="n">
        <v>0</v>
      </c>
      <c r="F6" s="0" t="n">
        <v>0</v>
      </c>
      <c r="G6" s="0" t="s">
        <v>1538</v>
      </c>
      <c r="H6" s="0" t="s">
        <v>2145</v>
      </c>
      <c r="J6" s="0" t="s">
        <v>1526</v>
      </c>
      <c r="K6" s="0" t="n">
        <v>1</v>
      </c>
      <c r="L6" s="0" t="n">
        <v>121651</v>
      </c>
      <c r="M6" s="0" t="n">
        <v>120651</v>
      </c>
      <c r="N6" s="0" t="n">
        <v>0</v>
      </c>
      <c r="R6" s="0" t="n">
        <v>0</v>
      </c>
      <c r="S6" s="0" t="s">
        <v>1399</v>
      </c>
      <c r="Y6" s="0" t="s">
        <v>2140</v>
      </c>
      <c r="Z6" s="0" t="s">
        <v>2136</v>
      </c>
      <c r="AC6" s="0" t="s">
        <v>2150</v>
      </c>
      <c r="AF6" s="0" t="n">
        <v>1</v>
      </c>
      <c r="AH6" s="0" t="n">
        <v>0</v>
      </c>
      <c r="AI6" s="0" t="n">
        <v>21651</v>
      </c>
      <c r="AL6" s="0" t="s">
        <v>1632</v>
      </c>
      <c r="AM6" s="0" t="s">
        <v>1632</v>
      </c>
      <c r="AN6" s="0" t="s">
        <v>1524</v>
      </c>
      <c r="AP6" s="0" t="s">
        <v>1531</v>
      </c>
      <c r="AQ6" s="0" t="n">
        <v>2.29715200000003E+018</v>
      </c>
      <c r="AR6" s="0" t="s">
        <v>2147</v>
      </c>
      <c r="AS6" s="0" t="n">
        <v>1</v>
      </c>
      <c r="AT6" s="0" t="s">
        <v>2148</v>
      </c>
      <c r="AU6" s="0" t="s">
        <v>2149</v>
      </c>
      <c r="AV6" s="0" t="n">
        <v>1000</v>
      </c>
      <c r="AZ6" s="0" t="n">
        <v>21651</v>
      </c>
      <c r="BA6" s="0" t="s">
        <v>1531</v>
      </c>
      <c r="BC6" s="0" t="n">
        <v>0</v>
      </c>
      <c r="BD6" s="0" t="n">
        <v>0</v>
      </c>
      <c r="BQ6" s="0" t="s">
        <v>1561</v>
      </c>
      <c r="BV6" s="0" t="s">
        <v>2138</v>
      </c>
      <c r="BW6" s="0" t="n">
        <v>0</v>
      </c>
    </row>
    <row r="7" customFormat="false" ht="13.8" hidden="false" customHeight="false" outlineLevel="0" collapsed="false">
      <c r="A7" s="267" t="n">
        <v>45657</v>
      </c>
      <c r="B7" s="267" t="n">
        <v>45657</v>
      </c>
      <c r="C7" s="0" t="n">
        <v>2.29715200000005E+018</v>
      </c>
      <c r="D7" s="0" t="s">
        <v>2083</v>
      </c>
      <c r="E7" s="0" t="n">
        <v>0</v>
      </c>
      <c r="F7" s="0" t="n">
        <v>0</v>
      </c>
      <c r="G7" s="0" t="s">
        <v>1538</v>
      </c>
      <c r="H7" s="0" t="n">
        <v>5</v>
      </c>
      <c r="J7" s="0" t="s">
        <v>1526</v>
      </c>
      <c r="K7" s="0" t="n">
        <v>1</v>
      </c>
      <c r="L7" s="0" t="n">
        <v>50000</v>
      </c>
      <c r="M7" s="0" t="n">
        <v>50000</v>
      </c>
      <c r="N7" s="0" t="n">
        <v>46125</v>
      </c>
      <c r="R7" s="0" t="n">
        <v>0</v>
      </c>
      <c r="S7" s="0" t="s">
        <v>1399</v>
      </c>
      <c r="Y7" s="0" t="s">
        <v>947</v>
      </c>
      <c r="Z7" s="0" t="s">
        <v>2136</v>
      </c>
      <c r="AC7" s="0" t="s">
        <v>2080</v>
      </c>
      <c r="AE7" s="0" t="s">
        <v>2146</v>
      </c>
      <c r="AF7" s="0" t="n">
        <v>1</v>
      </c>
      <c r="AH7" s="0" t="n">
        <v>0</v>
      </c>
      <c r="AI7" s="0" t="n">
        <v>50000</v>
      </c>
      <c r="AL7" s="0" t="s">
        <v>1632</v>
      </c>
      <c r="AM7" s="0" t="s">
        <v>1632</v>
      </c>
      <c r="AN7" s="0" t="s">
        <v>1524</v>
      </c>
      <c r="AP7" s="0" t="s">
        <v>1527</v>
      </c>
      <c r="AS7" s="0" t="n">
        <v>0</v>
      </c>
      <c r="AV7" s="0" t="n">
        <v>0</v>
      </c>
      <c r="AZ7" s="0" t="n">
        <v>50000</v>
      </c>
      <c r="BA7" s="0" t="s">
        <v>1531</v>
      </c>
      <c r="BC7" s="0" t="n">
        <v>0</v>
      </c>
      <c r="BD7" s="0" t="n">
        <v>0</v>
      </c>
      <c r="BM7" s="0" t="n">
        <v>0</v>
      </c>
      <c r="BQ7" s="0" t="s">
        <v>1561</v>
      </c>
      <c r="BV7" s="0" t="s">
        <v>2138</v>
      </c>
      <c r="BW7" s="0" t="n">
        <v>0</v>
      </c>
    </row>
    <row r="8" customFormat="false" ht="13.8" hidden="false" customHeight="false" outlineLevel="0" collapsed="false">
      <c r="A8" s="267" t="n">
        <v>45626</v>
      </c>
      <c r="B8" s="267" t="n">
        <v>45626</v>
      </c>
      <c r="C8" s="0" t="n">
        <v>2.29715200000005E+018</v>
      </c>
      <c r="D8" s="0" t="s">
        <v>2083</v>
      </c>
      <c r="E8" s="0" t="n">
        <v>0</v>
      </c>
      <c r="F8" s="0" t="n">
        <v>0</v>
      </c>
      <c r="G8" s="0" t="s">
        <v>1538</v>
      </c>
      <c r="H8" s="0" t="n">
        <v>4</v>
      </c>
      <c r="J8" s="0" t="s">
        <v>1526</v>
      </c>
      <c r="K8" s="0" t="n">
        <v>1</v>
      </c>
      <c r="L8" s="0" t="n">
        <v>40000</v>
      </c>
      <c r="M8" s="0" t="n">
        <v>40000</v>
      </c>
      <c r="N8" s="0" t="n">
        <v>0</v>
      </c>
      <c r="R8" s="0" t="n">
        <v>0</v>
      </c>
      <c r="S8" s="0" t="s">
        <v>1399</v>
      </c>
      <c r="Y8" s="0" t="s">
        <v>2140</v>
      </c>
      <c r="Z8" s="0" t="s">
        <v>2136</v>
      </c>
      <c r="AC8" s="0" t="s">
        <v>2080</v>
      </c>
      <c r="AE8" s="0" t="s">
        <v>2146</v>
      </c>
      <c r="AF8" s="0" t="n">
        <v>1</v>
      </c>
      <c r="AH8" s="0" t="n">
        <v>0</v>
      </c>
      <c r="AI8" s="0" t="n">
        <v>40000</v>
      </c>
      <c r="AL8" s="0" t="s">
        <v>1632</v>
      </c>
      <c r="AM8" s="0" t="s">
        <v>1632</v>
      </c>
      <c r="AN8" s="0" t="s">
        <v>1524</v>
      </c>
      <c r="AP8" s="0" t="s">
        <v>1527</v>
      </c>
      <c r="AS8" s="0" t="n">
        <v>0</v>
      </c>
      <c r="AV8" s="0" t="n">
        <v>0</v>
      </c>
      <c r="AZ8" s="0" t="n">
        <v>40000</v>
      </c>
      <c r="BA8" s="0" t="s">
        <v>1531</v>
      </c>
      <c r="BC8" s="0" t="n">
        <v>0</v>
      </c>
      <c r="BD8" s="0" t="n">
        <v>0</v>
      </c>
      <c r="BM8" s="0" t="n">
        <v>0</v>
      </c>
      <c r="BQ8" s="0" t="s">
        <v>1561</v>
      </c>
      <c r="BV8" s="0" t="s">
        <v>2138</v>
      </c>
      <c r="BW8" s="0" t="n">
        <v>0</v>
      </c>
    </row>
    <row r="9" customFormat="false" ht="13.8" hidden="false" customHeight="false" outlineLevel="0" collapsed="false">
      <c r="A9" s="267" t="n">
        <v>45596</v>
      </c>
      <c r="B9" s="267" t="n">
        <v>45596</v>
      </c>
      <c r="C9" s="0" t="n">
        <v>2.29715200000005E+018</v>
      </c>
      <c r="D9" s="0" t="s">
        <v>2083</v>
      </c>
      <c r="E9" s="0" t="n">
        <v>0</v>
      </c>
      <c r="F9" s="0" t="n">
        <v>0</v>
      </c>
      <c r="G9" s="0" t="s">
        <v>1538</v>
      </c>
      <c r="H9" s="0" t="n">
        <v>3</v>
      </c>
      <c r="J9" s="0" t="s">
        <v>1526</v>
      </c>
      <c r="K9" s="0" t="n">
        <v>1</v>
      </c>
      <c r="L9" s="0" t="n">
        <v>25000</v>
      </c>
      <c r="M9" s="0" t="n">
        <v>25000</v>
      </c>
      <c r="N9" s="0" t="n">
        <v>0</v>
      </c>
      <c r="R9" s="0" t="n">
        <v>0</v>
      </c>
      <c r="S9" s="0" t="s">
        <v>1399</v>
      </c>
      <c r="Y9" s="0" t="s">
        <v>2140</v>
      </c>
      <c r="Z9" s="0" t="s">
        <v>2136</v>
      </c>
      <c r="AC9" s="0" t="s">
        <v>2080</v>
      </c>
      <c r="AE9" s="0" t="s">
        <v>2146</v>
      </c>
      <c r="AF9" s="0" t="n">
        <v>1</v>
      </c>
      <c r="AH9" s="0" t="n">
        <v>0</v>
      </c>
      <c r="AI9" s="0" t="n">
        <v>25000</v>
      </c>
      <c r="AL9" s="0" t="s">
        <v>1632</v>
      </c>
      <c r="AM9" s="0" t="s">
        <v>1632</v>
      </c>
      <c r="AN9" s="0" t="s">
        <v>1524</v>
      </c>
      <c r="AP9" s="0" t="s">
        <v>1527</v>
      </c>
      <c r="AS9" s="0" t="n">
        <v>0</v>
      </c>
      <c r="AV9" s="0" t="n">
        <v>0</v>
      </c>
      <c r="AZ9" s="0" t="n">
        <v>25000</v>
      </c>
      <c r="BA9" s="0" t="s">
        <v>1531</v>
      </c>
      <c r="BC9" s="0" t="n">
        <v>0</v>
      </c>
      <c r="BD9" s="0" t="n">
        <v>0</v>
      </c>
      <c r="BM9" s="0" t="n">
        <v>0</v>
      </c>
      <c r="BQ9" s="0" t="s">
        <v>1561</v>
      </c>
      <c r="BV9" s="0" t="s">
        <v>2138</v>
      </c>
      <c r="BW9" s="0" t="n">
        <v>0</v>
      </c>
    </row>
    <row r="10" customFormat="false" ht="13.8" hidden="false" customHeight="false" outlineLevel="0" collapsed="false">
      <c r="A10" s="267" t="n">
        <v>45565</v>
      </c>
      <c r="B10" s="267" t="n">
        <v>45565</v>
      </c>
      <c r="C10" s="0" t="n">
        <v>2.29715200000005E+018</v>
      </c>
      <c r="D10" s="0" t="s">
        <v>2083</v>
      </c>
      <c r="E10" s="0" t="n">
        <v>0</v>
      </c>
      <c r="F10" s="0" t="n">
        <v>0</v>
      </c>
      <c r="G10" s="0" t="s">
        <v>1538</v>
      </c>
      <c r="H10" s="0" t="n">
        <v>2</v>
      </c>
      <c r="J10" s="0" t="s">
        <v>1526</v>
      </c>
      <c r="K10" s="0" t="n">
        <v>1</v>
      </c>
      <c r="L10" s="0" t="n">
        <v>25000</v>
      </c>
      <c r="M10" s="0" t="n">
        <v>25000</v>
      </c>
      <c r="N10" s="0" t="n">
        <v>0</v>
      </c>
      <c r="R10" s="0" t="n">
        <v>0</v>
      </c>
      <c r="S10" s="0" t="s">
        <v>1399</v>
      </c>
      <c r="Y10" s="0" t="s">
        <v>2140</v>
      </c>
      <c r="Z10" s="0" t="s">
        <v>2136</v>
      </c>
      <c r="AC10" s="0" t="s">
        <v>2080</v>
      </c>
      <c r="AE10" s="0" t="s">
        <v>2146</v>
      </c>
      <c r="AF10" s="0" t="n">
        <v>1</v>
      </c>
      <c r="AH10" s="0" t="n">
        <v>0</v>
      </c>
      <c r="AI10" s="0" t="n">
        <v>25000</v>
      </c>
      <c r="AL10" s="0" t="s">
        <v>1632</v>
      </c>
      <c r="AM10" s="0" t="s">
        <v>1632</v>
      </c>
      <c r="AN10" s="0" t="s">
        <v>1524</v>
      </c>
      <c r="AP10" s="0" t="s">
        <v>1527</v>
      </c>
      <c r="AS10" s="0" t="n">
        <v>0</v>
      </c>
      <c r="AV10" s="0" t="n">
        <v>0</v>
      </c>
      <c r="AZ10" s="0" t="n">
        <v>25000</v>
      </c>
      <c r="BA10" s="0" t="s">
        <v>1531</v>
      </c>
      <c r="BC10" s="0" t="n">
        <v>0</v>
      </c>
      <c r="BD10" s="0" t="n">
        <v>0</v>
      </c>
      <c r="BM10" s="0" t="n">
        <v>0</v>
      </c>
      <c r="BQ10" s="0" t="s">
        <v>1561</v>
      </c>
      <c r="BV10" s="0" t="s">
        <v>2138</v>
      </c>
      <c r="BW10" s="0" t="n">
        <v>0</v>
      </c>
    </row>
    <row r="11" customFormat="false" ht="13.8" hidden="false" customHeight="false" outlineLevel="0" collapsed="false">
      <c r="A11" s="267" t="n">
        <v>45535</v>
      </c>
      <c r="B11" s="267" t="n">
        <v>45535</v>
      </c>
      <c r="C11" s="0" t="n">
        <v>2.29715200000005E+018</v>
      </c>
      <c r="D11" s="0" t="s">
        <v>2083</v>
      </c>
      <c r="E11" s="0" t="n">
        <v>0</v>
      </c>
      <c r="F11" s="0" t="n">
        <v>0</v>
      </c>
      <c r="G11" s="0" t="s">
        <v>1538</v>
      </c>
      <c r="H11" s="0" t="n">
        <v>1</v>
      </c>
      <c r="J11" s="0" t="s">
        <v>1526</v>
      </c>
      <c r="K11" s="0" t="n">
        <v>1</v>
      </c>
      <c r="L11" s="0" t="n">
        <v>20000</v>
      </c>
      <c r="M11" s="0" t="n">
        <v>20000</v>
      </c>
      <c r="N11" s="0" t="n">
        <v>0</v>
      </c>
      <c r="R11" s="0" t="n">
        <v>0</v>
      </c>
      <c r="S11" s="0" t="s">
        <v>1399</v>
      </c>
      <c r="Y11" s="0" t="s">
        <v>2140</v>
      </c>
      <c r="Z11" s="0" t="s">
        <v>2136</v>
      </c>
      <c r="AC11" s="0" t="s">
        <v>2080</v>
      </c>
      <c r="AE11" s="0" t="s">
        <v>2146</v>
      </c>
      <c r="AF11" s="0" t="n">
        <v>1</v>
      </c>
      <c r="AH11" s="0" t="n">
        <v>0</v>
      </c>
      <c r="AI11" s="0" t="n">
        <v>20000</v>
      </c>
      <c r="AL11" s="0" t="s">
        <v>1632</v>
      </c>
      <c r="AM11" s="0" t="s">
        <v>1632</v>
      </c>
      <c r="AN11" s="0" t="s">
        <v>1524</v>
      </c>
      <c r="AP11" s="0" t="s">
        <v>1527</v>
      </c>
      <c r="AS11" s="0" t="n">
        <v>0</v>
      </c>
      <c r="AV11" s="0" t="n">
        <v>0</v>
      </c>
      <c r="AZ11" s="0" t="n">
        <v>20000</v>
      </c>
      <c r="BA11" s="0" t="s">
        <v>1531</v>
      </c>
      <c r="BC11" s="0" t="n">
        <v>0</v>
      </c>
      <c r="BD11" s="0" t="n">
        <v>0</v>
      </c>
      <c r="BM11" s="0" t="n">
        <v>0</v>
      </c>
      <c r="BQ11" s="0" t="s">
        <v>1561</v>
      </c>
      <c r="BV11" s="0" t="s">
        <v>2138</v>
      </c>
      <c r="BW11" s="0" t="n">
        <v>0</v>
      </c>
    </row>
    <row r="12" customFormat="false" ht="13.8" hidden="false" customHeight="false" outlineLevel="0" collapsed="false">
      <c r="A12" s="267" t="n">
        <v>45685</v>
      </c>
      <c r="B12" s="267" t="n">
        <v>45685</v>
      </c>
      <c r="C12" s="0" t="n">
        <v>2.29715200000005E+018</v>
      </c>
      <c r="D12" s="0" t="s">
        <v>2151</v>
      </c>
      <c r="E12" s="0" t="n">
        <v>0</v>
      </c>
      <c r="F12" s="0" t="n">
        <v>0</v>
      </c>
      <c r="G12" s="0" t="s">
        <v>1538</v>
      </c>
      <c r="H12" s="0" t="n">
        <v>10070</v>
      </c>
      <c r="J12" s="0" t="s">
        <v>1526</v>
      </c>
      <c r="K12" s="0" t="n">
        <v>1</v>
      </c>
      <c r="L12" s="0" t="n">
        <v>30680</v>
      </c>
      <c r="M12" s="0" t="n">
        <v>28080</v>
      </c>
      <c r="N12" s="0" t="n">
        <v>0</v>
      </c>
      <c r="R12" s="0" t="n">
        <v>0</v>
      </c>
      <c r="S12" s="0" t="s">
        <v>1399</v>
      </c>
      <c r="Y12" s="0" t="s">
        <v>2140</v>
      </c>
      <c r="Z12" s="0" t="s">
        <v>2136</v>
      </c>
      <c r="AC12" s="0" t="s">
        <v>2085</v>
      </c>
      <c r="AF12" s="0" t="n">
        <v>4</v>
      </c>
      <c r="AH12" s="0" t="n">
        <v>0</v>
      </c>
      <c r="AI12" s="0" t="n">
        <v>30680</v>
      </c>
      <c r="AL12" s="0" t="s">
        <v>1570</v>
      </c>
      <c r="AM12" s="0" t="s">
        <v>1632</v>
      </c>
      <c r="AN12" s="0" t="s">
        <v>1595</v>
      </c>
      <c r="AO12" s="0" t="s">
        <v>2152</v>
      </c>
      <c r="AP12" s="0" t="s">
        <v>1531</v>
      </c>
      <c r="AQ12" s="0" t="n">
        <v>2.29715200000003E+018</v>
      </c>
      <c r="AR12" s="0" t="s">
        <v>1596</v>
      </c>
      <c r="AS12" s="0" t="n">
        <v>10</v>
      </c>
      <c r="AT12" s="0" t="s">
        <v>1534</v>
      </c>
      <c r="AU12" s="0" t="s">
        <v>1535</v>
      </c>
      <c r="AV12" s="0" t="n">
        <v>2600</v>
      </c>
      <c r="AZ12" s="0" t="n">
        <v>7670</v>
      </c>
      <c r="BA12" s="0" t="s">
        <v>1531</v>
      </c>
      <c r="BC12" s="0" t="n">
        <v>0</v>
      </c>
      <c r="BD12" s="0" t="n">
        <v>0</v>
      </c>
      <c r="BQ12" s="0" t="s">
        <v>1561</v>
      </c>
      <c r="BU12" s="0" t="s">
        <v>2153</v>
      </c>
      <c r="BW12" s="0" t="n">
        <v>0</v>
      </c>
    </row>
    <row r="13" customFormat="false" ht="13.8" hidden="false" customHeight="false" outlineLevel="0" collapsed="false">
      <c r="A13" s="267" t="n">
        <v>45716</v>
      </c>
      <c r="B13" s="267" t="n">
        <v>45716</v>
      </c>
      <c r="C13" s="0" t="n">
        <v>2.29715200000005E+018</v>
      </c>
      <c r="D13" s="0" t="s">
        <v>2151</v>
      </c>
      <c r="E13" s="0" t="n">
        <v>0</v>
      </c>
      <c r="F13" s="0" t="n">
        <v>0</v>
      </c>
      <c r="G13" s="0" t="s">
        <v>1538</v>
      </c>
      <c r="H13" s="0" t="n">
        <v>10071</v>
      </c>
      <c r="J13" s="0" t="s">
        <v>1526</v>
      </c>
      <c r="K13" s="0" t="n">
        <v>1</v>
      </c>
      <c r="L13" s="0" t="n">
        <v>23010</v>
      </c>
      <c r="M13" s="0" t="n">
        <v>23010</v>
      </c>
      <c r="N13" s="0" t="n">
        <v>20410</v>
      </c>
      <c r="R13" s="0" t="n">
        <v>0</v>
      </c>
      <c r="S13" s="0" t="s">
        <v>1399</v>
      </c>
      <c r="Y13" s="0" t="s">
        <v>947</v>
      </c>
      <c r="Z13" s="0" t="s">
        <v>2136</v>
      </c>
      <c r="AC13" s="0" t="s">
        <v>2085</v>
      </c>
      <c r="AF13" s="0" t="n">
        <v>3</v>
      </c>
      <c r="AH13" s="0" t="n">
        <v>0</v>
      </c>
      <c r="AI13" s="0" t="n">
        <v>23010</v>
      </c>
      <c r="AL13" s="0" t="s">
        <v>1570</v>
      </c>
      <c r="AM13" s="0" t="s">
        <v>1632</v>
      </c>
      <c r="AN13" s="0" t="s">
        <v>1595</v>
      </c>
      <c r="AO13" s="0" t="s">
        <v>2152</v>
      </c>
      <c r="AP13" s="0" t="s">
        <v>1527</v>
      </c>
      <c r="AS13" s="0" t="n">
        <v>0</v>
      </c>
      <c r="AV13" s="0" t="n">
        <v>0</v>
      </c>
      <c r="AZ13" s="0" t="n">
        <v>7670</v>
      </c>
      <c r="BA13" s="0" t="s">
        <v>1531</v>
      </c>
      <c r="BC13" s="0" t="n">
        <v>0</v>
      </c>
      <c r="BD13" s="0" t="n">
        <v>0</v>
      </c>
      <c r="BM13" s="0" t="n">
        <v>0</v>
      </c>
      <c r="BQ13" s="0" t="s">
        <v>1561</v>
      </c>
      <c r="BU13" s="0" t="s">
        <v>2153</v>
      </c>
      <c r="BW13" s="0" t="n">
        <v>0</v>
      </c>
    </row>
    <row r="14" customFormat="false" ht="13.8" hidden="false" customHeight="false" outlineLevel="0" collapsed="false">
      <c r="A14" s="267" t="n">
        <v>45746</v>
      </c>
      <c r="B14" s="267" t="n">
        <v>45746</v>
      </c>
      <c r="C14" s="0" t="n">
        <v>2.29715200000005E+018</v>
      </c>
      <c r="D14" s="0" t="s">
        <v>2093</v>
      </c>
      <c r="E14" s="0" t="n">
        <v>0</v>
      </c>
      <c r="F14" s="0" t="n">
        <v>0</v>
      </c>
      <c r="G14" s="0" t="s">
        <v>1538</v>
      </c>
      <c r="H14" s="0" t="s">
        <v>2154</v>
      </c>
      <c r="J14" s="0" t="s">
        <v>1526</v>
      </c>
      <c r="K14" s="0" t="n">
        <v>1</v>
      </c>
      <c r="L14" s="0" t="n">
        <v>127383.75</v>
      </c>
      <c r="M14" s="0" t="n">
        <v>147765.15</v>
      </c>
      <c r="N14" s="0" t="n">
        <v>0</v>
      </c>
      <c r="R14" s="0" t="n">
        <v>0</v>
      </c>
      <c r="S14" s="0" t="s">
        <v>1399</v>
      </c>
      <c r="Y14" s="0" t="s">
        <v>2140</v>
      </c>
      <c r="Z14" s="0" t="s">
        <v>2136</v>
      </c>
      <c r="AC14" s="0" t="s">
        <v>2092</v>
      </c>
      <c r="AE14" s="0" t="s">
        <v>2155</v>
      </c>
      <c r="AF14" s="0" t="n">
        <v>1</v>
      </c>
      <c r="AH14" s="0" t="n">
        <v>22929.08</v>
      </c>
      <c r="AI14" s="0" t="n">
        <v>127383.75</v>
      </c>
      <c r="AL14" s="0" t="s">
        <v>1959</v>
      </c>
      <c r="AM14" s="0" t="s">
        <v>1632</v>
      </c>
      <c r="AN14" s="0" t="s">
        <v>1595</v>
      </c>
      <c r="AO14" s="0" t="s">
        <v>2156</v>
      </c>
      <c r="AP14" s="0" t="s">
        <v>1531</v>
      </c>
      <c r="AQ14" s="0" t="n">
        <v>2.29715200000003E+018</v>
      </c>
      <c r="AR14" s="0" t="s">
        <v>1532</v>
      </c>
      <c r="AS14" s="0" t="n">
        <v>2</v>
      </c>
      <c r="AT14" s="0" t="s">
        <v>1534</v>
      </c>
      <c r="AU14" s="0" t="s">
        <v>1535</v>
      </c>
      <c r="AV14" s="0" t="n">
        <v>2547.68</v>
      </c>
      <c r="AZ14" s="0" t="n">
        <v>127383.75</v>
      </c>
      <c r="BA14" s="0" t="s">
        <v>1531</v>
      </c>
      <c r="BC14" s="0" t="n">
        <v>0</v>
      </c>
      <c r="BD14" s="0" t="n">
        <v>0</v>
      </c>
      <c r="BG14" s="0" t="n">
        <v>2.29715200000003E+018</v>
      </c>
      <c r="BH14" s="0" t="s">
        <v>1566</v>
      </c>
      <c r="BI14" s="0" t="n">
        <v>18</v>
      </c>
      <c r="BJ14" s="0" t="s">
        <v>1567</v>
      </c>
      <c r="BQ14" s="0" t="s">
        <v>1561</v>
      </c>
      <c r="BV14" s="0" t="s">
        <v>2138</v>
      </c>
      <c r="BW14" s="0" t="n">
        <v>0</v>
      </c>
      <c r="CC14" s="0" t="n">
        <v>0</v>
      </c>
      <c r="CD14" s="0" t="n">
        <v>0</v>
      </c>
      <c r="CE14" s="0" t="n">
        <v>18</v>
      </c>
      <c r="CF14" s="0" t="n">
        <v>0</v>
      </c>
      <c r="CG14" s="0" t="n">
        <v>0</v>
      </c>
      <c r="CH14" s="0" t="n">
        <v>0</v>
      </c>
      <c r="CI14" s="0" t="n">
        <v>22929.08</v>
      </c>
      <c r="CJ14" s="0" t="n">
        <v>0</v>
      </c>
      <c r="CK14" s="0" t="n">
        <v>0</v>
      </c>
      <c r="CL14" s="0" t="n">
        <v>0</v>
      </c>
      <c r="CM14" s="0" t="n">
        <v>22929.08</v>
      </c>
      <c r="CN14" s="0" t="n">
        <v>0</v>
      </c>
    </row>
    <row r="15" customFormat="false" ht="13.8" hidden="false" customHeight="false" outlineLevel="0" collapsed="false">
      <c r="A15" s="267" t="n">
        <v>45746</v>
      </c>
      <c r="B15" s="267" t="n">
        <v>45746</v>
      </c>
      <c r="C15" s="0" t="n">
        <v>2.29715200000005E+018</v>
      </c>
      <c r="D15" s="0" t="s">
        <v>2093</v>
      </c>
      <c r="E15" s="0" t="n">
        <v>0</v>
      </c>
      <c r="F15" s="0" t="n">
        <v>0</v>
      </c>
      <c r="G15" s="0" t="s">
        <v>1538</v>
      </c>
      <c r="H15" s="0" t="s">
        <v>2157</v>
      </c>
      <c r="J15" s="0" t="s">
        <v>1526</v>
      </c>
      <c r="K15" s="0" t="n">
        <v>1</v>
      </c>
      <c r="L15" s="0" t="n">
        <v>129910</v>
      </c>
      <c r="M15" s="0" t="n">
        <v>150695.6</v>
      </c>
      <c r="N15" s="0" t="n">
        <v>150695.6</v>
      </c>
      <c r="R15" s="0" t="n">
        <v>0</v>
      </c>
      <c r="S15" s="0" t="s">
        <v>1399</v>
      </c>
      <c r="Y15" s="0" t="s">
        <v>947</v>
      </c>
      <c r="Z15" s="0" t="s">
        <v>2136</v>
      </c>
      <c r="AC15" s="0" t="s">
        <v>2092</v>
      </c>
      <c r="AE15" s="0" t="s">
        <v>2155</v>
      </c>
      <c r="AF15" s="0" t="n">
        <v>1</v>
      </c>
      <c r="AH15" s="0" t="n">
        <v>23383.8</v>
      </c>
      <c r="AI15" s="0" t="n">
        <v>129910</v>
      </c>
      <c r="AL15" s="0" t="s">
        <v>1959</v>
      </c>
      <c r="AM15" s="0" t="s">
        <v>1632</v>
      </c>
      <c r="AN15" s="0" t="s">
        <v>1595</v>
      </c>
      <c r="AO15" s="0" t="s">
        <v>2156</v>
      </c>
      <c r="AP15" s="0" t="s">
        <v>1531</v>
      </c>
      <c r="AQ15" s="0" t="n">
        <v>2.29715200000003E+018</v>
      </c>
      <c r="AR15" s="0" t="s">
        <v>1532</v>
      </c>
      <c r="AS15" s="0" t="n">
        <v>2</v>
      </c>
      <c r="AT15" s="0" t="s">
        <v>1534</v>
      </c>
      <c r="AU15" s="0" t="s">
        <v>1535</v>
      </c>
      <c r="AV15" s="0" t="n">
        <v>2598.2</v>
      </c>
      <c r="AZ15" s="0" t="n">
        <v>129910</v>
      </c>
      <c r="BA15" s="0" t="s">
        <v>1531</v>
      </c>
      <c r="BC15" s="0" t="n">
        <v>0</v>
      </c>
      <c r="BD15" s="0" t="n">
        <v>0</v>
      </c>
      <c r="BG15" s="0" t="n">
        <v>2.29715200000003E+018</v>
      </c>
      <c r="BH15" s="0" t="s">
        <v>1566</v>
      </c>
      <c r="BI15" s="0" t="n">
        <v>18</v>
      </c>
      <c r="BJ15" s="0" t="s">
        <v>1567</v>
      </c>
      <c r="BQ15" s="0" t="s">
        <v>1561</v>
      </c>
      <c r="BV15" s="0" t="s">
        <v>2138</v>
      </c>
      <c r="BW15" s="0" t="n">
        <v>0</v>
      </c>
      <c r="CC15" s="0" t="n">
        <v>0</v>
      </c>
      <c r="CD15" s="0" t="n">
        <v>0</v>
      </c>
      <c r="CE15" s="0" t="n">
        <v>18</v>
      </c>
      <c r="CF15" s="0" t="n">
        <v>0</v>
      </c>
      <c r="CG15" s="0" t="n">
        <v>0</v>
      </c>
      <c r="CH15" s="0" t="n">
        <v>0</v>
      </c>
      <c r="CI15" s="0" t="n">
        <v>23383.8</v>
      </c>
      <c r="CJ15" s="0" t="n">
        <v>0</v>
      </c>
      <c r="CK15" s="0" t="n">
        <v>0</v>
      </c>
      <c r="CL15" s="0" t="n">
        <v>0</v>
      </c>
      <c r="CM15" s="0" t="n">
        <v>23383.8</v>
      </c>
      <c r="CN15" s="0" t="n">
        <v>0</v>
      </c>
    </row>
    <row r="16" customFormat="false" ht="13.8" hidden="false" customHeight="false" outlineLevel="0" collapsed="false">
      <c r="A16" s="267" t="n">
        <v>45719</v>
      </c>
      <c r="B16" s="267" t="n">
        <v>45719</v>
      </c>
      <c r="C16" s="0" t="n">
        <v>2.29715200000005E+018</v>
      </c>
      <c r="D16" s="0" t="s">
        <v>2158</v>
      </c>
      <c r="E16" s="0" t="n">
        <v>0</v>
      </c>
      <c r="F16" s="0" t="n">
        <v>0</v>
      </c>
      <c r="G16" s="0" t="s">
        <v>1538</v>
      </c>
      <c r="H16" s="0" t="s">
        <v>2159</v>
      </c>
      <c r="J16" s="0" t="s">
        <v>1526</v>
      </c>
      <c r="K16" s="0" t="n">
        <v>1</v>
      </c>
      <c r="L16" s="0" t="n">
        <v>20000</v>
      </c>
      <c r="M16" s="0" t="n">
        <v>18000</v>
      </c>
      <c r="N16" s="0" t="n">
        <v>0</v>
      </c>
      <c r="R16" s="0" t="n">
        <v>0</v>
      </c>
      <c r="S16" s="0" t="s">
        <v>1399</v>
      </c>
      <c r="Y16" s="0" t="s">
        <v>2140</v>
      </c>
      <c r="Z16" s="0" t="s">
        <v>2136</v>
      </c>
      <c r="AC16" s="0" t="s">
        <v>2085</v>
      </c>
      <c r="AF16" s="0" t="n">
        <v>1</v>
      </c>
      <c r="AH16" s="0" t="n">
        <v>0</v>
      </c>
      <c r="AI16" s="0" t="n">
        <v>20000</v>
      </c>
      <c r="AL16" s="0" t="s">
        <v>2160</v>
      </c>
      <c r="AM16" s="0" t="s">
        <v>1632</v>
      </c>
      <c r="AN16" s="0" t="s">
        <v>1524</v>
      </c>
      <c r="AP16" s="0" t="s">
        <v>1531</v>
      </c>
      <c r="AQ16" s="0" t="n">
        <v>2.29715200000003E+018</v>
      </c>
      <c r="AR16" s="0" t="s">
        <v>1596</v>
      </c>
      <c r="AS16" s="0" t="n">
        <v>10</v>
      </c>
      <c r="AT16" s="0" t="s">
        <v>1534</v>
      </c>
      <c r="AU16" s="0" t="s">
        <v>1535</v>
      </c>
      <c r="AV16" s="0" t="n">
        <v>2000</v>
      </c>
      <c r="AZ16" s="0" t="n">
        <v>20000</v>
      </c>
      <c r="BA16" s="0" t="s">
        <v>1531</v>
      </c>
      <c r="BC16" s="0" t="n">
        <v>0</v>
      </c>
      <c r="BD16" s="0" t="n">
        <v>0</v>
      </c>
      <c r="BQ16" s="0" t="s">
        <v>1561</v>
      </c>
      <c r="BV16" s="0" t="s">
        <v>2138</v>
      </c>
      <c r="BW16" s="0" t="n">
        <v>0</v>
      </c>
    </row>
    <row r="17" customFormat="false" ht="13.8" hidden="false" customHeight="false" outlineLevel="0" collapsed="false">
      <c r="A17" s="267" t="n">
        <v>45719</v>
      </c>
      <c r="B17" s="267" t="n">
        <v>45719</v>
      </c>
      <c r="C17" s="0" t="n">
        <v>2.29715200000005E+018</v>
      </c>
      <c r="D17" s="0" t="s">
        <v>2158</v>
      </c>
      <c r="E17" s="0" t="n">
        <v>0</v>
      </c>
      <c r="F17" s="0" t="n">
        <v>0</v>
      </c>
      <c r="G17" s="0" t="s">
        <v>1538</v>
      </c>
      <c r="H17" s="0" t="s">
        <v>2161</v>
      </c>
      <c r="J17" s="0" t="s">
        <v>1526</v>
      </c>
      <c r="K17" s="0" t="n">
        <v>1</v>
      </c>
      <c r="L17" s="0" t="n">
        <v>20000</v>
      </c>
      <c r="M17" s="0" t="n">
        <v>18000</v>
      </c>
      <c r="N17" s="0" t="n">
        <v>0</v>
      </c>
      <c r="R17" s="0" t="n">
        <v>0</v>
      </c>
      <c r="S17" s="0" t="s">
        <v>1399</v>
      </c>
      <c r="Y17" s="0" t="s">
        <v>2140</v>
      </c>
      <c r="Z17" s="0" t="s">
        <v>2136</v>
      </c>
      <c r="AC17" s="0" t="s">
        <v>2085</v>
      </c>
      <c r="AF17" s="0" t="n">
        <v>1</v>
      </c>
      <c r="AH17" s="0" t="n">
        <v>0</v>
      </c>
      <c r="AI17" s="0" t="n">
        <v>20000</v>
      </c>
      <c r="AL17" s="0" t="s">
        <v>2160</v>
      </c>
      <c r="AM17" s="0" t="s">
        <v>1632</v>
      </c>
      <c r="AN17" s="0" t="s">
        <v>1524</v>
      </c>
      <c r="AP17" s="0" t="s">
        <v>1531</v>
      </c>
      <c r="AQ17" s="0" t="n">
        <v>2.29715200000003E+018</v>
      </c>
      <c r="AR17" s="0" t="s">
        <v>1596</v>
      </c>
      <c r="AS17" s="0" t="n">
        <v>10</v>
      </c>
      <c r="AT17" s="0" t="s">
        <v>1534</v>
      </c>
      <c r="AU17" s="0" t="s">
        <v>1535</v>
      </c>
      <c r="AV17" s="0" t="n">
        <v>2000</v>
      </c>
      <c r="AZ17" s="0" t="n">
        <v>20000</v>
      </c>
      <c r="BA17" s="0" t="s">
        <v>1531</v>
      </c>
      <c r="BC17" s="0" t="n">
        <v>0</v>
      </c>
      <c r="BD17" s="0" t="n">
        <v>0</v>
      </c>
      <c r="BQ17" s="0" t="s">
        <v>1561</v>
      </c>
      <c r="BV17" s="0" t="s">
        <v>2138</v>
      </c>
      <c r="BW17" s="0" t="n">
        <v>0</v>
      </c>
    </row>
    <row r="18" customFormat="false" ht="13.8" hidden="false" customHeight="false" outlineLevel="0" collapsed="false">
      <c r="A18" s="267" t="n">
        <v>45749</v>
      </c>
      <c r="B18" s="267" t="n">
        <v>45749</v>
      </c>
      <c r="C18" s="0" t="n">
        <v>2.29715200000009E+018</v>
      </c>
      <c r="D18" s="0" t="s">
        <v>2078</v>
      </c>
      <c r="E18" s="0" t="n">
        <v>0</v>
      </c>
      <c r="F18" s="0" t="n">
        <v>0</v>
      </c>
      <c r="G18" s="0" t="s">
        <v>1538</v>
      </c>
      <c r="H18" s="0" t="n">
        <v>2115377585</v>
      </c>
      <c r="J18" s="0" t="s">
        <v>1526</v>
      </c>
      <c r="K18" s="0" t="n">
        <v>1</v>
      </c>
      <c r="L18" s="0" t="n">
        <v>68564.08</v>
      </c>
      <c r="M18" s="0" t="n">
        <v>68564.08</v>
      </c>
      <c r="N18" s="0" t="n">
        <v>0</v>
      </c>
      <c r="R18" s="0" t="n">
        <v>0</v>
      </c>
      <c r="S18" s="0" t="s">
        <v>1399</v>
      </c>
      <c r="Y18" s="0" t="s">
        <v>2140</v>
      </c>
      <c r="Z18" s="0" t="s">
        <v>2136</v>
      </c>
      <c r="AC18" s="0" t="s">
        <v>2077</v>
      </c>
      <c r="AE18" s="0" t="s">
        <v>2162</v>
      </c>
      <c r="AF18" s="0" t="n">
        <v>1</v>
      </c>
      <c r="AH18" s="0" t="n">
        <v>0</v>
      </c>
      <c r="AI18" s="0" t="n">
        <v>68564.08</v>
      </c>
      <c r="AM18" s="0" t="s">
        <v>1632</v>
      </c>
      <c r="AN18" s="0" t="s">
        <v>2163</v>
      </c>
      <c r="AP18" s="0" t="s">
        <v>1527</v>
      </c>
      <c r="AS18" s="0" t="n">
        <v>0</v>
      </c>
      <c r="AV18" s="0" t="n">
        <v>0</v>
      </c>
      <c r="AZ18" s="0" t="n">
        <v>68564.08</v>
      </c>
      <c r="BA18" s="0" t="s">
        <v>1531</v>
      </c>
      <c r="BC18" s="0" t="n">
        <v>0</v>
      </c>
      <c r="BD18" s="0" t="n">
        <v>0</v>
      </c>
      <c r="BM18" s="0" t="n">
        <v>0</v>
      </c>
      <c r="BQ18" s="0" t="s">
        <v>1561</v>
      </c>
      <c r="BR18" s="0" t="s">
        <v>1566</v>
      </c>
      <c r="BS18" s="0" t="n">
        <v>18</v>
      </c>
      <c r="BT18" s="0" t="s">
        <v>1567</v>
      </c>
      <c r="BV18" s="0" t="s">
        <v>2138</v>
      </c>
      <c r="BW18" s="0" t="n">
        <v>0</v>
      </c>
    </row>
    <row r="19" customFormat="false" ht="13.8" hidden="false" customHeight="false" outlineLevel="0" collapsed="false">
      <c r="A19" s="267" t="n">
        <v>45776</v>
      </c>
      <c r="B19" s="267" t="n">
        <v>45776</v>
      </c>
      <c r="C19" s="0" t="n">
        <v>2.29715200000012E+018</v>
      </c>
      <c r="D19" s="0" t="s">
        <v>2087</v>
      </c>
      <c r="E19" s="0" t="n">
        <v>0</v>
      </c>
      <c r="F19" s="0" t="n">
        <v>0</v>
      </c>
      <c r="G19" s="0" t="s">
        <v>1538</v>
      </c>
      <c r="H19" s="0" t="s">
        <v>2164</v>
      </c>
      <c r="J19" s="0" t="s">
        <v>1526</v>
      </c>
      <c r="K19" s="0" t="n">
        <v>1</v>
      </c>
      <c r="L19" s="0" t="n">
        <v>65000</v>
      </c>
      <c r="M19" s="0" t="n">
        <v>70200</v>
      </c>
      <c r="N19" s="0" t="n">
        <v>63200</v>
      </c>
      <c r="R19" s="0" t="n">
        <v>0</v>
      </c>
      <c r="S19" s="0" t="s">
        <v>1399</v>
      </c>
      <c r="Y19" s="0" t="s">
        <v>947</v>
      </c>
      <c r="Z19" s="0" t="s">
        <v>2136</v>
      </c>
      <c r="AC19" s="0" t="s">
        <v>2085</v>
      </c>
      <c r="AF19" s="0" t="n">
        <v>1</v>
      </c>
      <c r="AH19" s="0" t="n">
        <v>11700</v>
      </c>
      <c r="AI19" s="0" t="n">
        <v>65000</v>
      </c>
      <c r="AL19" s="0" t="s">
        <v>1522</v>
      </c>
      <c r="AM19" s="0" t="s">
        <v>1632</v>
      </c>
      <c r="AN19" s="0" t="s">
        <v>1595</v>
      </c>
      <c r="AO19" s="0" t="s">
        <v>2142</v>
      </c>
      <c r="AP19" s="0" t="s">
        <v>1531</v>
      </c>
      <c r="AQ19" s="0" t="n">
        <v>2.29715200000003E+018</v>
      </c>
      <c r="AR19" s="0" t="s">
        <v>1596</v>
      </c>
      <c r="AS19" s="0" t="n">
        <v>10</v>
      </c>
      <c r="AT19" s="0" t="s">
        <v>1534</v>
      </c>
      <c r="AU19" s="0" t="s">
        <v>1535</v>
      </c>
      <c r="AV19" s="0" t="n">
        <v>6500</v>
      </c>
      <c r="AZ19" s="0" t="n">
        <v>65000</v>
      </c>
      <c r="BA19" s="0" t="s">
        <v>1531</v>
      </c>
      <c r="BC19" s="0" t="n">
        <v>0</v>
      </c>
      <c r="BD19" s="0" t="n">
        <v>0</v>
      </c>
      <c r="BG19" s="0" t="n">
        <v>2.29715200000003E+018</v>
      </c>
      <c r="BH19" s="0" t="s">
        <v>1566</v>
      </c>
      <c r="BI19" s="0" t="n">
        <v>18</v>
      </c>
      <c r="BJ19" s="0" t="s">
        <v>1567</v>
      </c>
      <c r="BQ19" s="0" t="s">
        <v>1561</v>
      </c>
      <c r="BV19" s="0" t="s">
        <v>2138</v>
      </c>
      <c r="BW19" s="0" t="n">
        <v>0</v>
      </c>
      <c r="CC19" s="0" t="n">
        <v>0</v>
      </c>
      <c r="CD19" s="0" t="n">
        <v>0</v>
      </c>
      <c r="CE19" s="0" t="n">
        <v>18</v>
      </c>
      <c r="CF19" s="0" t="n">
        <v>0</v>
      </c>
      <c r="CG19" s="0" t="n">
        <v>0</v>
      </c>
      <c r="CH19" s="0" t="n">
        <v>0</v>
      </c>
      <c r="CI19" s="0" t="n">
        <v>11700</v>
      </c>
      <c r="CJ19" s="0" t="n">
        <v>0</v>
      </c>
      <c r="CK19" s="0" t="n">
        <v>0</v>
      </c>
      <c r="CL19" s="0" t="n">
        <v>0</v>
      </c>
      <c r="CM19" s="0" t="n">
        <v>11700</v>
      </c>
      <c r="CN19" s="0" t="n">
        <v>0</v>
      </c>
    </row>
    <row r="20" customFormat="false" ht="13.8" hidden="false" customHeight="false" outlineLevel="0" collapsed="false">
      <c r="A20" s="267" t="n">
        <v>45752</v>
      </c>
      <c r="B20" s="267" t="n">
        <v>45752</v>
      </c>
      <c r="C20" s="0" t="n">
        <v>2.29715200000014E+018</v>
      </c>
      <c r="D20" s="0" t="s">
        <v>2089</v>
      </c>
      <c r="E20" s="0" t="n">
        <v>0</v>
      </c>
      <c r="F20" s="0" t="n">
        <v>0</v>
      </c>
      <c r="G20" s="0" t="s">
        <v>2165</v>
      </c>
      <c r="H20" s="0" t="n">
        <v>249028</v>
      </c>
      <c r="J20" s="0" t="s">
        <v>1526</v>
      </c>
      <c r="K20" s="0" t="n">
        <v>1</v>
      </c>
      <c r="L20" s="0" t="n">
        <v>100</v>
      </c>
      <c r="M20" s="0" t="n">
        <v>118</v>
      </c>
      <c r="N20" s="0" t="n">
        <v>0</v>
      </c>
      <c r="R20" s="0" t="n">
        <v>0</v>
      </c>
      <c r="S20" s="0" t="s">
        <v>1399</v>
      </c>
      <c r="Y20" s="0" t="s">
        <v>2140</v>
      </c>
      <c r="Z20" s="0" t="s">
        <v>2136</v>
      </c>
      <c r="AC20" s="0" t="s">
        <v>2088</v>
      </c>
      <c r="AF20" s="0" t="n">
        <v>1</v>
      </c>
      <c r="AH20" s="0" t="n">
        <v>18</v>
      </c>
      <c r="AI20" s="0" t="n">
        <v>100</v>
      </c>
      <c r="AL20" s="0" t="s">
        <v>1959</v>
      </c>
      <c r="AM20" s="0" t="s">
        <v>1632</v>
      </c>
      <c r="AN20" s="0" t="s">
        <v>1595</v>
      </c>
      <c r="AO20" s="0" t="s">
        <v>2166</v>
      </c>
      <c r="AP20" s="0" t="s">
        <v>1527</v>
      </c>
      <c r="AS20" s="0" t="n">
        <v>0</v>
      </c>
      <c r="AV20" s="0" t="n">
        <v>0</v>
      </c>
      <c r="AZ20" s="0" t="n">
        <v>100</v>
      </c>
      <c r="BA20" s="0" t="s">
        <v>1531</v>
      </c>
      <c r="BC20" s="0" t="n">
        <v>0</v>
      </c>
      <c r="BD20" s="0" t="n">
        <v>0</v>
      </c>
      <c r="BG20" s="0" t="n">
        <v>2.29715200000003E+018</v>
      </c>
      <c r="BH20" s="0" t="s">
        <v>1566</v>
      </c>
      <c r="BI20" s="0" t="n">
        <v>18</v>
      </c>
      <c r="BJ20" s="0" t="s">
        <v>1567</v>
      </c>
      <c r="BM20" s="0" t="n">
        <v>0</v>
      </c>
      <c r="BQ20" s="0" t="s">
        <v>1561</v>
      </c>
      <c r="BV20" s="0" t="s">
        <v>2138</v>
      </c>
      <c r="BW20" s="0" t="n">
        <v>0</v>
      </c>
      <c r="CC20" s="0" t="n">
        <v>0</v>
      </c>
      <c r="CD20" s="0" t="n">
        <v>0</v>
      </c>
      <c r="CE20" s="0" t="n">
        <v>18</v>
      </c>
      <c r="CF20" s="0" t="n">
        <v>0</v>
      </c>
      <c r="CG20" s="0" t="n">
        <v>0</v>
      </c>
      <c r="CH20" s="0" t="n">
        <v>0</v>
      </c>
      <c r="CI20" s="0" t="n">
        <v>18</v>
      </c>
      <c r="CJ20" s="0" t="n">
        <v>0</v>
      </c>
      <c r="CK20" s="0" t="n">
        <v>0</v>
      </c>
      <c r="CL20" s="0" t="n">
        <v>0</v>
      </c>
      <c r="CM20" s="0" t="n">
        <v>18</v>
      </c>
      <c r="CN20" s="0" t="n">
        <v>0</v>
      </c>
    </row>
    <row r="21" customFormat="false" ht="13.8" hidden="false" customHeight="false" outlineLevel="0" collapsed="false">
      <c r="A21" s="267" t="n">
        <v>45716</v>
      </c>
      <c r="B21" s="267" t="n">
        <v>45716</v>
      </c>
      <c r="C21" s="0" t="n">
        <v>2.29715200000014E+018</v>
      </c>
      <c r="D21" s="0" t="s">
        <v>2091</v>
      </c>
      <c r="E21" s="0" t="n">
        <v>0</v>
      </c>
      <c r="F21" s="0" t="n">
        <v>0</v>
      </c>
      <c r="G21" s="0" t="s">
        <v>1538</v>
      </c>
      <c r="H21" s="0" t="s">
        <v>2167</v>
      </c>
      <c r="J21" s="0" t="s">
        <v>1526</v>
      </c>
      <c r="K21" s="0" t="n">
        <v>1</v>
      </c>
      <c r="L21" s="0" t="n">
        <v>6790.02</v>
      </c>
      <c r="M21" s="0" t="n">
        <v>8010.44</v>
      </c>
      <c r="N21" s="0" t="n">
        <v>0</v>
      </c>
      <c r="R21" s="0" t="n">
        <v>0</v>
      </c>
      <c r="S21" s="0" t="s">
        <v>1399</v>
      </c>
      <c r="Y21" s="0" t="s">
        <v>2140</v>
      </c>
      <c r="Z21" s="0" t="s">
        <v>2136</v>
      </c>
      <c r="AC21" s="0" t="s">
        <v>2088</v>
      </c>
      <c r="AF21" s="0" t="n">
        <v>1</v>
      </c>
      <c r="AH21" s="0" t="n">
        <v>1220.42</v>
      </c>
      <c r="AI21" s="0" t="n">
        <v>6780.13</v>
      </c>
      <c r="AL21" s="0" t="s">
        <v>1959</v>
      </c>
      <c r="AM21" s="0" t="s">
        <v>1632</v>
      </c>
      <c r="AN21" s="0" t="s">
        <v>1595</v>
      </c>
      <c r="AO21" s="0" t="s">
        <v>2168</v>
      </c>
      <c r="AP21" s="0" t="s">
        <v>1527</v>
      </c>
      <c r="AS21" s="0" t="n">
        <v>0</v>
      </c>
      <c r="AV21" s="0" t="n">
        <v>0</v>
      </c>
      <c r="AZ21" s="0" t="n">
        <v>6780.13</v>
      </c>
      <c r="BA21" s="0" t="s">
        <v>1531</v>
      </c>
      <c r="BC21" s="0" t="n">
        <v>0</v>
      </c>
      <c r="BD21" s="0" t="n">
        <v>0</v>
      </c>
      <c r="BG21" s="0" t="n">
        <v>2.29715200000003E+018</v>
      </c>
      <c r="BH21" s="0" t="s">
        <v>1566</v>
      </c>
      <c r="BI21" s="0" t="n">
        <v>18</v>
      </c>
      <c r="BJ21" s="0" t="s">
        <v>1567</v>
      </c>
      <c r="BM21" s="0" t="n">
        <v>0</v>
      </c>
      <c r="BQ21" s="0" t="s">
        <v>1561</v>
      </c>
      <c r="BV21" s="0" t="s">
        <v>2138</v>
      </c>
      <c r="BW21" s="0" t="n">
        <v>0</v>
      </c>
      <c r="CC21" s="0" t="n">
        <v>0</v>
      </c>
      <c r="CD21" s="0" t="n">
        <v>0</v>
      </c>
      <c r="CE21" s="0" t="n">
        <v>18</v>
      </c>
      <c r="CF21" s="0" t="n">
        <v>0</v>
      </c>
      <c r="CG21" s="0" t="n">
        <v>0</v>
      </c>
      <c r="CH21" s="0" t="n">
        <v>0</v>
      </c>
      <c r="CI21" s="0" t="n">
        <v>1220.42</v>
      </c>
      <c r="CJ21" s="0" t="n">
        <v>0</v>
      </c>
      <c r="CK21" s="0" t="n">
        <v>0</v>
      </c>
      <c r="CL21" s="0" t="n">
        <v>0</v>
      </c>
      <c r="CM21" s="0" t="n">
        <v>1220.42</v>
      </c>
      <c r="CN21" s="0" t="n">
        <v>0</v>
      </c>
    </row>
    <row r="22" customFormat="false" ht="13.8" hidden="false" customHeight="false" outlineLevel="0" collapsed="false">
      <c r="A22" s="267" t="n">
        <v>45716</v>
      </c>
      <c r="B22" s="267" t="n">
        <v>45716</v>
      </c>
      <c r="C22" s="0" t="n">
        <v>2.29715200000014E+018</v>
      </c>
      <c r="D22" s="0" t="s">
        <v>2091</v>
      </c>
      <c r="E22" s="0" t="n">
        <v>0</v>
      </c>
      <c r="F22" s="0" t="n">
        <v>0</v>
      </c>
      <c r="G22" s="0" t="s">
        <v>1538</v>
      </c>
      <c r="H22" s="0" t="s">
        <v>2167</v>
      </c>
      <c r="J22" s="0" t="s">
        <v>1526</v>
      </c>
      <c r="K22" s="0" t="n">
        <v>1</v>
      </c>
      <c r="L22" s="0" t="n">
        <v>6790.02</v>
      </c>
      <c r="M22" s="0" t="n">
        <v>8010.44</v>
      </c>
      <c r="N22" s="0" t="n">
        <v>0</v>
      </c>
      <c r="R22" s="0" t="n">
        <v>0</v>
      </c>
      <c r="S22" s="0" t="s">
        <v>1399</v>
      </c>
      <c r="Y22" s="0" t="s">
        <v>2140</v>
      </c>
      <c r="Z22" s="0" t="s">
        <v>2136</v>
      </c>
      <c r="AC22" s="0" t="s">
        <v>2088</v>
      </c>
      <c r="AF22" s="0" t="n">
        <v>1</v>
      </c>
      <c r="AH22" s="0" t="n">
        <v>0</v>
      </c>
      <c r="AI22" s="0" t="n">
        <v>9.89</v>
      </c>
      <c r="AL22" s="0" t="s">
        <v>1959</v>
      </c>
      <c r="AM22" s="0" t="s">
        <v>1632</v>
      </c>
      <c r="AN22" s="0" t="s">
        <v>1595</v>
      </c>
      <c r="AO22" s="0" t="s">
        <v>2168</v>
      </c>
      <c r="AP22" s="0" t="s">
        <v>1527</v>
      </c>
      <c r="AS22" s="0" t="n">
        <v>0</v>
      </c>
      <c r="AV22" s="0" t="n">
        <v>0</v>
      </c>
      <c r="AZ22" s="0" t="n">
        <v>9.89</v>
      </c>
      <c r="BA22" s="0" t="s">
        <v>1531</v>
      </c>
      <c r="BC22" s="0" t="n">
        <v>0</v>
      </c>
      <c r="BD22" s="0" t="n">
        <v>0</v>
      </c>
      <c r="BG22" s="0" t="n">
        <v>2.29715200000003E+018</v>
      </c>
      <c r="BH22" s="0" t="s">
        <v>2144</v>
      </c>
      <c r="BI22" s="0" t="n">
        <v>0</v>
      </c>
      <c r="BJ22" s="0" t="s">
        <v>1567</v>
      </c>
      <c r="BM22" s="0" t="n">
        <v>0</v>
      </c>
      <c r="BQ22" s="0" t="s">
        <v>1561</v>
      </c>
      <c r="BV22" s="0" t="s">
        <v>2138</v>
      </c>
      <c r="BW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</row>
    <row r="23" customFormat="false" ht="13.8" hidden="false" customHeight="false" outlineLevel="0" collapsed="false">
      <c r="A23" s="267" t="n">
        <v>45742</v>
      </c>
      <c r="B23" s="267" t="n">
        <v>45742</v>
      </c>
      <c r="C23" s="0" t="n">
        <v>2.29715200000014E+018</v>
      </c>
      <c r="D23" s="0" t="s">
        <v>2169</v>
      </c>
      <c r="E23" s="0" t="n">
        <v>0</v>
      </c>
      <c r="F23" s="0" t="n">
        <v>0</v>
      </c>
      <c r="G23" s="0" t="s">
        <v>1538</v>
      </c>
      <c r="H23" s="0" t="s">
        <v>2170</v>
      </c>
      <c r="J23" s="0" t="s">
        <v>1526</v>
      </c>
      <c r="K23" s="0" t="n">
        <v>1</v>
      </c>
      <c r="L23" s="0" t="n">
        <v>10000</v>
      </c>
      <c r="M23" s="0" t="n">
        <v>11800</v>
      </c>
      <c r="N23" s="0" t="n">
        <v>0</v>
      </c>
      <c r="R23" s="0" t="n">
        <v>0</v>
      </c>
      <c r="S23" s="0" t="s">
        <v>1399</v>
      </c>
      <c r="Y23" s="0" t="s">
        <v>2140</v>
      </c>
      <c r="Z23" s="0" t="s">
        <v>2136</v>
      </c>
      <c r="AC23" s="0" t="s">
        <v>2094</v>
      </c>
      <c r="AE23" s="0" t="s">
        <v>2094</v>
      </c>
      <c r="AF23" s="0" t="n">
        <v>1</v>
      </c>
      <c r="AH23" s="0" t="n">
        <v>1800</v>
      </c>
      <c r="AI23" s="0" t="n">
        <v>10000</v>
      </c>
      <c r="AL23" s="0" t="s">
        <v>1959</v>
      </c>
      <c r="AM23" s="0" t="s">
        <v>1632</v>
      </c>
      <c r="AN23" s="0" t="s">
        <v>1595</v>
      </c>
      <c r="AO23" s="0" t="s">
        <v>2171</v>
      </c>
      <c r="AP23" s="0" t="s">
        <v>1527</v>
      </c>
      <c r="AS23" s="0" t="n">
        <v>0</v>
      </c>
      <c r="AV23" s="0" t="n">
        <v>0</v>
      </c>
      <c r="AZ23" s="0" t="n">
        <v>10000</v>
      </c>
      <c r="BA23" s="0" t="s">
        <v>1531</v>
      </c>
      <c r="BC23" s="0" t="n">
        <v>0</v>
      </c>
      <c r="BD23" s="0" t="n">
        <v>0</v>
      </c>
      <c r="BG23" s="0" t="n">
        <v>2.29715200000003E+018</v>
      </c>
      <c r="BH23" s="0" t="s">
        <v>1566</v>
      </c>
      <c r="BI23" s="0" t="n">
        <v>18</v>
      </c>
      <c r="BJ23" s="0" t="s">
        <v>1567</v>
      </c>
      <c r="BM23" s="0" t="n">
        <v>0</v>
      </c>
      <c r="BQ23" s="0" t="s">
        <v>1561</v>
      </c>
      <c r="BV23" s="0" t="s">
        <v>2138</v>
      </c>
      <c r="BW23" s="0" t="n">
        <v>0</v>
      </c>
      <c r="CC23" s="0" t="n">
        <v>0</v>
      </c>
      <c r="CD23" s="0" t="n">
        <v>0</v>
      </c>
      <c r="CE23" s="0" t="n">
        <v>18</v>
      </c>
      <c r="CF23" s="0" t="n">
        <v>0</v>
      </c>
      <c r="CG23" s="0" t="n">
        <v>0</v>
      </c>
      <c r="CH23" s="0" t="n">
        <v>0</v>
      </c>
      <c r="CI23" s="0" t="n">
        <v>1800</v>
      </c>
      <c r="CJ23" s="0" t="n">
        <v>0</v>
      </c>
      <c r="CK23" s="0" t="n">
        <v>0</v>
      </c>
      <c r="CL23" s="0" t="n">
        <v>0</v>
      </c>
      <c r="CM23" s="0" t="n">
        <v>1800</v>
      </c>
      <c r="CN23" s="0" t="n">
        <v>0</v>
      </c>
    </row>
    <row r="24" customFormat="false" ht="13.8" hidden="false" customHeight="false" outlineLevel="0" collapsed="false">
      <c r="A24" s="267" t="n">
        <v>45737</v>
      </c>
      <c r="B24" s="267" t="n">
        <v>45737</v>
      </c>
      <c r="C24" s="0" t="n">
        <v>2.29715200000014E+018</v>
      </c>
      <c r="D24" s="0" t="s">
        <v>2099</v>
      </c>
      <c r="E24" s="0" t="n">
        <v>0</v>
      </c>
      <c r="F24" s="0" t="n">
        <v>0</v>
      </c>
      <c r="G24" s="0" t="s">
        <v>1538</v>
      </c>
      <c r="H24" s="0" t="s">
        <v>2172</v>
      </c>
      <c r="J24" s="0" t="s">
        <v>1526</v>
      </c>
      <c r="K24" s="0" t="n">
        <v>1</v>
      </c>
      <c r="L24" s="0" t="n">
        <v>1047</v>
      </c>
      <c r="M24" s="0" t="n">
        <v>1235.46</v>
      </c>
      <c r="N24" s="0" t="n">
        <v>1235.46</v>
      </c>
      <c r="R24" s="0" t="n">
        <v>0</v>
      </c>
      <c r="S24" s="0" t="s">
        <v>1399</v>
      </c>
      <c r="Y24" s="0" t="s">
        <v>947</v>
      </c>
      <c r="Z24" s="0" t="s">
        <v>2136</v>
      </c>
      <c r="AC24" s="0" t="s">
        <v>2173</v>
      </c>
      <c r="AF24" s="0" t="n">
        <v>1</v>
      </c>
      <c r="AH24" s="0" t="n">
        <v>188.46</v>
      </c>
      <c r="AI24" s="0" t="n">
        <v>1047</v>
      </c>
      <c r="AL24" s="0" t="s">
        <v>1959</v>
      </c>
      <c r="AM24" s="0" t="s">
        <v>1632</v>
      </c>
      <c r="AN24" s="0" t="s">
        <v>1595</v>
      </c>
      <c r="AO24" s="0" t="s">
        <v>2174</v>
      </c>
      <c r="AP24" s="0" t="s">
        <v>1527</v>
      </c>
      <c r="AS24" s="0" t="n">
        <v>0</v>
      </c>
      <c r="AV24" s="0" t="n">
        <v>0</v>
      </c>
      <c r="AZ24" s="0" t="n">
        <v>1047</v>
      </c>
      <c r="BA24" s="0" t="s">
        <v>1531</v>
      </c>
      <c r="BC24" s="0" t="n">
        <v>0</v>
      </c>
      <c r="BD24" s="0" t="n">
        <v>0</v>
      </c>
      <c r="BG24" s="0" t="n">
        <v>2.29715200000003E+018</v>
      </c>
      <c r="BH24" s="0" t="s">
        <v>1566</v>
      </c>
      <c r="BI24" s="0" t="n">
        <v>18</v>
      </c>
      <c r="BJ24" s="0" t="s">
        <v>1567</v>
      </c>
      <c r="BM24" s="0" t="n">
        <v>0</v>
      </c>
      <c r="BQ24" s="0" t="s">
        <v>1561</v>
      </c>
      <c r="BV24" s="0" t="s">
        <v>2138</v>
      </c>
      <c r="BW24" s="0" t="n">
        <v>0</v>
      </c>
      <c r="CC24" s="0" t="n">
        <v>0</v>
      </c>
      <c r="CD24" s="0" t="n">
        <v>0</v>
      </c>
      <c r="CE24" s="0" t="n">
        <v>18</v>
      </c>
      <c r="CF24" s="0" t="n">
        <v>0</v>
      </c>
      <c r="CG24" s="0" t="n">
        <v>0</v>
      </c>
      <c r="CH24" s="0" t="n">
        <v>0</v>
      </c>
      <c r="CI24" s="0" t="n">
        <v>188.46</v>
      </c>
      <c r="CJ24" s="0" t="n">
        <v>0</v>
      </c>
      <c r="CK24" s="0" t="n">
        <v>0</v>
      </c>
      <c r="CL24" s="0" t="n">
        <v>0</v>
      </c>
      <c r="CM24" s="0" t="n">
        <v>188.46</v>
      </c>
      <c r="CN24" s="0" t="n">
        <v>0</v>
      </c>
    </row>
    <row r="25" customFormat="false" ht="13.8" hidden="false" customHeight="false" outlineLevel="0" collapsed="false">
      <c r="A25" s="267" t="n">
        <v>45740</v>
      </c>
      <c r="B25" s="267" t="n">
        <v>45740</v>
      </c>
      <c r="C25" s="0" t="n">
        <v>2.29715200000014E+018</v>
      </c>
      <c r="D25" s="0" t="s">
        <v>2099</v>
      </c>
      <c r="E25" s="0" t="n">
        <v>0</v>
      </c>
      <c r="F25" s="0" t="n">
        <v>0</v>
      </c>
      <c r="G25" s="0" t="s">
        <v>1538</v>
      </c>
      <c r="H25" s="0" t="s">
        <v>2175</v>
      </c>
      <c r="J25" s="0" t="s">
        <v>1526</v>
      </c>
      <c r="K25" s="0" t="n">
        <v>1</v>
      </c>
      <c r="L25" s="0" t="n">
        <v>698</v>
      </c>
      <c r="M25" s="0" t="n">
        <v>823.64</v>
      </c>
      <c r="N25" s="0" t="n">
        <v>823.64</v>
      </c>
      <c r="R25" s="0" t="n">
        <v>0</v>
      </c>
      <c r="S25" s="0" t="s">
        <v>1399</v>
      </c>
      <c r="Y25" s="0" t="s">
        <v>947</v>
      </c>
      <c r="Z25" s="0" t="s">
        <v>2136</v>
      </c>
      <c r="AC25" s="0" t="s">
        <v>2173</v>
      </c>
      <c r="AF25" s="0" t="n">
        <v>1</v>
      </c>
      <c r="AH25" s="0" t="n">
        <v>125.64</v>
      </c>
      <c r="AI25" s="0" t="n">
        <v>698</v>
      </c>
      <c r="AL25" s="0" t="s">
        <v>1959</v>
      </c>
      <c r="AM25" s="0" t="s">
        <v>1632</v>
      </c>
      <c r="AN25" s="0" t="s">
        <v>1595</v>
      </c>
      <c r="AO25" s="0" t="s">
        <v>2174</v>
      </c>
      <c r="AP25" s="0" t="s">
        <v>1527</v>
      </c>
      <c r="AS25" s="0" t="n">
        <v>0</v>
      </c>
      <c r="AV25" s="0" t="n">
        <v>0</v>
      </c>
      <c r="AZ25" s="0" t="n">
        <v>698</v>
      </c>
      <c r="BA25" s="0" t="s">
        <v>1531</v>
      </c>
      <c r="BC25" s="0" t="n">
        <v>0</v>
      </c>
      <c r="BD25" s="0" t="n">
        <v>0</v>
      </c>
      <c r="BG25" s="0" t="n">
        <v>2.29715200000003E+018</v>
      </c>
      <c r="BH25" s="0" t="s">
        <v>1566</v>
      </c>
      <c r="BI25" s="0" t="n">
        <v>18</v>
      </c>
      <c r="BJ25" s="0" t="s">
        <v>1567</v>
      </c>
      <c r="BM25" s="0" t="n">
        <v>0</v>
      </c>
      <c r="BQ25" s="0" t="s">
        <v>1561</v>
      </c>
      <c r="BV25" s="0" t="s">
        <v>2138</v>
      </c>
      <c r="BW25" s="0" t="n">
        <v>0</v>
      </c>
      <c r="CC25" s="0" t="n">
        <v>0</v>
      </c>
      <c r="CD25" s="0" t="n">
        <v>0</v>
      </c>
      <c r="CE25" s="0" t="n">
        <v>18</v>
      </c>
      <c r="CF25" s="0" t="n">
        <v>0</v>
      </c>
      <c r="CG25" s="0" t="n">
        <v>0</v>
      </c>
      <c r="CH25" s="0" t="n">
        <v>0</v>
      </c>
      <c r="CI25" s="0" t="n">
        <v>125.64</v>
      </c>
      <c r="CJ25" s="0" t="n">
        <v>0</v>
      </c>
      <c r="CK25" s="0" t="n">
        <v>0</v>
      </c>
      <c r="CL25" s="0" t="n">
        <v>0</v>
      </c>
      <c r="CM25" s="0" t="n">
        <v>125.64</v>
      </c>
      <c r="CN25" s="0" t="n">
        <v>0</v>
      </c>
    </row>
    <row r="26" customFormat="false" ht="13.8" hidden="false" customHeight="false" outlineLevel="0" collapsed="false">
      <c r="A26" s="267" t="n">
        <v>45742</v>
      </c>
      <c r="B26" s="267" t="n">
        <v>45742</v>
      </c>
      <c r="C26" s="0" t="n">
        <v>2.29715200000014E+018</v>
      </c>
      <c r="D26" s="0" t="s">
        <v>2099</v>
      </c>
      <c r="E26" s="0" t="n">
        <v>0</v>
      </c>
      <c r="F26" s="0" t="n">
        <v>0</v>
      </c>
      <c r="G26" s="0" t="s">
        <v>1538</v>
      </c>
      <c r="H26" s="0" t="s">
        <v>2176</v>
      </c>
      <c r="J26" s="0" t="s">
        <v>1526</v>
      </c>
      <c r="K26" s="0" t="n">
        <v>1</v>
      </c>
      <c r="L26" s="0" t="n">
        <v>1047</v>
      </c>
      <c r="M26" s="0" t="n">
        <v>1235.46</v>
      </c>
      <c r="N26" s="0" t="n">
        <v>1235.46</v>
      </c>
      <c r="R26" s="0" t="n">
        <v>0</v>
      </c>
      <c r="S26" s="0" t="s">
        <v>1399</v>
      </c>
      <c r="Y26" s="0" t="s">
        <v>2045</v>
      </c>
      <c r="Z26" s="0" t="s">
        <v>2136</v>
      </c>
      <c r="AC26" s="0" t="s">
        <v>2173</v>
      </c>
      <c r="AF26" s="0" t="n">
        <v>1</v>
      </c>
      <c r="AH26" s="0" t="n">
        <v>188.46</v>
      </c>
      <c r="AI26" s="0" t="n">
        <v>1047</v>
      </c>
      <c r="AL26" s="0" t="s">
        <v>1959</v>
      </c>
      <c r="AM26" s="0" t="s">
        <v>1632</v>
      </c>
      <c r="AN26" s="0" t="s">
        <v>1595</v>
      </c>
      <c r="AO26" s="0" t="s">
        <v>2174</v>
      </c>
      <c r="AP26" s="0" t="s">
        <v>1527</v>
      </c>
      <c r="AS26" s="0" t="n">
        <v>0</v>
      </c>
      <c r="AV26" s="0" t="n">
        <v>0</v>
      </c>
      <c r="AZ26" s="0" t="n">
        <v>1047</v>
      </c>
      <c r="BA26" s="0" t="s">
        <v>1531</v>
      </c>
      <c r="BC26" s="0" t="n">
        <v>0</v>
      </c>
      <c r="BD26" s="0" t="n">
        <v>0</v>
      </c>
      <c r="BG26" s="0" t="n">
        <v>2.29715200000003E+018</v>
      </c>
      <c r="BH26" s="0" t="s">
        <v>1566</v>
      </c>
      <c r="BI26" s="0" t="n">
        <v>18</v>
      </c>
      <c r="BJ26" s="0" t="s">
        <v>1567</v>
      </c>
      <c r="BM26" s="0" t="n">
        <v>0</v>
      </c>
      <c r="BQ26" s="0" t="s">
        <v>1561</v>
      </c>
      <c r="BV26" s="0" t="s">
        <v>2138</v>
      </c>
      <c r="BW26" s="0" t="n">
        <v>0</v>
      </c>
      <c r="CC26" s="0" t="n">
        <v>0</v>
      </c>
      <c r="CD26" s="0" t="n">
        <v>0</v>
      </c>
      <c r="CE26" s="0" t="n">
        <v>18</v>
      </c>
      <c r="CF26" s="0" t="n">
        <v>0</v>
      </c>
      <c r="CG26" s="0" t="n">
        <v>0</v>
      </c>
      <c r="CH26" s="0" t="n">
        <v>0</v>
      </c>
      <c r="CI26" s="0" t="n">
        <v>188.46</v>
      </c>
      <c r="CJ26" s="0" t="n">
        <v>0</v>
      </c>
      <c r="CK26" s="0" t="n">
        <v>0</v>
      </c>
      <c r="CL26" s="0" t="n">
        <v>0</v>
      </c>
      <c r="CM26" s="0" t="n">
        <v>188.46</v>
      </c>
      <c r="CN26" s="0" t="n">
        <v>0</v>
      </c>
    </row>
    <row r="27" customFormat="false" ht="13.8" hidden="false" customHeight="false" outlineLevel="0" collapsed="false">
      <c r="A27" s="267" t="n">
        <v>45744</v>
      </c>
      <c r="B27" s="267" t="n">
        <v>45744</v>
      </c>
      <c r="C27" s="0" t="n">
        <v>2.29715200000014E+018</v>
      </c>
      <c r="D27" s="0" t="s">
        <v>2099</v>
      </c>
      <c r="E27" s="0" t="n">
        <v>0</v>
      </c>
      <c r="F27" s="0" t="n">
        <v>0</v>
      </c>
      <c r="G27" s="0" t="s">
        <v>1538</v>
      </c>
      <c r="H27" s="0" t="s">
        <v>2177</v>
      </c>
      <c r="J27" s="0" t="s">
        <v>1526</v>
      </c>
      <c r="K27" s="0" t="n">
        <v>1</v>
      </c>
      <c r="L27" s="0" t="n">
        <v>1047</v>
      </c>
      <c r="M27" s="0" t="n">
        <v>1235.46</v>
      </c>
      <c r="N27" s="0" t="n">
        <v>1235.46</v>
      </c>
      <c r="R27" s="0" t="n">
        <v>0</v>
      </c>
      <c r="S27" s="0" t="s">
        <v>1399</v>
      </c>
      <c r="Y27" s="0" t="s">
        <v>947</v>
      </c>
      <c r="Z27" s="0" t="s">
        <v>2136</v>
      </c>
      <c r="AC27" s="0" t="s">
        <v>2098</v>
      </c>
      <c r="AF27" s="0" t="n">
        <v>1</v>
      </c>
      <c r="AH27" s="0" t="n">
        <v>188.46</v>
      </c>
      <c r="AI27" s="0" t="n">
        <v>1047</v>
      </c>
      <c r="AL27" s="0" t="s">
        <v>1959</v>
      </c>
      <c r="AM27" s="0" t="s">
        <v>1632</v>
      </c>
      <c r="AN27" s="0" t="s">
        <v>1595</v>
      </c>
      <c r="AO27" s="0" t="s">
        <v>2174</v>
      </c>
      <c r="AP27" s="0" t="s">
        <v>1527</v>
      </c>
      <c r="AS27" s="0" t="n">
        <v>0</v>
      </c>
      <c r="AV27" s="0" t="n">
        <v>0</v>
      </c>
      <c r="AZ27" s="0" t="n">
        <v>1047</v>
      </c>
      <c r="BA27" s="0" t="s">
        <v>1531</v>
      </c>
      <c r="BC27" s="0" t="n">
        <v>0</v>
      </c>
      <c r="BD27" s="0" t="n">
        <v>0</v>
      </c>
      <c r="BG27" s="0" t="n">
        <v>2.29715200000003E+018</v>
      </c>
      <c r="BH27" s="0" t="s">
        <v>1566</v>
      </c>
      <c r="BI27" s="0" t="n">
        <v>18</v>
      </c>
      <c r="BJ27" s="0" t="s">
        <v>1567</v>
      </c>
      <c r="BM27" s="0" t="n">
        <v>0</v>
      </c>
      <c r="BQ27" s="0" t="s">
        <v>1561</v>
      </c>
      <c r="BV27" s="0" t="s">
        <v>2138</v>
      </c>
      <c r="BW27" s="0" t="n">
        <v>0</v>
      </c>
      <c r="CC27" s="0" t="n">
        <v>0</v>
      </c>
      <c r="CD27" s="0" t="n">
        <v>0</v>
      </c>
      <c r="CE27" s="0" t="n">
        <v>18</v>
      </c>
      <c r="CF27" s="0" t="n">
        <v>0</v>
      </c>
      <c r="CG27" s="0" t="n">
        <v>0</v>
      </c>
      <c r="CH27" s="0" t="n">
        <v>0</v>
      </c>
      <c r="CI27" s="0" t="n">
        <v>188.46</v>
      </c>
      <c r="CJ27" s="0" t="n">
        <v>0</v>
      </c>
      <c r="CK27" s="0" t="n">
        <v>0</v>
      </c>
      <c r="CL27" s="0" t="n">
        <v>0</v>
      </c>
      <c r="CM27" s="0" t="n">
        <v>188.46</v>
      </c>
      <c r="CN27" s="0" t="n">
        <v>0</v>
      </c>
    </row>
    <row r="28" customFormat="false" ht="13.8" hidden="false" customHeight="false" outlineLevel="0" collapsed="false">
      <c r="A28" s="267" t="n">
        <v>45744</v>
      </c>
      <c r="B28" s="267" t="n">
        <v>45744</v>
      </c>
      <c r="C28" s="0" t="n">
        <v>2.29715200000014E+018</v>
      </c>
      <c r="D28" s="0" t="s">
        <v>2099</v>
      </c>
      <c r="E28" s="0" t="n">
        <v>0</v>
      </c>
      <c r="F28" s="0" t="n">
        <v>0</v>
      </c>
      <c r="G28" s="0" t="s">
        <v>1538</v>
      </c>
      <c r="H28" s="0" t="s">
        <v>2178</v>
      </c>
      <c r="J28" s="0" t="s">
        <v>1526</v>
      </c>
      <c r="K28" s="0" t="n">
        <v>1</v>
      </c>
      <c r="L28" s="0" t="n">
        <v>1047</v>
      </c>
      <c r="M28" s="0" t="n">
        <v>1235.46</v>
      </c>
      <c r="N28" s="0" t="n">
        <v>1235.46</v>
      </c>
      <c r="R28" s="0" t="n">
        <v>0</v>
      </c>
      <c r="S28" s="0" t="s">
        <v>1399</v>
      </c>
      <c r="Y28" s="0" t="s">
        <v>947</v>
      </c>
      <c r="Z28" s="0" t="s">
        <v>2136</v>
      </c>
      <c r="AC28" s="0" t="s">
        <v>2173</v>
      </c>
      <c r="AF28" s="0" t="n">
        <v>1</v>
      </c>
      <c r="AH28" s="0" t="n">
        <v>188.46</v>
      </c>
      <c r="AI28" s="0" t="n">
        <v>1047</v>
      </c>
      <c r="AL28" s="0" t="s">
        <v>1959</v>
      </c>
      <c r="AM28" s="0" t="s">
        <v>1632</v>
      </c>
      <c r="AN28" s="0" t="s">
        <v>1595</v>
      </c>
      <c r="AO28" s="0" t="s">
        <v>2174</v>
      </c>
      <c r="AP28" s="0" t="s">
        <v>1527</v>
      </c>
      <c r="AS28" s="0" t="n">
        <v>0</v>
      </c>
      <c r="AV28" s="0" t="n">
        <v>0</v>
      </c>
      <c r="AZ28" s="0" t="n">
        <v>1047</v>
      </c>
      <c r="BA28" s="0" t="s">
        <v>1531</v>
      </c>
      <c r="BC28" s="0" t="n">
        <v>0</v>
      </c>
      <c r="BD28" s="0" t="n">
        <v>0</v>
      </c>
      <c r="BG28" s="0" t="n">
        <v>2.29715200000003E+018</v>
      </c>
      <c r="BH28" s="0" t="s">
        <v>1566</v>
      </c>
      <c r="BI28" s="0" t="n">
        <v>18</v>
      </c>
      <c r="BJ28" s="0" t="s">
        <v>1567</v>
      </c>
      <c r="BM28" s="0" t="n">
        <v>0</v>
      </c>
      <c r="BQ28" s="0" t="s">
        <v>1561</v>
      </c>
      <c r="BV28" s="0" t="s">
        <v>2138</v>
      </c>
      <c r="BW28" s="0" t="n">
        <v>0</v>
      </c>
      <c r="CC28" s="0" t="n">
        <v>0</v>
      </c>
      <c r="CD28" s="0" t="n">
        <v>0</v>
      </c>
      <c r="CE28" s="0" t="n">
        <v>18</v>
      </c>
      <c r="CF28" s="0" t="n">
        <v>0</v>
      </c>
      <c r="CG28" s="0" t="n">
        <v>0</v>
      </c>
      <c r="CH28" s="0" t="n">
        <v>0</v>
      </c>
      <c r="CI28" s="0" t="n">
        <v>188.46</v>
      </c>
      <c r="CJ28" s="0" t="n">
        <v>0</v>
      </c>
      <c r="CK28" s="0" t="n">
        <v>0</v>
      </c>
      <c r="CL28" s="0" t="n">
        <v>0</v>
      </c>
      <c r="CM28" s="0" t="n">
        <v>188.46</v>
      </c>
      <c r="CN28" s="0" t="n">
        <v>0</v>
      </c>
    </row>
    <row r="29" customFormat="false" ht="13.8" hidden="false" customHeight="false" outlineLevel="0" collapsed="false">
      <c r="A29" s="267" t="n">
        <v>45747</v>
      </c>
      <c r="B29" s="267" t="n">
        <v>45747</v>
      </c>
      <c r="C29" s="0" t="n">
        <v>2.29715200000014E+018</v>
      </c>
      <c r="D29" s="0" t="s">
        <v>2099</v>
      </c>
      <c r="E29" s="0" t="n">
        <v>0</v>
      </c>
      <c r="F29" s="0" t="n">
        <v>0</v>
      </c>
      <c r="G29" s="0" t="s">
        <v>1538</v>
      </c>
      <c r="H29" s="0" t="s">
        <v>2179</v>
      </c>
      <c r="J29" s="0" t="s">
        <v>1526</v>
      </c>
      <c r="K29" s="0" t="n">
        <v>1</v>
      </c>
      <c r="L29" s="0" t="n">
        <v>1047</v>
      </c>
      <c r="M29" s="0" t="n">
        <v>1235.46</v>
      </c>
      <c r="N29" s="0" t="n">
        <v>1235.46</v>
      </c>
      <c r="R29" s="0" t="n">
        <v>0</v>
      </c>
      <c r="S29" s="0" t="s">
        <v>1399</v>
      </c>
      <c r="Y29" s="0" t="s">
        <v>947</v>
      </c>
      <c r="Z29" s="0" t="s">
        <v>2136</v>
      </c>
      <c r="AC29" s="0" t="s">
        <v>2098</v>
      </c>
      <c r="AF29" s="0" t="n">
        <v>1</v>
      </c>
      <c r="AH29" s="0" t="n">
        <v>188.46</v>
      </c>
      <c r="AI29" s="0" t="n">
        <v>1047</v>
      </c>
      <c r="AL29" s="0" t="s">
        <v>1959</v>
      </c>
      <c r="AM29" s="0" t="s">
        <v>1632</v>
      </c>
      <c r="AN29" s="0" t="s">
        <v>1595</v>
      </c>
      <c r="AO29" s="0" t="s">
        <v>2174</v>
      </c>
      <c r="AP29" s="0" t="s">
        <v>1527</v>
      </c>
      <c r="AS29" s="0" t="n">
        <v>0</v>
      </c>
      <c r="AV29" s="0" t="n">
        <v>0</v>
      </c>
      <c r="AZ29" s="0" t="n">
        <v>1047</v>
      </c>
      <c r="BA29" s="0" t="s">
        <v>1531</v>
      </c>
      <c r="BC29" s="0" t="n">
        <v>0</v>
      </c>
      <c r="BD29" s="0" t="n">
        <v>0</v>
      </c>
      <c r="BG29" s="0" t="n">
        <v>2.29715200000003E+018</v>
      </c>
      <c r="BH29" s="0" t="s">
        <v>1566</v>
      </c>
      <c r="BI29" s="0" t="n">
        <v>18</v>
      </c>
      <c r="BJ29" s="0" t="s">
        <v>1567</v>
      </c>
      <c r="BM29" s="0" t="n">
        <v>0</v>
      </c>
      <c r="BQ29" s="0" t="s">
        <v>1561</v>
      </c>
      <c r="BV29" s="0" t="s">
        <v>2138</v>
      </c>
      <c r="BW29" s="0" t="n">
        <v>0</v>
      </c>
      <c r="CC29" s="0" t="n">
        <v>0</v>
      </c>
      <c r="CD29" s="0" t="n">
        <v>0</v>
      </c>
      <c r="CE29" s="0" t="n">
        <v>18</v>
      </c>
      <c r="CF29" s="0" t="n">
        <v>0</v>
      </c>
      <c r="CG29" s="0" t="n">
        <v>0</v>
      </c>
      <c r="CH29" s="0" t="n">
        <v>0</v>
      </c>
      <c r="CI29" s="0" t="n">
        <v>188.46</v>
      </c>
      <c r="CJ29" s="0" t="n">
        <v>0</v>
      </c>
      <c r="CK29" s="0" t="n">
        <v>0</v>
      </c>
      <c r="CL29" s="0" t="n">
        <v>0</v>
      </c>
      <c r="CM29" s="0" t="n">
        <v>188.46</v>
      </c>
      <c r="CN29" s="0" t="n">
        <v>0</v>
      </c>
    </row>
    <row r="30" customFormat="false" ht="13.8" hidden="false" customHeight="false" outlineLevel="0" collapsed="false">
      <c r="A30" s="267" t="n">
        <v>45747</v>
      </c>
      <c r="B30" s="267" t="n">
        <v>45747</v>
      </c>
      <c r="C30" s="0" t="n">
        <v>2.29715200000014E+018</v>
      </c>
      <c r="D30" s="0" t="s">
        <v>2091</v>
      </c>
      <c r="E30" s="0" t="n">
        <v>0</v>
      </c>
      <c r="F30" s="0" t="n">
        <v>0</v>
      </c>
      <c r="G30" s="0" t="s">
        <v>1538</v>
      </c>
      <c r="H30" s="0" t="s">
        <v>2180</v>
      </c>
      <c r="J30" s="0" t="s">
        <v>1526</v>
      </c>
      <c r="K30" s="0" t="n">
        <v>1</v>
      </c>
      <c r="L30" s="0" t="n">
        <v>4861.23</v>
      </c>
      <c r="M30" s="0" t="n">
        <v>5736.25</v>
      </c>
      <c r="N30" s="0" t="n">
        <v>0</v>
      </c>
      <c r="R30" s="0" t="n">
        <v>0</v>
      </c>
      <c r="S30" s="0" t="s">
        <v>1399</v>
      </c>
      <c r="Y30" s="0" t="s">
        <v>2140</v>
      </c>
      <c r="Z30" s="0" t="s">
        <v>2136</v>
      </c>
      <c r="AC30" s="0" t="s">
        <v>2088</v>
      </c>
      <c r="AF30" s="0" t="n">
        <v>1</v>
      </c>
      <c r="AH30" s="0" t="n">
        <v>875.02</v>
      </c>
      <c r="AI30" s="0" t="n">
        <v>4861.23</v>
      </c>
      <c r="AL30" s="0" t="s">
        <v>1959</v>
      </c>
      <c r="AM30" s="0" t="s">
        <v>1632</v>
      </c>
      <c r="AN30" s="0" t="s">
        <v>1595</v>
      </c>
      <c r="AO30" s="0" t="s">
        <v>2168</v>
      </c>
      <c r="AP30" s="0" t="s">
        <v>1527</v>
      </c>
      <c r="AS30" s="0" t="n">
        <v>0</v>
      </c>
      <c r="AV30" s="0" t="n">
        <v>0</v>
      </c>
      <c r="AZ30" s="0" t="n">
        <v>4861.23</v>
      </c>
      <c r="BA30" s="0" t="s">
        <v>1531</v>
      </c>
      <c r="BC30" s="0" t="n">
        <v>0</v>
      </c>
      <c r="BD30" s="0" t="n">
        <v>0</v>
      </c>
      <c r="BG30" s="0" t="n">
        <v>2.29715200000003E+018</v>
      </c>
      <c r="BH30" s="0" t="s">
        <v>1566</v>
      </c>
      <c r="BI30" s="0" t="n">
        <v>18</v>
      </c>
      <c r="BJ30" s="0" t="s">
        <v>1567</v>
      </c>
      <c r="BM30" s="0" t="n">
        <v>0</v>
      </c>
      <c r="BQ30" s="0" t="s">
        <v>1561</v>
      </c>
      <c r="BV30" s="0" t="s">
        <v>2138</v>
      </c>
      <c r="BW30" s="0" t="n">
        <v>0</v>
      </c>
      <c r="CC30" s="0" t="n">
        <v>0</v>
      </c>
      <c r="CD30" s="0" t="n">
        <v>0</v>
      </c>
      <c r="CE30" s="0" t="n">
        <v>18</v>
      </c>
      <c r="CF30" s="0" t="n">
        <v>0</v>
      </c>
      <c r="CG30" s="0" t="n">
        <v>0</v>
      </c>
      <c r="CH30" s="0" t="n">
        <v>0</v>
      </c>
      <c r="CI30" s="0" t="n">
        <v>875.02</v>
      </c>
      <c r="CJ30" s="0" t="n">
        <v>0</v>
      </c>
      <c r="CK30" s="0" t="n">
        <v>0</v>
      </c>
      <c r="CL30" s="0" t="n">
        <v>0</v>
      </c>
      <c r="CM30" s="0" t="n">
        <v>875.02</v>
      </c>
      <c r="CN30" s="0" t="n">
        <v>0</v>
      </c>
    </row>
    <row r="31" customFormat="false" ht="13.8" hidden="false" customHeight="false" outlineLevel="0" collapsed="false">
      <c r="A31" s="267" t="n">
        <v>45750</v>
      </c>
      <c r="B31" s="267" t="n">
        <v>45750</v>
      </c>
      <c r="C31" s="0" t="n">
        <v>2.29715200000014E+018</v>
      </c>
      <c r="D31" s="0" t="s">
        <v>2093</v>
      </c>
      <c r="E31" s="0" t="n">
        <v>0</v>
      </c>
      <c r="F31" s="0" t="n">
        <v>0</v>
      </c>
      <c r="G31" s="0" t="s">
        <v>1538</v>
      </c>
      <c r="H31" s="0" t="s">
        <v>2181</v>
      </c>
      <c r="J31" s="0" t="s">
        <v>1526</v>
      </c>
      <c r="K31" s="0" t="n">
        <v>1</v>
      </c>
      <c r="L31" s="0" t="n">
        <v>256100</v>
      </c>
      <c r="M31" s="0" t="n">
        <v>297076</v>
      </c>
      <c r="N31" s="0" t="n">
        <v>0</v>
      </c>
      <c r="R31" s="0" t="n">
        <v>0</v>
      </c>
      <c r="S31" s="0" t="s">
        <v>1399</v>
      </c>
      <c r="Y31" s="0" t="s">
        <v>2140</v>
      </c>
      <c r="Z31" s="0" t="s">
        <v>2136</v>
      </c>
      <c r="AC31" s="0" t="s">
        <v>2092</v>
      </c>
      <c r="AE31" s="0" t="s">
        <v>2155</v>
      </c>
      <c r="AF31" s="0" t="n">
        <v>1</v>
      </c>
      <c r="AH31" s="0" t="n">
        <v>46098</v>
      </c>
      <c r="AI31" s="0" t="n">
        <v>256100</v>
      </c>
      <c r="AL31" s="0" t="s">
        <v>1959</v>
      </c>
      <c r="AM31" s="0" t="s">
        <v>1632</v>
      </c>
      <c r="AN31" s="0" t="s">
        <v>1595</v>
      </c>
      <c r="AO31" s="0" t="s">
        <v>2156</v>
      </c>
      <c r="AP31" s="0" t="s">
        <v>1531</v>
      </c>
      <c r="AQ31" s="0" t="n">
        <v>2.29715200000003E+018</v>
      </c>
      <c r="AR31" s="0" t="s">
        <v>1532</v>
      </c>
      <c r="AS31" s="0" t="n">
        <v>2</v>
      </c>
      <c r="AT31" s="0" t="s">
        <v>1534</v>
      </c>
      <c r="AU31" s="0" t="s">
        <v>1535</v>
      </c>
      <c r="AV31" s="0" t="n">
        <v>5122</v>
      </c>
      <c r="AZ31" s="0" t="n">
        <v>256100</v>
      </c>
      <c r="BA31" s="0" t="s">
        <v>1531</v>
      </c>
      <c r="BC31" s="0" t="n">
        <v>0</v>
      </c>
      <c r="BD31" s="0" t="n">
        <v>0</v>
      </c>
      <c r="BG31" s="0" t="n">
        <v>2.29715200000003E+018</v>
      </c>
      <c r="BH31" s="0" t="s">
        <v>1566</v>
      </c>
      <c r="BI31" s="0" t="n">
        <v>18</v>
      </c>
      <c r="BJ31" s="0" t="s">
        <v>1567</v>
      </c>
      <c r="BQ31" s="0" t="s">
        <v>1561</v>
      </c>
      <c r="BV31" s="0" t="s">
        <v>2138</v>
      </c>
      <c r="BW31" s="0" t="n">
        <v>0</v>
      </c>
      <c r="CC31" s="0" t="n">
        <v>0</v>
      </c>
      <c r="CD31" s="0" t="n">
        <v>0</v>
      </c>
      <c r="CE31" s="0" t="n">
        <v>18</v>
      </c>
      <c r="CF31" s="0" t="n">
        <v>0</v>
      </c>
      <c r="CG31" s="0" t="n">
        <v>0</v>
      </c>
      <c r="CH31" s="0" t="n">
        <v>0</v>
      </c>
      <c r="CI31" s="0" t="n">
        <v>46098</v>
      </c>
      <c r="CJ31" s="0" t="n">
        <v>0</v>
      </c>
      <c r="CK31" s="0" t="n">
        <v>0</v>
      </c>
      <c r="CL31" s="0" t="n">
        <v>0</v>
      </c>
      <c r="CM31" s="0" t="n">
        <v>46098</v>
      </c>
      <c r="CN31" s="0" t="n">
        <v>0</v>
      </c>
    </row>
    <row r="32" customFormat="false" ht="13.8" hidden="false" customHeight="false" outlineLevel="0" collapsed="false">
      <c r="A32" s="267" t="n">
        <v>45763</v>
      </c>
      <c r="B32" s="267" t="n">
        <v>45763</v>
      </c>
      <c r="C32" s="0" t="n">
        <v>2.29715200000014E+018</v>
      </c>
      <c r="D32" s="0" t="s">
        <v>2093</v>
      </c>
      <c r="E32" s="0" t="n">
        <v>0</v>
      </c>
      <c r="F32" s="0" t="n">
        <v>0</v>
      </c>
      <c r="G32" s="0" t="s">
        <v>1538</v>
      </c>
      <c r="H32" s="0" t="s">
        <v>2182</v>
      </c>
      <c r="J32" s="0" t="s">
        <v>1526</v>
      </c>
      <c r="K32" s="0" t="n">
        <v>1</v>
      </c>
      <c r="L32" s="0" t="n">
        <v>128450</v>
      </c>
      <c r="M32" s="0" t="n">
        <v>149002</v>
      </c>
      <c r="N32" s="0" t="n">
        <v>149002</v>
      </c>
      <c r="R32" s="0" t="n">
        <v>0</v>
      </c>
      <c r="S32" s="0" t="s">
        <v>1399</v>
      </c>
      <c r="Y32" s="0" t="s">
        <v>947</v>
      </c>
      <c r="Z32" s="0" t="s">
        <v>2136</v>
      </c>
      <c r="AC32" s="0" t="s">
        <v>2092</v>
      </c>
      <c r="AE32" s="0" t="s">
        <v>2155</v>
      </c>
      <c r="AF32" s="0" t="n">
        <v>1</v>
      </c>
      <c r="AH32" s="0" t="n">
        <v>23121</v>
      </c>
      <c r="AI32" s="0" t="n">
        <v>128450</v>
      </c>
      <c r="AL32" s="0" t="s">
        <v>1959</v>
      </c>
      <c r="AM32" s="0" t="s">
        <v>1632</v>
      </c>
      <c r="AN32" s="0" t="s">
        <v>1595</v>
      </c>
      <c r="AO32" s="0" t="s">
        <v>2156</v>
      </c>
      <c r="AP32" s="0" t="s">
        <v>1531</v>
      </c>
      <c r="AQ32" s="0" t="n">
        <v>2.29715200000003E+018</v>
      </c>
      <c r="AR32" s="0" t="s">
        <v>1532</v>
      </c>
      <c r="AS32" s="0" t="n">
        <v>2</v>
      </c>
      <c r="AT32" s="0" t="s">
        <v>1534</v>
      </c>
      <c r="AU32" s="0" t="s">
        <v>1535</v>
      </c>
      <c r="AV32" s="0" t="n">
        <v>2569</v>
      </c>
      <c r="AZ32" s="0" t="n">
        <v>128450</v>
      </c>
      <c r="BA32" s="0" t="s">
        <v>1531</v>
      </c>
      <c r="BC32" s="0" t="n">
        <v>0</v>
      </c>
      <c r="BD32" s="0" t="n">
        <v>0</v>
      </c>
      <c r="BG32" s="0" t="n">
        <v>2.29715200000003E+018</v>
      </c>
      <c r="BH32" s="0" t="s">
        <v>1566</v>
      </c>
      <c r="BI32" s="0" t="n">
        <v>18</v>
      </c>
      <c r="BJ32" s="0" t="s">
        <v>1567</v>
      </c>
      <c r="BQ32" s="0" t="s">
        <v>1561</v>
      </c>
      <c r="BV32" s="0" t="s">
        <v>2138</v>
      </c>
      <c r="BW32" s="0" t="n">
        <v>0</v>
      </c>
      <c r="CC32" s="0" t="n">
        <v>0</v>
      </c>
      <c r="CD32" s="0" t="n">
        <v>0</v>
      </c>
      <c r="CE32" s="0" t="n">
        <v>18</v>
      </c>
      <c r="CF32" s="0" t="n">
        <v>0</v>
      </c>
      <c r="CG32" s="0" t="n">
        <v>0</v>
      </c>
      <c r="CH32" s="0" t="n">
        <v>0</v>
      </c>
      <c r="CI32" s="0" t="n">
        <v>23121</v>
      </c>
      <c r="CJ32" s="0" t="n">
        <v>0</v>
      </c>
      <c r="CK32" s="0" t="n">
        <v>0</v>
      </c>
      <c r="CL32" s="0" t="n">
        <v>0</v>
      </c>
      <c r="CM32" s="0" t="n">
        <v>23121</v>
      </c>
      <c r="CN32" s="0" t="n">
        <v>0</v>
      </c>
    </row>
    <row r="33" customFormat="false" ht="13.8" hidden="false" customHeight="false" outlineLevel="0" collapsed="false">
      <c r="A33" s="267" t="n">
        <v>45751</v>
      </c>
      <c r="B33" s="267" t="n">
        <v>45751</v>
      </c>
      <c r="C33" s="0" t="n">
        <v>2.29715200000014E+018</v>
      </c>
      <c r="D33" s="0" t="s">
        <v>2099</v>
      </c>
      <c r="E33" s="0" t="n">
        <v>0</v>
      </c>
      <c r="F33" s="0" t="n">
        <v>0</v>
      </c>
      <c r="G33" s="0" t="s">
        <v>1538</v>
      </c>
      <c r="H33" s="0" t="s">
        <v>2183</v>
      </c>
      <c r="J33" s="0" t="s">
        <v>1526</v>
      </c>
      <c r="K33" s="0" t="n">
        <v>1</v>
      </c>
      <c r="L33" s="0" t="n">
        <v>698</v>
      </c>
      <c r="M33" s="0" t="n">
        <v>823.64</v>
      </c>
      <c r="N33" s="0" t="n">
        <v>823.64</v>
      </c>
      <c r="R33" s="0" t="n">
        <v>0</v>
      </c>
      <c r="S33" s="0" t="s">
        <v>1399</v>
      </c>
      <c r="Y33" s="0" t="s">
        <v>947</v>
      </c>
      <c r="Z33" s="0" t="s">
        <v>2136</v>
      </c>
      <c r="AC33" s="0" t="s">
        <v>2098</v>
      </c>
      <c r="AF33" s="0" t="n">
        <v>1</v>
      </c>
      <c r="AH33" s="0" t="n">
        <v>125.64</v>
      </c>
      <c r="AI33" s="0" t="n">
        <v>698</v>
      </c>
      <c r="AL33" s="0" t="s">
        <v>1959</v>
      </c>
      <c r="AM33" s="0" t="s">
        <v>1632</v>
      </c>
      <c r="AN33" s="0" t="s">
        <v>1595</v>
      </c>
      <c r="AO33" s="0" t="s">
        <v>2174</v>
      </c>
      <c r="AP33" s="0" t="s">
        <v>1527</v>
      </c>
      <c r="AS33" s="0" t="n">
        <v>0</v>
      </c>
      <c r="AV33" s="0" t="n">
        <v>0</v>
      </c>
      <c r="AZ33" s="0" t="n">
        <v>698</v>
      </c>
      <c r="BA33" s="0" t="s">
        <v>1531</v>
      </c>
      <c r="BC33" s="0" t="n">
        <v>0</v>
      </c>
      <c r="BD33" s="0" t="n">
        <v>0</v>
      </c>
      <c r="BG33" s="0" t="n">
        <v>2.29715200000003E+018</v>
      </c>
      <c r="BH33" s="0" t="s">
        <v>1566</v>
      </c>
      <c r="BI33" s="0" t="n">
        <v>18</v>
      </c>
      <c r="BJ33" s="0" t="s">
        <v>1567</v>
      </c>
      <c r="BM33" s="0" t="n">
        <v>0</v>
      </c>
      <c r="BQ33" s="0" t="s">
        <v>1561</v>
      </c>
      <c r="BV33" s="0" t="s">
        <v>2138</v>
      </c>
      <c r="BW33" s="0" t="n">
        <v>0</v>
      </c>
      <c r="CC33" s="0" t="n">
        <v>0</v>
      </c>
      <c r="CD33" s="0" t="n">
        <v>0</v>
      </c>
      <c r="CE33" s="0" t="n">
        <v>18</v>
      </c>
      <c r="CF33" s="0" t="n">
        <v>0</v>
      </c>
      <c r="CG33" s="0" t="n">
        <v>0</v>
      </c>
      <c r="CH33" s="0" t="n">
        <v>0</v>
      </c>
      <c r="CI33" s="0" t="n">
        <v>125.64</v>
      </c>
      <c r="CJ33" s="0" t="n">
        <v>0</v>
      </c>
      <c r="CK33" s="0" t="n">
        <v>0</v>
      </c>
      <c r="CL33" s="0" t="n">
        <v>0</v>
      </c>
      <c r="CM33" s="0" t="n">
        <v>125.64</v>
      </c>
      <c r="CN33" s="0" t="n">
        <v>0</v>
      </c>
    </row>
    <row r="34" customFormat="false" ht="13.8" hidden="false" customHeight="false" outlineLevel="0" collapsed="false">
      <c r="A34" s="267" t="n">
        <v>45754</v>
      </c>
      <c r="B34" s="267" t="n">
        <v>45754</v>
      </c>
      <c r="C34" s="0" t="n">
        <v>2.29715200000014E+018</v>
      </c>
      <c r="D34" s="0" t="s">
        <v>2099</v>
      </c>
      <c r="E34" s="0" t="n">
        <v>0</v>
      </c>
      <c r="F34" s="0" t="n">
        <v>0</v>
      </c>
      <c r="G34" s="0" t="s">
        <v>1538</v>
      </c>
      <c r="H34" s="0" t="s">
        <v>2184</v>
      </c>
      <c r="J34" s="0" t="s">
        <v>1526</v>
      </c>
      <c r="K34" s="0" t="n">
        <v>1</v>
      </c>
      <c r="L34" s="0" t="n">
        <v>1047</v>
      </c>
      <c r="M34" s="0" t="n">
        <v>1235.46</v>
      </c>
      <c r="N34" s="0" t="n">
        <v>1235.46</v>
      </c>
      <c r="R34" s="0" t="n">
        <v>0</v>
      </c>
      <c r="S34" s="0" t="s">
        <v>1399</v>
      </c>
      <c r="Y34" s="0" t="s">
        <v>947</v>
      </c>
      <c r="Z34" s="0" t="s">
        <v>2136</v>
      </c>
      <c r="AC34" s="0" t="s">
        <v>2098</v>
      </c>
      <c r="AF34" s="0" t="n">
        <v>1</v>
      </c>
      <c r="AH34" s="0" t="n">
        <v>188.46</v>
      </c>
      <c r="AI34" s="0" t="n">
        <v>1047</v>
      </c>
      <c r="AL34" s="0" t="s">
        <v>1959</v>
      </c>
      <c r="AM34" s="0" t="s">
        <v>1632</v>
      </c>
      <c r="AN34" s="0" t="s">
        <v>1595</v>
      </c>
      <c r="AO34" s="0" t="s">
        <v>2174</v>
      </c>
      <c r="AP34" s="0" t="s">
        <v>1527</v>
      </c>
      <c r="AS34" s="0" t="n">
        <v>0</v>
      </c>
      <c r="AV34" s="0" t="n">
        <v>0</v>
      </c>
      <c r="AZ34" s="0" t="n">
        <v>1047</v>
      </c>
      <c r="BA34" s="0" t="s">
        <v>1531</v>
      </c>
      <c r="BC34" s="0" t="n">
        <v>0</v>
      </c>
      <c r="BD34" s="0" t="n">
        <v>0</v>
      </c>
      <c r="BG34" s="0" t="n">
        <v>2.29715200000003E+018</v>
      </c>
      <c r="BH34" s="0" t="s">
        <v>1566</v>
      </c>
      <c r="BI34" s="0" t="n">
        <v>18</v>
      </c>
      <c r="BJ34" s="0" t="s">
        <v>1567</v>
      </c>
      <c r="BM34" s="0" t="n">
        <v>0</v>
      </c>
      <c r="BQ34" s="0" t="s">
        <v>1561</v>
      </c>
      <c r="BV34" s="0" t="s">
        <v>2138</v>
      </c>
      <c r="BW34" s="0" t="n">
        <v>0</v>
      </c>
      <c r="CC34" s="0" t="n">
        <v>0</v>
      </c>
      <c r="CD34" s="0" t="n">
        <v>0</v>
      </c>
      <c r="CE34" s="0" t="n">
        <v>18</v>
      </c>
      <c r="CF34" s="0" t="n">
        <v>0</v>
      </c>
      <c r="CG34" s="0" t="n">
        <v>0</v>
      </c>
      <c r="CH34" s="0" t="n">
        <v>0</v>
      </c>
      <c r="CI34" s="0" t="n">
        <v>188.46</v>
      </c>
      <c r="CJ34" s="0" t="n">
        <v>0</v>
      </c>
      <c r="CK34" s="0" t="n">
        <v>0</v>
      </c>
      <c r="CL34" s="0" t="n">
        <v>0</v>
      </c>
      <c r="CM34" s="0" t="n">
        <v>188.46</v>
      </c>
      <c r="CN34" s="0" t="n">
        <v>0</v>
      </c>
    </row>
    <row r="35" customFormat="false" ht="13.8" hidden="false" customHeight="false" outlineLevel="0" collapsed="false">
      <c r="A35" s="267" t="n">
        <v>45758</v>
      </c>
      <c r="B35" s="267" t="n">
        <v>45758</v>
      </c>
      <c r="C35" s="0" t="n">
        <v>2.29715200000014E+018</v>
      </c>
      <c r="D35" s="0" t="s">
        <v>2099</v>
      </c>
      <c r="E35" s="0" t="n">
        <v>0</v>
      </c>
      <c r="F35" s="0" t="n">
        <v>0</v>
      </c>
      <c r="G35" s="0" t="s">
        <v>1538</v>
      </c>
      <c r="H35" s="0" t="s">
        <v>2185</v>
      </c>
      <c r="J35" s="0" t="s">
        <v>1526</v>
      </c>
      <c r="K35" s="0" t="n">
        <v>1</v>
      </c>
      <c r="L35" s="0" t="n">
        <v>38500</v>
      </c>
      <c r="M35" s="0" t="n">
        <v>45430</v>
      </c>
      <c r="N35" s="0" t="n">
        <v>45430</v>
      </c>
      <c r="R35" s="0" t="n">
        <v>0</v>
      </c>
      <c r="S35" s="0" t="s">
        <v>1399</v>
      </c>
      <c r="Y35" s="0" t="s">
        <v>947</v>
      </c>
      <c r="Z35" s="0" t="s">
        <v>2136</v>
      </c>
      <c r="AC35" s="0" t="s">
        <v>2098</v>
      </c>
      <c r="AF35" s="0" t="n">
        <v>1</v>
      </c>
      <c r="AH35" s="0" t="n">
        <v>6930</v>
      </c>
      <c r="AI35" s="0" t="n">
        <v>38500</v>
      </c>
      <c r="AL35" s="0" t="s">
        <v>1959</v>
      </c>
      <c r="AM35" s="0" t="s">
        <v>1632</v>
      </c>
      <c r="AN35" s="0" t="s">
        <v>1595</v>
      </c>
      <c r="AO35" s="0" t="s">
        <v>2174</v>
      </c>
      <c r="AP35" s="0" t="s">
        <v>1527</v>
      </c>
      <c r="AS35" s="0" t="n">
        <v>0</v>
      </c>
      <c r="AV35" s="0" t="n">
        <v>0</v>
      </c>
      <c r="AZ35" s="0" t="n">
        <v>38500</v>
      </c>
      <c r="BA35" s="0" t="s">
        <v>1531</v>
      </c>
      <c r="BC35" s="0" t="n">
        <v>0</v>
      </c>
      <c r="BD35" s="0" t="n">
        <v>0</v>
      </c>
      <c r="BG35" s="0" t="n">
        <v>2.29715200000003E+018</v>
      </c>
      <c r="BH35" s="0" t="s">
        <v>1566</v>
      </c>
      <c r="BI35" s="0" t="n">
        <v>18</v>
      </c>
      <c r="BJ35" s="0" t="s">
        <v>1567</v>
      </c>
      <c r="BM35" s="0" t="n">
        <v>0</v>
      </c>
      <c r="BQ35" s="0" t="s">
        <v>1561</v>
      </c>
      <c r="BV35" s="0" t="s">
        <v>2138</v>
      </c>
      <c r="BW35" s="0" t="n">
        <v>0</v>
      </c>
      <c r="CC35" s="0" t="n">
        <v>0</v>
      </c>
      <c r="CD35" s="0" t="n">
        <v>0</v>
      </c>
      <c r="CE35" s="0" t="n">
        <v>18</v>
      </c>
      <c r="CF35" s="0" t="n">
        <v>0</v>
      </c>
      <c r="CG35" s="0" t="n">
        <v>0</v>
      </c>
      <c r="CH35" s="0" t="n">
        <v>0</v>
      </c>
      <c r="CI35" s="0" t="n">
        <v>6930</v>
      </c>
      <c r="CJ35" s="0" t="n">
        <v>0</v>
      </c>
      <c r="CK35" s="0" t="n">
        <v>0</v>
      </c>
      <c r="CL35" s="0" t="n">
        <v>0</v>
      </c>
      <c r="CM35" s="0" t="n">
        <v>6930</v>
      </c>
      <c r="CN35" s="0" t="n">
        <v>0</v>
      </c>
    </row>
    <row r="36" customFormat="false" ht="13.8" hidden="false" customHeight="false" outlineLevel="0" collapsed="false">
      <c r="A36" s="267" t="n">
        <v>45777</v>
      </c>
      <c r="B36" s="267" t="n">
        <v>45777</v>
      </c>
      <c r="C36" s="0" t="n">
        <v>2.29715200000014E+018</v>
      </c>
      <c r="D36" s="0" t="s">
        <v>2091</v>
      </c>
      <c r="E36" s="0" t="n">
        <v>0</v>
      </c>
      <c r="F36" s="0" t="n">
        <v>0</v>
      </c>
      <c r="G36" s="0" t="s">
        <v>1538</v>
      </c>
      <c r="H36" s="0" t="s">
        <v>2186</v>
      </c>
      <c r="J36" s="0" t="s">
        <v>1526</v>
      </c>
      <c r="K36" s="0" t="n">
        <v>1</v>
      </c>
      <c r="L36" s="0" t="n">
        <v>11185.68</v>
      </c>
      <c r="M36" s="0" t="n">
        <v>12973.6</v>
      </c>
      <c r="N36" s="0" t="n">
        <v>12973.6</v>
      </c>
      <c r="R36" s="0" t="n">
        <v>0</v>
      </c>
      <c r="S36" s="0" t="s">
        <v>1399</v>
      </c>
      <c r="Y36" s="0" t="s">
        <v>947</v>
      </c>
      <c r="Z36" s="0" t="s">
        <v>2136</v>
      </c>
      <c r="AC36" s="0" t="s">
        <v>2088</v>
      </c>
      <c r="AF36" s="0" t="n">
        <v>1</v>
      </c>
      <c r="AH36" s="0" t="n">
        <v>2011.63</v>
      </c>
      <c r="AI36" s="0" t="n">
        <v>11175.7</v>
      </c>
      <c r="AL36" s="0" t="s">
        <v>1959</v>
      </c>
      <c r="AM36" s="0" t="s">
        <v>1632</v>
      </c>
      <c r="AN36" s="0" t="s">
        <v>1595</v>
      </c>
      <c r="AO36" s="0" t="s">
        <v>2168</v>
      </c>
      <c r="AP36" s="0" t="s">
        <v>1531</v>
      </c>
      <c r="AQ36" s="0" t="n">
        <v>2.29715200000003E+018</v>
      </c>
      <c r="AR36" s="0" t="s">
        <v>2187</v>
      </c>
      <c r="AS36" s="0" t="n">
        <v>2</v>
      </c>
      <c r="AT36" s="0" t="s">
        <v>2188</v>
      </c>
      <c r="AU36" s="0" t="s">
        <v>2189</v>
      </c>
      <c r="AV36" s="0" t="n">
        <v>223.71</v>
      </c>
      <c r="AZ36" s="0" t="n">
        <v>11175.7</v>
      </c>
      <c r="BA36" s="0" t="s">
        <v>1531</v>
      </c>
      <c r="BC36" s="0" t="n">
        <v>0</v>
      </c>
      <c r="BD36" s="0" t="n">
        <v>0</v>
      </c>
      <c r="BG36" s="0" t="n">
        <v>2.29715200000003E+018</v>
      </c>
      <c r="BH36" s="0" t="s">
        <v>1566</v>
      </c>
      <c r="BI36" s="0" t="n">
        <v>18</v>
      </c>
      <c r="BJ36" s="0" t="s">
        <v>1567</v>
      </c>
      <c r="BQ36" s="0" t="s">
        <v>1561</v>
      </c>
      <c r="BV36" s="0" t="s">
        <v>2138</v>
      </c>
      <c r="BW36" s="0" t="n">
        <v>0</v>
      </c>
      <c r="CC36" s="0" t="n">
        <v>0</v>
      </c>
      <c r="CD36" s="0" t="n">
        <v>0</v>
      </c>
      <c r="CE36" s="0" t="n">
        <v>18</v>
      </c>
      <c r="CF36" s="0" t="n">
        <v>0</v>
      </c>
      <c r="CG36" s="0" t="n">
        <v>0</v>
      </c>
      <c r="CH36" s="0" t="n">
        <v>0</v>
      </c>
      <c r="CI36" s="0" t="n">
        <v>2011.63</v>
      </c>
      <c r="CJ36" s="0" t="n">
        <v>0</v>
      </c>
      <c r="CK36" s="0" t="n">
        <v>0</v>
      </c>
      <c r="CL36" s="0" t="n">
        <v>0</v>
      </c>
      <c r="CM36" s="0" t="n">
        <v>2011.63</v>
      </c>
      <c r="CN36" s="0" t="n">
        <v>0</v>
      </c>
    </row>
    <row r="37" customFormat="false" ht="13.8" hidden="false" customHeight="false" outlineLevel="0" collapsed="false">
      <c r="A37" s="267" t="n">
        <v>45777</v>
      </c>
      <c r="B37" s="267" t="n">
        <v>45777</v>
      </c>
      <c r="C37" s="0" t="n">
        <v>2.29715200000014E+018</v>
      </c>
      <c r="D37" s="0" t="s">
        <v>2091</v>
      </c>
      <c r="E37" s="0" t="n">
        <v>0</v>
      </c>
      <c r="F37" s="0" t="n">
        <v>0</v>
      </c>
      <c r="G37" s="0" t="s">
        <v>1538</v>
      </c>
      <c r="H37" s="0" t="s">
        <v>2186</v>
      </c>
      <c r="J37" s="0" t="s">
        <v>1526</v>
      </c>
      <c r="K37" s="0" t="n">
        <v>1</v>
      </c>
      <c r="L37" s="0" t="n">
        <v>11185.68</v>
      </c>
      <c r="M37" s="0" t="n">
        <v>12973.6</v>
      </c>
      <c r="N37" s="0" t="n">
        <v>12973.6</v>
      </c>
      <c r="R37" s="0" t="n">
        <v>0</v>
      </c>
      <c r="S37" s="0" t="s">
        <v>1399</v>
      </c>
      <c r="Y37" s="0" t="s">
        <v>947</v>
      </c>
      <c r="Z37" s="0" t="s">
        <v>2136</v>
      </c>
      <c r="AC37" s="0" t="s">
        <v>2088</v>
      </c>
      <c r="AF37" s="0" t="n">
        <v>1</v>
      </c>
      <c r="AH37" s="0" t="n">
        <v>0</v>
      </c>
      <c r="AI37" s="0" t="n">
        <v>9.98</v>
      </c>
      <c r="AL37" s="0" t="s">
        <v>1959</v>
      </c>
      <c r="AM37" s="0" t="s">
        <v>1632</v>
      </c>
      <c r="AN37" s="0" t="s">
        <v>1595</v>
      </c>
      <c r="AO37" s="0" t="s">
        <v>2168</v>
      </c>
      <c r="AP37" s="0" t="s">
        <v>1531</v>
      </c>
      <c r="AQ37" s="0" t="n">
        <v>2.29715200000003E+018</v>
      </c>
      <c r="AR37" s="0" t="s">
        <v>2187</v>
      </c>
      <c r="AS37" s="0" t="n">
        <v>2</v>
      </c>
      <c r="AT37" s="0" t="s">
        <v>2188</v>
      </c>
      <c r="AU37" s="0" t="s">
        <v>2189</v>
      </c>
      <c r="AV37" s="0" t="n">
        <v>223.71</v>
      </c>
      <c r="AZ37" s="0" t="n">
        <v>9.98</v>
      </c>
      <c r="BA37" s="0" t="s">
        <v>1531</v>
      </c>
      <c r="BC37" s="0" t="n">
        <v>0</v>
      </c>
      <c r="BD37" s="0" t="n">
        <v>0</v>
      </c>
      <c r="BG37" s="0" t="n">
        <v>2.29715200000003E+018</v>
      </c>
      <c r="BH37" s="0" t="s">
        <v>2144</v>
      </c>
      <c r="BI37" s="0" t="n">
        <v>0</v>
      </c>
      <c r="BJ37" s="0" t="s">
        <v>1567</v>
      </c>
      <c r="BQ37" s="0" t="s">
        <v>1561</v>
      </c>
      <c r="BV37" s="0" t="s">
        <v>2138</v>
      </c>
      <c r="BW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</row>
    <row r="38" customFormat="false" ht="13.8" hidden="false" customHeight="false" outlineLevel="0" collapsed="false">
      <c r="A38" s="267" t="n">
        <v>45772</v>
      </c>
      <c r="B38" s="267" t="n">
        <v>45772</v>
      </c>
      <c r="C38" s="0" t="n">
        <v>2.29715200000014E+018</v>
      </c>
      <c r="D38" s="0" t="s">
        <v>2086</v>
      </c>
      <c r="E38" s="0" t="n">
        <v>0</v>
      </c>
      <c r="F38" s="0" t="n">
        <v>0</v>
      </c>
      <c r="G38" s="0" t="s">
        <v>1538</v>
      </c>
      <c r="H38" s="0" t="s">
        <v>2190</v>
      </c>
      <c r="J38" s="0" t="s">
        <v>1526</v>
      </c>
      <c r="K38" s="0" t="n">
        <v>1</v>
      </c>
      <c r="L38" s="0" t="n">
        <v>100000</v>
      </c>
      <c r="M38" s="0" t="n">
        <v>90000</v>
      </c>
      <c r="N38" s="0" t="n">
        <v>0</v>
      </c>
      <c r="R38" s="0" t="n">
        <v>0</v>
      </c>
      <c r="S38" s="0" t="s">
        <v>1399</v>
      </c>
      <c r="Y38" s="0" t="s">
        <v>2140</v>
      </c>
      <c r="Z38" s="0" t="s">
        <v>2136</v>
      </c>
      <c r="AC38" s="0" t="s">
        <v>2085</v>
      </c>
      <c r="AF38" s="0" t="n">
        <v>1</v>
      </c>
      <c r="AH38" s="0" t="n">
        <v>0</v>
      </c>
      <c r="AI38" s="0" t="n">
        <v>100000</v>
      </c>
      <c r="AL38" s="0" t="s">
        <v>1959</v>
      </c>
      <c r="AM38" s="0" t="s">
        <v>1632</v>
      </c>
      <c r="AN38" s="0" t="s">
        <v>1524</v>
      </c>
      <c r="AP38" s="0" t="s">
        <v>1531</v>
      </c>
      <c r="AQ38" s="0" t="n">
        <v>2.29715200000003E+018</v>
      </c>
      <c r="AR38" s="0" t="s">
        <v>1596</v>
      </c>
      <c r="AS38" s="0" t="n">
        <v>10</v>
      </c>
      <c r="AT38" s="0" t="s">
        <v>1534</v>
      </c>
      <c r="AU38" s="0" t="s">
        <v>1535</v>
      </c>
      <c r="AV38" s="0" t="n">
        <v>10000</v>
      </c>
      <c r="AZ38" s="0" t="n">
        <v>100000</v>
      </c>
      <c r="BA38" s="0" t="s">
        <v>1531</v>
      </c>
      <c r="BC38" s="0" t="n">
        <v>0</v>
      </c>
      <c r="BD38" s="0" t="n">
        <v>0</v>
      </c>
      <c r="BQ38" s="0" t="s">
        <v>1561</v>
      </c>
      <c r="BV38" s="0" t="s">
        <v>2138</v>
      </c>
      <c r="BW38" s="0" t="n">
        <v>0</v>
      </c>
    </row>
    <row r="39" customFormat="false" ht="13.8" hidden="false" customHeight="false" outlineLevel="0" collapsed="false">
      <c r="A39" s="267" t="n">
        <v>45536</v>
      </c>
      <c r="B39" s="267" t="n">
        <v>45536</v>
      </c>
      <c r="C39" s="0" t="n">
        <v>2.29715200000014E+018</v>
      </c>
      <c r="D39" s="0" t="s">
        <v>2081</v>
      </c>
      <c r="E39" s="0" t="n">
        <v>0</v>
      </c>
      <c r="F39" s="0" t="n">
        <v>0</v>
      </c>
      <c r="G39" s="0" t="s">
        <v>1538</v>
      </c>
      <c r="H39" s="0" t="n">
        <v>1</v>
      </c>
      <c r="J39" s="0" t="s">
        <v>1526</v>
      </c>
      <c r="K39" s="0" t="n">
        <v>1</v>
      </c>
      <c r="L39" s="0" t="n">
        <v>28000</v>
      </c>
      <c r="M39" s="0" t="n">
        <v>28000</v>
      </c>
      <c r="N39" s="0" t="n">
        <v>0</v>
      </c>
      <c r="R39" s="0" t="n">
        <v>0</v>
      </c>
      <c r="S39" s="0" t="s">
        <v>1399</v>
      </c>
      <c r="Y39" s="0" t="s">
        <v>2140</v>
      </c>
      <c r="Z39" s="0" t="s">
        <v>2136</v>
      </c>
      <c r="AC39" s="0" t="s">
        <v>2080</v>
      </c>
      <c r="AE39" s="0" t="s">
        <v>2146</v>
      </c>
      <c r="AF39" s="0" t="n">
        <v>1</v>
      </c>
      <c r="AH39" s="0" t="n">
        <v>0</v>
      </c>
      <c r="AI39" s="0" t="n">
        <v>28000</v>
      </c>
      <c r="AL39" s="0" t="s">
        <v>1632</v>
      </c>
      <c r="AM39" s="0" t="s">
        <v>1632</v>
      </c>
      <c r="AN39" s="0" t="s">
        <v>1524</v>
      </c>
      <c r="AP39" s="0" t="s">
        <v>1527</v>
      </c>
      <c r="AS39" s="0" t="n">
        <v>0</v>
      </c>
      <c r="AV39" s="0" t="n">
        <v>0</v>
      </c>
      <c r="AZ39" s="0" t="n">
        <v>28000</v>
      </c>
      <c r="BA39" s="0" t="s">
        <v>1531</v>
      </c>
      <c r="BC39" s="0" t="n">
        <v>0</v>
      </c>
      <c r="BD39" s="0" t="n">
        <v>0</v>
      </c>
      <c r="BM39" s="0" t="n">
        <v>0</v>
      </c>
      <c r="BQ39" s="0" t="s">
        <v>1561</v>
      </c>
      <c r="BV39" s="0" t="s">
        <v>2138</v>
      </c>
      <c r="BW39" s="0" t="n">
        <v>0</v>
      </c>
    </row>
    <row r="40" customFormat="false" ht="13.8" hidden="false" customHeight="false" outlineLevel="0" collapsed="false">
      <c r="A40" s="267" t="n">
        <v>45566</v>
      </c>
      <c r="B40" s="267" t="n">
        <v>45566</v>
      </c>
      <c r="C40" s="0" t="n">
        <v>2.29715200000014E+018</v>
      </c>
      <c r="D40" s="0" t="s">
        <v>2081</v>
      </c>
      <c r="E40" s="0" t="n">
        <v>0</v>
      </c>
      <c r="F40" s="0" t="n">
        <v>0</v>
      </c>
      <c r="G40" s="0" t="s">
        <v>1538</v>
      </c>
      <c r="H40" s="0" t="n">
        <v>2</v>
      </c>
      <c r="J40" s="0" t="s">
        <v>1526</v>
      </c>
      <c r="K40" s="0" t="n">
        <v>1</v>
      </c>
      <c r="L40" s="0" t="n">
        <v>82000</v>
      </c>
      <c r="M40" s="0" t="n">
        <v>82000</v>
      </c>
      <c r="N40" s="0" t="n">
        <v>0</v>
      </c>
      <c r="R40" s="0" t="n">
        <v>0</v>
      </c>
      <c r="S40" s="0" t="s">
        <v>1399</v>
      </c>
      <c r="Y40" s="0" t="s">
        <v>2140</v>
      </c>
      <c r="Z40" s="0" t="s">
        <v>2136</v>
      </c>
      <c r="AC40" s="0" t="s">
        <v>2080</v>
      </c>
      <c r="AE40" s="0" t="s">
        <v>2146</v>
      </c>
      <c r="AF40" s="0" t="n">
        <v>1</v>
      </c>
      <c r="AH40" s="0" t="n">
        <v>0</v>
      </c>
      <c r="AI40" s="0" t="n">
        <v>82000</v>
      </c>
      <c r="AL40" s="0" t="s">
        <v>1632</v>
      </c>
      <c r="AM40" s="0" t="s">
        <v>1632</v>
      </c>
      <c r="AN40" s="0" t="s">
        <v>1524</v>
      </c>
      <c r="AP40" s="0" t="s">
        <v>1527</v>
      </c>
      <c r="AS40" s="0" t="n">
        <v>0</v>
      </c>
      <c r="AV40" s="0" t="n">
        <v>0</v>
      </c>
      <c r="AZ40" s="0" t="n">
        <v>82000</v>
      </c>
      <c r="BA40" s="0" t="s">
        <v>1531</v>
      </c>
      <c r="BC40" s="0" t="n">
        <v>0</v>
      </c>
      <c r="BD40" s="0" t="n">
        <v>0</v>
      </c>
      <c r="BM40" s="0" t="n">
        <v>0</v>
      </c>
      <c r="BQ40" s="0" t="s">
        <v>1561</v>
      </c>
      <c r="BV40" s="0" t="s">
        <v>2138</v>
      </c>
      <c r="BW40" s="0" t="n">
        <v>0</v>
      </c>
    </row>
    <row r="41" customFormat="false" ht="13.8" hidden="false" customHeight="false" outlineLevel="0" collapsed="false">
      <c r="A41" s="267" t="n">
        <v>45597</v>
      </c>
      <c r="B41" s="267" t="n">
        <v>45597</v>
      </c>
      <c r="C41" s="0" t="n">
        <v>2.29715200000014E+018</v>
      </c>
      <c r="D41" s="0" t="s">
        <v>2081</v>
      </c>
      <c r="E41" s="0" t="n">
        <v>0</v>
      </c>
      <c r="F41" s="0" t="n">
        <v>0</v>
      </c>
      <c r="G41" s="0" t="s">
        <v>1538</v>
      </c>
      <c r="H41" s="0" t="n">
        <v>3</v>
      </c>
      <c r="J41" s="0" t="s">
        <v>1526</v>
      </c>
      <c r="K41" s="0" t="n">
        <v>1</v>
      </c>
      <c r="L41" s="0" t="n">
        <v>78000</v>
      </c>
      <c r="M41" s="0" t="n">
        <v>78000</v>
      </c>
      <c r="N41" s="0" t="n">
        <v>0</v>
      </c>
      <c r="R41" s="0" t="n">
        <v>0</v>
      </c>
      <c r="S41" s="0" t="s">
        <v>1399</v>
      </c>
      <c r="Y41" s="0" t="s">
        <v>2140</v>
      </c>
      <c r="Z41" s="0" t="s">
        <v>2136</v>
      </c>
      <c r="AC41" s="0" t="s">
        <v>2080</v>
      </c>
      <c r="AE41" s="0" t="s">
        <v>2146</v>
      </c>
      <c r="AF41" s="0" t="n">
        <v>1</v>
      </c>
      <c r="AH41" s="0" t="n">
        <v>0</v>
      </c>
      <c r="AI41" s="0" t="n">
        <v>78000</v>
      </c>
      <c r="AL41" s="0" t="s">
        <v>1632</v>
      </c>
      <c r="AM41" s="0" t="s">
        <v>1632</v>
      </c>
      <c r="AN41" s="0" t="s">
        <v>1524</v>
      </c>
      <c r="AP41" s="0" t="s">
        <v>1527</v>
      </c>
      <c r="AS41" s="0" t="n">
        <v>0</v>
      </c>
      <c r="AV41" s="0" t="n">
        <v>0</v>
      </c>
      <c r="AZ41" s="0" t="n">
        <v>78000</v>
      </c>
      <c r="BA41" s="0" t="s">
        <v>1531</v>
      </c>
      <c r="BC41" s="0" t="n">
        <v>0</v>
      </c>
      <c r="BD41" s="0" t="n">
        <v>0</v>
      </c>
      <c r="BM41" s="0" t="n">
        <v>0</v>
      </c>
      <c r="BQ41" s="0" t="s">
        <v>1561</v>
      </c>
      <c r="BV41" s="0" t="s">
        <v>2138</v>
      </c>
      <c r="BW41" s="0" t="n">
        <v>0</v>
      </c>
    </row>
    <row r="42" customFormat="false" ht="13.8" hidden="false" customHeight="false" outlineLevel="0" collapsed="false">
      <c r="A42" s="267" t="n">
        <v>45627</v>
      </c>
      <c r="B42" s="267" t="n">
        <v>45627</v>
      </c>
      <c r="C42" s="0" t="n">
        <v>2.29715200000014E+018</v>
      </c>
      <c r="D42" s="0" t="s">
        <v>2081</v>
      </c>
      <c r="E42" s="0" t="n">
        <v>0</v>
      </c>
      <c r="F42" s="0" t="n">
        <v>0</v>
      </c>
      <c r="G42" s="0" t="s">
        <v>1538</v>
      </c>
      <c r="H42" s="0" t="n">
        <v>4</v>
      </c>
      <c r="J42" s="0" t="s">
        <v>1526</v>
      </c>
      <c r="K42" s="0" t="n">
        <v>1</v>
      </c>
      <c r="L42" s="0" t="n">
        <v>110000</v>
      </c>
      <c r="M42" s="0" t="n">
        <v>110000</v>
      </c>
      <c r="N42" s="0" t="n">
        <v>0</v>
      </c>
      <c r="R42" s="0" t="n">
        <v>0</v>
      </c>
      <c r="S42" s="0" t="s">
        <v>1399</v>
      </c>
      <c r="Y42" s="0" t="s">
        <v>2140</v>
      </c>
      <c r="Z42" s="0" t="s">
        <v>2136</v>
      </c>
      <c r="AC42" s="0" t="s">
        <v>2080</v>
      </c>
      <c r="AE42" s="0" t="s">
        <v>2146</v>
      </c>
      <c r="AF42" s="0" t="n">
        <v>1</v>
      </c>
      <c r="AH42" s="0" t="n">
        <v>0</v>
      </c>
      <c r="AI42" s="0" t="n">
        <v>110000</v>
      </c>
      <c r="AL42" s="0" t="s">
        <v>1632</v>
      </c>
      <c r="AM42" s="0" t="s">
        <v>1632</v>
      </c>
      <c r="AN42" s="0" t="s">
        <v>1524</v>
      </c>
      <c r="AP42" s="0" t="s">
        <v>1527</v>
      </c>
      <c r="AS42" s="0" t="n">
        <v>0</v>
      </c>
      <c r="AV42" s="0" t="n">
        <v>0</v>
      </c>
      <c r="AZ42" s="0" t="n">
        <v>110000</v>
      </c>
      <c r="BA42" s="0" t="s">
        <v>1531</v>
      </c>
      <c r="BC42" s="0" t="n">
        <v>0</v>
      </c>
      <c r="BD42" s="0" t="n">
        <v>0</v>
      </c>
      <c r="BM42" s="0" t="n">
        <v>0</v>
      </c>
      <c r="BQ42" s="0" t="s">
        <v>1561</v>
      </c>
      <c r="BV42" s="0" t="s">
        <v>2138</v>
      </c>
      <c r="BW42" s="0" t="n">
        <v>0</v>
      </c>
    </row>
    <row r="43" customFormat="false" ht="13.8" hidden="false" customHeight="false" outlineLevel="0" collapsed="false">
      <c r="A43" s="267" t="n">
        <v>45658</v>
      </c>
      <c r="B43" s="267" t="n">
        <v>45658</v>
      </c>
      <c r="C43" s="0" t="n">
        <v>2.29715200000014E+018</v>
      </c>
      <c r="D43" s="0" t="s">
        <v>2081</v>
      </c>
      <c r="E43" s="0" t="n">
        <v>0</v>
      </c>
      <c r="F43" s="0" t="n">
        <v>0</v>
      </c>
      <c r="G43" s="0" t="s">
        <v>1538</v>
      </c>
      <c r="H43" s="0" t="n">
        <v>5</v>
      </c>
      <c r="J43" s="0" t="s">
        <v>1526</v>
      </c>
      <c r="K43" s="0" t="n">
        <v>1</v>
      </c>
      <c r="L43" s="0" t="n">
        <v>48000</v>
      </c>
      <c r="M43" s="0" t="n">
        <v>48000</v>
      </c>
      <c r="N43" s="0" t="n">
        <v>0</v>
      </c>
      <c r="R43" s="0" t="n">
        <v>0</v>
      </c>
      <c r="S43" s="0" t="s">
        <v>1399</v>
      </c>
      <c r="Y43" s="0" t="s">
        <v>2140</v>
      </c>
      <c r="Z43" s="0" t="s">
        <v>2136</v>
      </c>
      <c r="AC43" s="0" t="s">
        <v>2080</v>
      </c>
      <c r="AE43" s="0" t="s">
        <v>2146</v>
      </c>
      <c r="AF43" s="0" t="n">
        <v>1</v>
      </c>
      <c r="AH43" s="0" t="n">
        <v>0</v>
      </c>
      <c r="AI43" s="0" t="n">
        <v>48000</v>
      </c>
      <c r="AL43" s="0" t="s">
        <v>1632</v>
      </c>
      <c r="AM43" s="0" t="s">
        <v>1632</v>
      </c>
      <c r="AN43" s="0" t="s">
        <v>1524</v>
      </c>
      <c r="AP43" s="0" t="s">
        <v>1527</v>
      </c>
      <c r="AS43" s="0" t="n">
        <v>0</v>
      </c>
      <c r="AV43" s="0" t="n">
        <v>0</v>
      </c>
      <c r="AZ43" s="0" t="n">
        <v>48000</v>
      </c>
      <c r="BA43" s="0" t="s">
        <v>1531</v>
      </c>
      <c r="BC43" s="0" t="n">
        <v>0</v>
      </c>
      <c r="BD43" s="0" t="n">
        <v>0</v>
      </c>
      <c r="BM43" s="0" t="n">
        <v>0</v>
      </c>
      <c r="BQ43" s="0" t="s">
        <v>1561</v>
      </c>
      <c r="BV43" s="0" t="s">
        <v>2138</v>
      </c>
      <c r="BW43" s="0" t="n">
        <v>0</v>
      </c>
    </row>
    <row r="44" customFormat="false" ht="13.8" hidden="false" customHeight="false" outlineLevel="0" collapsed="false">
      <c r="A44" s="267" t="n">
        <v>45689</v>
      </c>
      <c r="B44" s="267" t="n">
        <v>45689</v>
      </c>
      <c r="C44" s="0" t="n">
        <v>2.29715200000014E+018</v>
      </c>
      <c r="D44" s="0" t="s">
        <v>2081</v>
      </c>
      <c r="E44" s="0" t="n">
        <v>0</v>
      </c>
      <c r="F44" s="0" t="n">
        <v>0</v>
      </c>
      <c r="G44" s="0" t="s">
        <v>1538</v>
      </c>
      <c r="H44" s="0" t="n">
        <v>6</v>
      </c>
      <c r="J44" s="0" t="s">
        <v>1526</v>
      </c>
      <c r="K44" s="0" t="n">
        <v>1</v>
      </c>
      <c r="L44" s="0" t="n">
        <v>60000</v>
      </c>
      <c r="M44" s="0" t="n">
        <v>60000</v>
      </c>
      <c r="N44" s="0" t="n">
        <v>0</v>
      </c>
      <c r="R44" s="0" t="n">
        <v>0</v>
      </c>
      <c r="S44" s="0" t="s">
        <v>1399</v>
      </c>
      <c r="Y44" s="0" t="s">
        <v>2140</v>
      </c>
      <c r="Z44" s="0" t="s">
        <v>2136</v>
      </c>
      <c r="AC44" s="0" t="s">
        <v>2080</v>
      </c>
      <c r="AE44" s="0" t="s">
        <v>2146</v>
      </c>
      <c r="AF44" s="0" t="n">
        <v>1</v>
      </c>
      <c r="AH44" s="0" t="n">
        <v>0</v>
      </c>
      <c r="AI44" s="0" t="n">
        <v>60000</v>
      </c>
      <c r="AL44" s="0" t="s">
        <v>1632</v>
      </c>
      <c r="AM44" s="0" t="s">
        <v>1632</v>
      </c>
      <c r="AN44" s="0" t="s">
        <v>1524</v>
      </c>
      <c r="AP44" s="0" t="s">
        <v>1527</v>
      </c>
      <c r="AS44" s="0" t="n">
        <v>0</v>
      </c>
      <c r="AV44" s="0" t="n">
        <v>0</v>
      </c>
      <c r="AZ44" s="0" t="n">
        <v>60000</v>
      </c>
      <c r="BA44" s="0" t="s">
        <v>1531</v>
      </c>
      <c r="BC44" s="0" t="n">
        <v>0</v>
      </c>
      <c r="BD44" s="0" t="n">
        <v>0</v>
      </c>
      <c r="BM44" s="0" t="n">
        <v>0</v>
      </c>
      <c r="BQ44" s="0" t="s">
        <v>1561</v>
      </c>
      <c r="BV44" s="0" t="s">
        <v>2138</v>
      </c>
      <c r="BW44" s="0" t="n">
        <v>0</v>
      </c>
    </row>
    <row r="45" customFormat="false" ht="13.8" hidden="false" customHeight="false" outlineLevel="0" collapsed="false">
      <c r="A45" s="267" t="n">
        <v>45717</v>
      </c>
      <c r="B45" s="267" t="n">
        <v>45717</v>
      </c>
      <c r="C45" s="0" t="n">
        <v>2.29715200000014E+018</v>
      </c>
      <c r="D45" s="0" t="s">
        <v>2081</v>
      </c>
      <c r="E45" s="0" t="n">
        <v>0</v>
      </c>
      <c r="F45" s="0" t="n">
        <v>0</v>
      </c>
      <c r="G45" s="0" t="s">
        <v>1538</v>
      </c>
      <c r="H45" s="0" t="n">
        <v>7</v>
      </c>
      <c r="J45" s="0" t="s">
        <v>1526</v>
      </c>
      <c r="K45" s="0" t="n">
        <v>1</v>
      </c>
      <c r="L45" s="0" t="n">
        <v>105000</v>
      </c>
      <c r="M45" s="0" t="n">
        <v>103950</v>
      </c>
      <c r="N45" s="0" t="n">
        <v>630</v>
      </c>
      <c r="R45" s="0" t="n">
        <v>0</v>
      </c>
      <c r="S45" s="0" t="s">
        <v>1399</v>
      </c>
      <c r="Y45" s="0" t="s">
        <v>947</v>
      </c>
      <c r="Z45" s="0" t="s">
        <v>2136</v>
      </c>
      <c r="AC45" s="0" t="s">
        <v>2080</v>
      </c>
      <c r="AE45" s="0" t="s">
        <v>2146</v>
      </c>
      <c r="AF45" s="0" t="n">
        <v>1</v>
      </c>
      <c r="AH45" s="0" t="n">
        <v>0</v>
      </c>
      <c r="AI45" s="0" t="n">
        <v>105000</v>
      </c>
      <c r="AL45" s="0" t="s">
        <v>1632</v>
      </c>
      <c r="AM45" s="0" t="s">
        <v>1632</v>
      </c>
      <c r="AN45" s="0" t="s">
        <v>1524</v>
      </c>
      <c r="AP45" s="0" t="s">
        <v>1531</v>
      </c>
      <c r="AQ45" s="0" t="n">
        <v>2.29715200000003E+018</v>
      </c>
      <c r="AR45" s="0" t="s">
        <v>2147</v>
      </c>
      <c r="AS45" s="0" t="n">
        <v>1</v>
      </c>
      <c r="AT45" s="0" t="s">
        <v>2148</v>
      </c>
      <c r="AU45" s="0" t="s">
        <v>2149</v>
      </c>
      <c r="AV45" s="0" t="n">
        <v>1050</v>
      </c>
      <c r="AZ45" s="0" t="n">
        <v>105000</v>
      </c>
      <c r="BA45" s="0" t="s">
        <v>1531</v>
      </c>
      <c r="BC45" s="0" t="n">
        <v>0</v>
      </c>
      <c r="BD45" s="0" t="n">
        <v>0</v>
      </c>
      <c r="BQ45" s="0" t="s">
        <v>1561</v>
      </c>
      <c r="BV45" s="0" t="s">
        <v>2138</v>
      </c>
      <c r="BW45" s="0" t="n">
        <v>0</v>
      </c>
    </row>
    <row r="46" customFormat="false" ht="13.8" hidden="false" customHeight="false" outlineLevel="0" collapsed="false">
      <c r="A46" s="267" t="n">
        <v>45747</v>
      </c>
      <c r="B46" s="267" t="n">
        <v>45747</v>
      </c>
      <c r="C46" s="0" t="n">
        <v>2.29715200000014E+018</v>
      </c>
      <c r="D46" s="0" t="s">
        <v>2081</v>
      </c>
      <c r="E46" s="0" t="n">
        <v>0</v>
      </c>
      <c r="F46" s="0" t="n">
        <v>0</v>
      </c>
      <c r="G46" s="0" t="s">
        <v>1538</v>
      </c>
      <c r="H46" s="0" t="s">
        <v>2191</v>
      </c>
      <c r="J46" s="0" t="s">
        <v>1526</v>
      </c>
      <c r="K46" s="0" t="n">
        <v>1</v>
      </c>
      <c r="L46" s="0" t="n">
        <v>100000</v>
      </c>
      <c r="M46" s="0" t="n">
        <v>99000</v>
      </c>
      <c r="N46" s="0" t="n">
        <v>0</v>
      </c>
      <c r="R46" s="0" t="n">
        <v>0</v>
      </c>
      <c r="S46" s="0" t="s">
        <v>1399</v>
      </c>
      <c r="Y46" s="0" t="s">
        <v>2140</v>
      </c>
      <c r="Z46" s="0" t="s">
        <v>2136</v>
      </c>
      <c r="AC46" s="0" t="s">
        <v>2080</v>
      </c>
      <c r="AE46" s="0" t="s">
        <v>2146</v>
      </c>
      <c r="AF46" s="0" t="n">
        <v>1</v>
      </c>
      <c r="AH46" s="0" t="n">
        <v>0</v>
      </c>
      <c r="AI46" s="0" t="n">
        <v>100000</v>
      </c>
      <c r="AL46" s="0" t="s">
        <v>1632</v>
      </c>
      <c r="AM46" s="0" t="s">
        <v>1632</v>
      </c>
      <c r="AN46" s="0" t="s">
        <v>1524</v>
      </c>
      <c r="AP46" s="0" t="s">
        <v>1531</v>
      </c>
      <c r="AQ46" s="0" t="n">
        <v>2.29715200000003E+018</v>
      </c>
      <c r="AR46" s="0" t="s">
        <v>2147</v>
      </c>
      <c r="AS46" s="0" t="n">
        <v>1</v>
      </c>
      <c r="AT46" s="0" t="s">
        <v>2148</v>
      </c>
      <c r="AU46" s="0" t="s">
        <v>2149</v>
      </c>
      <c r="AV46" s="0" t="n">
        <v>1000</v>
      </c>
      <c r="AZ46" s="0" t="n">
        <v>100000</v>
      </c>
      <c r="BA46" s="0" t="s">
        <v>1531</v>
      </c>
      <c r="BC46" s="0" t="n">
        <v>0</v>
      </c>
      <c r="BD46" s="0" t="n">
        <v>0</v>
      </c>
      <c r="BQ46" s="0" t="s">
        <v>1561</v>
      </c>
      <c r="BV46" s="0" t="s">
        <v>2138</v>
      </c>
      <c r="BW46" s="0" t="n">
        <v>0</v>
      </c>
    </row>
    <row r="47" customFormat="false" ht="13.8" hidden="false" customHeight="false" outlineLevel="0" collapsed="false">
      <c r="A47" s="267" t="n">
        <v>45777</v>
      </c>
      <c r="B47" s="267" t="n">
        <v>45777</v>
      </c>
      <c r="C47" s="0" t="n">
        <v>2.29715200000014E+018</v>
      </c>
      <c r="D47" s="0" t="s">
        <v>2082</v>
      </c>
      <c r="E47" s="0" t="n">
        <v>0</v>
      </c>
      <c r="F47" s="0" t="n">
        <v>0</v>
      </c>
      <c r="G47" s="0" t="s">
        <v>1538</v>
      </c>
      <c r="H47" s="0" t="s">
        <v>2192</v>
      </c>
      <c r="J47" s="0" t="s">
        <v>1526</v>
      </c>
      <c r="K47" s="0" t="n">
        <v>1</v>
      </c>
      <c r="L47" s="0" t="n">
        <v>50000</v>
      </c>
      <c r="M47" s="0" t="n">
        <v>49500</v>
      </c>
      <c r="N47" s="0" t="n">
        <v>0</v>
      </c>
      <c r="R47" s="0" t="n">
        <v>0</v>
      </c>
      <c r="S47" s="0" t="s">
        <v>1399</v>
      </c>
      <c r="Y47" s="0" t="s">
        <v>2140</v>
      </c>
      <c r="Z47" s="0" t="s">
        <v>2136</v>
      </c>
      <c r="AC47" s="0" t="s">
        <v>2080</v>
      </c>
      <c r="AE47" s="0" t="s">
        <v>2146</v>
      </c>
      <c r="AF47" s="0" t="n">
        <v>1</v>
      </c>
      <c r="AH47" s="0" t="n">
        <v>0</v>
      </c>
      <c r="AI47" s="0" t="n">
        <v>50000</v>
      </c>
      <c r="AL47" s="0" t="s">
        <v>1522</v>
      </c>
      <c r="AM47" s="0" t="s">
        <v>1632</v>
      </c>
      <c r="AN47" s="0" t="s">
        <v>1524</v>
      </c>
      <c r="AP47" s="0" t="s">
        <v>1531</v>
      </c>
      <c r="AQ47" s="0" t="n">
        <v>2.29715200000003E+018</v>
      </c>
      <c r="AR47" s="0" t="s">
        <v>2147</v>
      </c>
      <c r="AS47" s="0" t="n">
        <v>1</v>
      </c>
      <c r="AT47" s="0" t="s">
        <v>2148</v>
      </c>
      <c r="AU47" s="0" t="s">
        <v>2149</v>
      </c>
      <c r="AV47" s="0" t="n">
        <v>500</v>
      </c>
      <c r="AZ47" s="0" t="n">
        <v>50000</v>
      </c>
      <c r="BA47" s="0" t="s">
        <v>1531</v>
      </c>
      <c r="BC47" s="0" t="n">
        <v>0</v>
      </c>
      <c r="BD47" s="0" t="n">
        <v>0</v>
      </c>
      <c r="BQ47" s="0" t="s">
        <v>1561</v>
      </c>
      <c r="BV47" s="0" t="s">
        <v>2138</v>
      </c>
      <c r="BW47" s="0" t="n">
        <v>0</v>
      </c>
    </row>
    <row r="48" customFormat="false" ht="13.8" hidden="false" customHeight="false" outlineLevel="0" collapsed="false">
      <c r="A48" s="267" t="n">
        <v>45777</v>
      </c>
      <c r="B48" s="267" t="n">
        <v>45777</v>
      </c>
      <c r="C48" s="0" t="n">
        <v>2.29715200000014E+018</v>
      </c>
      <c r="D48" s="0" t="s">
        <v>2083</v>
      </c>
      <c r="E48" s="0" t="n">
        <v>0</v>
      </c>
      <c r="F48" s="0" t="n">
        <v>0</v>
      </c>
      <c r="G48" s="0" t="s">
        <v>1538</v>
      </c>
      <c r="H48" s="0" t="s">
        <v>2193</v>
      </c>
      <c r="J48" s="0" t="s">
        <v>1526</v>
      </c>
      <c r="K48" s="0" t="n">
        <v>1</v>
      </c>
      <c r="L48" s="0" t="n">
        <v>114456</v>
      </c>
      <c r="M48" s="0" t="n">
        <v>113456</v>
      </c>
      <c r="N48" s="0" t="n">
        <v>0</v>
      </c>
      <c r="R48" s="0" t="n">
        <v>0</v>
      </c>
      <c r="S48" s="0" t="s">
        <v>1399</v>
      </c>
      <c r="Y48" s="0" t="s">
        <v>2140</v>
      </c>
      <c r="Z48" s="0" t="s">
        <v>2136</v>
      </c>
      <c r="AC48" s="0" t="s">
        <v>2080</v>
      </c>
      <c r="AE48" s="0" t="s">
        <v>2146</v>
      </c>
      <c r="AF48" s="0" t="n">
        <v>1</v>
      </c>
      <c r="AH48" s="0" t="n">
        <v>0</v>
      </c>
      <c r="AI48" s="0" t="n">
        <v>100000</v>
      </c>
      <c r="AL48" s="0" t="s">
        <v>1632</v>
      </c>
      <c r="AM48" s="0" t="s">
        <v>1632</v>
      </c>
      <c r="AN48" s="0" t="s">
        <v>1524</v>
      </c>
      <c r="AP48" s="0" t="s">
        <v>1531</v>
      </c>
      <c r="AQ48" s="0" t="n">
        <v>2.29715200000003E+018</v>
      </c>
      <c r="AR48" s="0" t="s">
        <v>2147</v>
      </c>
      <c r="AS48" s="0" t="n">
        <v>1</v>
      </c>
      <c r="AT48" s="0" t="s">
        <v>2148</v>
      </c>
      <c r="AU48" s="0" t="s">
        <v>2149</v>
      </c>
      <c r="AV48" s="0" t="n">
        <v>1000</v>
      </c>
      <c r="AZ48" s="0" t="n">
        <v>100000</v>
      </c>
      <c r="BA48" s="0" t="s">
        <v>1531</v>
      </c>
      <c r="BC48" s="0" t="n">
        <v>0</v>
      </c>
      <c r="BD48" s="0" t="n">
        <v>0</v>
      </c>
      <c r="BQ48" s="0" t="s">
        <v>1561</v>
      </c>
      <c r="BV48" s="0" t="s">
        <v>2138</v>
      </c>
      <c r="BW48" s="0" t="n">
        <v>0</v>
      </c>
    </row>
    <row r="49" customFormat="false" ht="13.8" hidden="false" customHeight="false" outlineLevel="0" collapsed="false">
      <c r="A49" s="267" t="n">
        <v>45777</v>
      </c>
      <c r="B49" s="267" t="n">
        <v>45777</v>
      </c>
      <c r="C49" s="0" t="n">
        <v>2.29715200000014E+018</v>
      </c>
      <c r="D49" s="0" t="s">
        <v>2083</v>
      </c>
      <c r="E49" s="0" t="n">
        <v>0</v>
      </c>
      <c r="F49" s="0" t="n">
        <v>0</v>
      </c>
      <c r="G49" s="0" t="s">
        <v>1538</v>
      </c>
      <c r="H49" s="0" t="s">
        <v>2193</v>
      </c>
      <c r="J49" s="0" t="s">
        <v>1526</v>
      </c>
      <c r="K49" s="0" t="n">
        <v>1</v>
      </c>
      <c r="L49" s="0" t="n">
        <v>114456</v>
      </c>
      <c r="M49" s="0" t="n">
        <v>113456</v>
      </c>
      <c r="N49" s="0" t="n">
        <v>0</v>
      </c>
      <c r="R49" s="0" t="n">
        <v>0</v>
      </c>
      <c r="S49" s="0" t="s">
        <v>1399</v>
      </c>
      <c r="Y49" s="0" t="s">
        <v>2140</v>
      </c>
      <c r="Z49" s="0" t="s">
        <v>2136</v>
      </c>
      <c r="AC49" s="0" t="s">
        <v>2097</v>
      </c>
      <c r="AE49" s="0" t="s">
        <v>2194</v>
      </c>
      <c r="AF49" s="0" t="n">
        <v>1</v>
      </c>
      <c r="AH49" s="0" t="n">
        <v>0</v>
      </c>
      <c r="AI49" s="0" t="n">
        <v>14456</v>
      </c>
      <c r="AL49" s="0" t="s">
        <v>1632</v>
      </c>
      <c r="AM49" s="0" t="s">
        <v>1632</v>
      </c>
      <c r="AN49" s="0" t="s">
        <v>1524</v>
      </c>
      <c r="AP49" s="0" t="s">
        <v>1531</v>
      </c>
      <c r="AQ49" s="0" t="n">
        <v>2.29715200000003E+018</v>
      </c>
      <c r="AR49" s="0" t="s">
        <v>2147</v>
      </c>
      <c r="AS49" s="0" t="n">
        <v>1</v>
      </c>
      <c r="AT49" s="0" t="s">
        <v>2148</v>
      </c>
      <c r="AU49" s="0" t="s">
        <v>2149</v>
      </c>
      <c r="AV49" s="0" t="n">
        <v>1000</v>
      </c>
      <c r="AZ49" s="0" t="n">
        <v>14456</v>
      </c>
      <c r="BA49" s="0" t="s">
        <v>1531</v>
      </c>
      <c r="BC49" s="0" t="n">
        <v>0</v>
      </c>
      <c r="BD49" s="0" t="n">
        <v>0</v>
      </c>
      <c r="BQ49" s="0" t="s">
        <v>1561</v>
      </c>
      <c r="BV49" s="0" t="s">
        <v>2138</v>
      </c>
      <c r="BW49" s="0" t="n">
        <v>0</v>
      </c>
    </row>
    <row r="50" customFormat="false" ht="13.8" hidden="false" customHeight="false" outlineLevel="0" collapsed="false">
      <c r="A50" s="267" t="n">
        <v>45777</v>
      </c>
      <c r="B50" s="267" t="n">
        <v>45777</v>
      </c>
      <c r="C50" s="0" t="n">
        <v>2.29715200000014E+018</v>
      </c>
      <c r="D50" s="0" t="s">
        <v>2084</v>
      </c>
      <c r="E50" s="0" t="n">
        <v>0</v>
      </c>
      <c r="F50" s="0" t="n">
        <v>0</v>
      </c>
      <c r="G50" s="0" t="s">
        <v>1538</v>
      </c>
      <c r="H50" s="0" t="s">
        <v>2192</v>
      </c>
      <c r="J50" s="0" t="s">
        <v>1526</v>
      </c>
      <c r="K50" s="0" t="n">
        <v>1</v>
      </c>
      <c r="L50" s="0" t="n">
        <v>52572</v>
      </c>
      <c r="M50" s="0" t="n">
        <v>52072</v>
      </c>
      <c r="N50" s="0" t="n">
        <v>0</v>
      </c>
      <c r="R50" s="0" t="n">
        <v>0</v>
      </c>
      <c r="S50" s="0" t="s">
        <v>1399</v>
      </c>
      <c r="Y50" s="0" t="s">
        <v>2140</v>
      </c>
      <c r="Z50" s="0" t="s">
        <v>2136</v>
      </c>
      <c r="AC50" s="0" t="s">
        <v>2080</v>
      </c>
      <c r="AE50" s="0" t="s">
        <v>2146</v>
      </c>
      <c r="AF50" s="0" t="n">
        <v>1</v>
      </c>
      <c r="AH50" s="0" t="n">
        <v>0</v>
      </c>
      <c r="AI50" s="0" t="n">
        <v>50000</v>
      </c>
      <c r="AL50" s="0" t="s">
        <v>1632</v>
      </c>
      <c r="AM50" s="0" t="s">
        <v>1632</v>
      </c>
      <c r="AN50" s="0" t="s">
        <v>1524</v>
      </c>
      <c r="AP50" s="0" t="s">
        <v>1531</v>
      </c>
      <c r="AQ50" s="0" t="n">
        <v>2.29715200000003E+018</v>
      </c>
      <c r="AR50" s="0" t="s">
        <v>2147</v>
      </c>
      <c r="AS50" s="0" t="n">
        <v>1</v>
      </c>
      <c r="AT50" s="0" t="s">
        <v>2148</v>
      </c>
      <c r="AU50" s="0" t="s">
        <v>2149</v>
      </c>
      <c r="AV50" s="0" t="n">
        <v>500</v>
      </c>
      <c r="AZ50" s="0" t="n">
        <v>50000</v>
      </c>
      <c r="BA50" s="0" t="s">
        <v>1531</v>
      </c>
      <c r="BC50" s="0" t="n">
        <v>0</v>
      </c>
      <c r="BD50" s="0" t="n">
        <v>0</v>
      </c>
      <c r="BQ50" s="0" t="s">
        <v>1561</v>
      </c>
      <c r="BV50" s="0" t="s">
        <v>2138</v>
      </c>
      <c r="BW50" s="0" t="n">
        <v>0</v>
      </c>
    </row>
    <row r="51" customFormat="false" ht="13.8" hidden="false" customHeight="false" outlineLevel="0" collapsed="false">
      <c r="A51" s="267" t="n">
        <v>45777</v>
      </c>
      <c r="B51" s="267" t="n">
        <v>45777</v>
      </c>
      <c r="C51" s="0" t="n">
        <v>2.29715200000014E+018</v>
      </c>
      <c r="D51" s="0" t="s">
        <v>2084</v>
      </c>
      <c r="E51" s="0" t="n">
        <v>0</v>
      </c>
      <c r="F51" s="0" t="n">
        <v>0</v>
      </c>
      <c r="G51" s="0" t="s">
        <v>1538</v>
      </c>
      <c r="H51" s="0" t="s">
        <v>2192</v>
      </c>
      <c r="J51" s="0" t="s">
        <v>1526</v>
      </c>
      <c r="K51" s="0" t="n">
        <v>1</v>
      </c>
      <c r="L51" s="0" t="n">
        <v>52572</v>
      </c>
      <c r="M51" s="0" t="n">
        <v>52072</v>
      </c>
      <c r="N51" s="0" t="n">
        <v>0</v>
      </c>
      <c r="R51" s="0" t="n">
        <v>0</v>
      </c>
      <c r="S51" s="0" t="s">
        <v>1399</v>
      </c>
      <c r="Y51" s="0" t="s">
        <v>2140</v>
      </c>
      <c r="Z51" s="0" t="s">
        <v>2136</v>
      </c>
      <c r="AC51" s="0" t="s">
        <v>2097</v>
      </c>
      <c r="AE51" s="0" t="s">
        <v>2195</v>
      </c>
      <c r="AF51" s="0" t="n">
        <v>1</v>
      </c>
      <c r="AH51" s="0" t="n">
        <v>0</v>
      </c>
      <c r="AI51" s="0" t="n">
        <v>2572</v>
      </c>
      <c r="AL51" s="0" t="s">
        <v>1632</v>
      </c>
      <c r="AM51" s="0" t="s">
        <v>1632</v>
      </c>
      <c r="AN51" s="0" t="s">
        <v>1524</v>
      </c>
      <c r="AP51" s="0" t="s">
        <v>1531</v>
      </c>
      <c r="AQ51" s="0" t="n">
        <v>2.29715200000003E+018</v>
      </c>
      <c r="AR51" s="0" t="s">
        <v>2147</v>
      </c>
      <c r="AS51" s="0" t="n">
        <v>1</v>
      </c>
      <c r="AT51" s="0" t="s">
        <v>2148</v>
      </c>
      <c r="AU51" s="0" t="s">
        <v>2149</v>
      </c>
      <c r="AV51" s="0" t="n">
        <v>500</v>
      </c>
      <c r="AZ51" s="0" t="n">
        <v>2572</v>
      </c>
      <c r="BA51" s="0" t="s">
        <v>1531</v>
      </c>
      <c r="BC51" s="0" t="n">
        <v>0</v>
      </c>
      <c r="BD51" s="0" t="n">
        <v>0</v>
      </c>
      <c r="BQ51" s="0" t="s">
        <v>1561</v>
      </c>
      <c r="BV51" s="0" t="s">
        <v>2138</v>
      </c>
      <c r="BW51" s="0" t="n">
        <v>0</v>
      </c>
    </row>
    <row r="52" customFormat="false" ht="13.8" hidden="false" customHeight="false" outlineLevel="0" collapsed="false">
      <c r="A52" s="267" t="n">
        <v>45758</v>
      </c>
      <c r="B52" s="267" t="n">
        <v>45758</v>
      </c>
      <c r="C52" s="0" t="n">
        <v>2.29715200000014E+018</v>
      </c>
      <c r="D52" s="0" t="s">
        <v>2079</v>
      </c>
      <c r="E52" s="0" t="n">
        <v>0</v>
      </c>
      <c r="F52" s="0" t="n">
        <v>0</v>
      </c>
      <c r="G52" s="0" t="s">
        <v>1538</v>
      </c>
      <c r="H52" s="0" t="s">
        <v>2196</v>
      </c>
      <c r="J52" s="0" t="s">
        <v>1526</v>
      </c>
      <c r="K52" s="0" t="n">
        <v>1</v>
      </c>
      <c r="L52" s="0" t="n">
        <v>125000</v>
      </c>
      <c r="M52" s="0" t="n">
        <v>145000</v>
      </c>
      <c r="N52" s="0" t="n">
        <v>0</v>
      </c>
      <c r="R52" s="0" t="n">
        <v>0</v>
      </c>
      <c r="S52" s="0" t="s">
        <v>1399</v>
      </c>
      <c r="Y52" s="0" t="s">
        <v>2140</v>
      </c>
      <c r="Z52" s="0" t="s">
        <v>2136</v>
      </c>
      <c r="AC52" s="0" t="s">
        <v>2077</v>
      </c>
      <c r="AE52" s="0" t="s">
        <v>2197</v>
      </c>
      <c r="AF52" s="0" t="n">
        <v>1</v>
      </c>
      <c r="AH52" s="0" t="n">
        <v>22500</v>
      </c>
      <c r="AI52" s="0" t="n">
        <v>125000</v>
      </c>
      <c r="AL52" s="0" t="s">
        <v>1959</v>
      </c>
      <c r="AM52" s="0" t="s">
        <v>1632</v>
      </c>
      <c r="AN52" s="0" t="s">
        <v>1595</v>
      </c>
      <c r="AO52" s="0" t="s">
        <v>2198</v>
      </c>
      <c r="AP52" s="0" t="s">
        <v>1531</v>
      </c>
      <c r="AQ52" s="0" t="n">
        <v>2.29715200000003E+018</v>
      </c>
      <c r="AR52" s="0" t="s">
        <v>2199</v>
      </c>
      <c r="AS52" s="0" t="n">
        <v>2</v>
      </c>
      <c r="AT52" s="0" t="s">
        <v>2148</v>
      </c>
      <c r="AU52" s="0" t="s">
        <v>2149</v>
      </c>
      <c r="AV52" s="0" t="n">
        <v>2500</v>
      </c>
      <c r="AZ52" s="0" t="n">
        <v>125000</v>
      </c>
      <c r="BA52" s="0" t="s">
        <v>1531</v>
      </c>
      <c r="BC52" s="0" t="n">
        <v>0</v>
      </c>
      <c r="BD52" s="0" t="n">
        <v>0</v>
      </c>
      <c r="BG52" s="0" t="n">
        <v>2.29715200000003E+018</v>
      </c>
      <c r="BH52" s="0" t="s">
        <v>1566</v>
      </c>
      <c r="BI52" s="0" t="n">
        <v>18</v>
      </c>
      <c r="BJ52" s="0" t="s">
        <v>1567</v>
      </c>
      <c r="BQ52" s="0" t="s">
        <v>1561</v>
      </c>
      <c r="BV52" s="0" t="s">
        <v>2138</v>
      </c>
      <c r="BW52" s="0" t="n">
        <v>0</v>
      </c>
      <c r="CC52" s="0" t="n">
        <v>0</v>
      </c>
      <c r="CD52" s="0" t="n">
        <v>0</v>
      </c>
      <c r="CE52" s="0" t="n">
        <v>18</v>
      </c>
      <c r="CF52" s="0" t="n">
        <v>0</v>
      </c>
      <c r="CG52" s="0" t="n">
        <v>0</v>
      </c>
      <c r="CH52" s="0" t="n">
        <v>0</v>
      </c>
      <c r="CI52" s="0" t="n">
        <v>22500</v>
      </c>
      <c r="CJ52" s="0" t="n">
        <v>0</v>
      </c>
      <c r="CK52" s="0" t="n">
        <v>0</v>
      </c>
      <c r="CL52" s="0" t="n">
        <v>0</v>
      </c>
      <c r="CM52" s="0" t="n">
        <v>22500</v>
      </c>
      <c r="CN52" s="0" t="n">
        <v>0</v>
      </c>
    </row>
    <row r="53" customFormat="false" ht="13.8" hidden="false" customHeight="false" outlineLevel="0" collapsed="false">
      <c r="A53" s="267" t="n">
        <v>45749</v>
      </c>
      <c r="B53" s="267" t="n">
        <v>45749</v>
      </c>
      <c r="C53" s="0" t="n">
        <v>2.29715200000014E+018</v>
      </c>
      <c r="D53" s="0" t="s">
        <v>2095</v>
      </c>
      <c r="E53" s="0" t="n">
        <v>0</v>
      </c>
      <c r="F53" s="0" t="n">
        <v>0</v>
      </c>
      <c r="G53" s="0" t="s">
        <v>1538</v>
      </c>
      <c r="H53" s="0" t="n">
        <v>2121043933</v>
      </c>
      <c r="J53" s="0" t="s">
        <v>1526</v>
      </c>
      <c r="K53" s="0" t="n">
        <v>1</v>
      </c>
      <c r="L53" s="0" t="n">
        <v>9956.86</v>
      </c>
      <c r="M53" s="0" t="n">
        <v>8961.17</v>
      </c>
      <c r="N53" s="0" t="n">
        <v>0</v>
      </c>
      <c r="R53" s="0" t="n">
        <v>0</v>
      </c>
      <c r="S53" s="0" t="s">
        <v>1399</v>
      </c>
      <c r="Y53" s="0" t="s">
        <v>2140</v>
      </c>
      <c r="Z53" s="0" t="s">
        <v>2136</v>
      </c>
      <c r="AC53" s="0" t="s">
        <v>2094</v>
      </c>
      <c r="AE53" s="0" t="s">
        <v>2200</v>
      </c>
      <c r="AF53" s="0" t="n">
        <v>1</v>
      </c>
      <c r="AH53" s="0" t="n">
        <v>0</v>
      </c>
      <c r="AI53" s="0" t="n">
        <v>9956.86</v>
      </c>
      <c r="AL53" s="0" t="s">
        <v>1632</v>
      </c>
      <c r="AM53" s="0" t="s">
        <v>1632</v>
      </c>
      <c r="AN53" s="0" t="s">
        <v>1524</v>
      </c>
      <c r="AP53" s="0" t="s">
        <v>1531</v>
      </c>
      <c r="AQ53" s="0" t="n">
        <v>2.29715200000003E+018</v>
      </c>
      <c r="AR53" s="0" t="s">
        <v>1596</v>
      </c>
      <c r="AS53" s="0" t="n">
        <v>10</v>
      </c>
      <c r="AT53" s="0" t="s">
        <v>1534</v>
      </c>
      <c r="AU53" s="0" t="s">
        <v>1535</v>
      </c>
      <c r="AV53" s="0" t="n">
        <v>995.69</v>
      </c>
      <c r="AZ53" s="0" t="n">
        <v>9956.856</v>
      </c>
      <c r="BA53" s="0" t="s">
        <v>1531</v>
      </c>
      <c r="BC53" s="0" t="n">
        <v>0</v>
      </c>
      <c r="BD53" s="0" t="n">
        <v>0</v>
      </c>
      <c r="BQ53" s="0" t="s">
        <v>1561</v>
      </c>
      <c r="BV53" s="0" t="s">
        <v>2138</v>
      </c>
      <c r="BW53" s="0" t="n">
        <v>0</v>
      </c>
    </row>
    <row r="54" customFormat="false" ht="13.8" hidden="false" customHeight="false" outlineLevel="0" collapsed="false">
      <c r="A54" s="267" t="n">
        <v>45748</v>
      </c>
      <c r="B54" s="267" t="n">
        <v>45748</v>
      </c>
      <c r="C54" s="0" t="n">
        <v>2.29715200000014E+018</v>
      </c>
      <c r="D54" s="0" t="s">
        <v>2096</v>
      </c>
      <c r="E54" s="0" t="n">
        <v>0</v>
      </c>
      <c r="F54" s="0" t="n">
        <v>0</v>
      </c>
      <c r="G54" s="0" t="s">
        <v>1538</v>
      </c>
      <c r="H54" s="0" t="n">
        <v>1</v>
      </c>
      <c r="J54" s="0" t="s">
        <v>1526</v>
      </c>
      <c r="K54" s="0" t="n">
        <v>1</v>
      </c>
      <c r="L54" s="0" t="n">
        <v>27408.94</v>
      </c>
      <c r="M54" s="0" t="n">
        <v>24668.05</v>
      </c>
      <c r="N54" s="0" t="n">
        <v>0</v>
      </c>
      <c r="R54" s="0" t="n">
        <v>0</v>
      </c>
      <c r="S54" s="0" t="s">
        <v>1399</v>
      </c>
      <c r="Y54" s="0" t="s">
        <v>2140</v>
      </c>
      <c r="Z54" s="0" t="s">
        <v>2136</v>
      </c>
      <c r="AC54" s="0" t="s">
        <v>2094</v>
      </c>
      <c r="AE54" s="0" t="s">
        <v>2201</v>
      </c>
      <c r="AF54" s="0" t="n">
        <v>1</v>
      </c>
      <c r="AH54" s="0" t="n">
        <v>0</v>
      </c>
      <c r="AI54" s="0" t="n">
        <v>27408.94</v>
      </c>
      <c r="AL54" s="0" t="s">
        <v>1632</v>
      </c>
      <c r="AM54" s="0" t="s">
        <v>1632</v>
      </c>
      <c r="AN54" s="0" t="s">
        <v>1524</v>
      </c>
      <c r="AP54" s="0" t="s">
        <v>1531</v>
      </c>
      <c r="AQ54" s="0" t="n">
        <v>2.29715200000003E+018</v>
      </c>
      <c r="AR54" s="0" t="s">
        <v>1596</v>
      </c>
      <c r="AS54" s="0" t="n">
        <v>10</v>
      </c>
      <c r="AT54" s="0" t="s">
        <v>1534</v>
      </c>
      <c r="AU54" s="0" t="s">
        <v>1535</v>
      </c>
      <c r="AV54" s="0" t="n">
        <v>2740.89</v>
      </c>
      <c r="AZ54" s="0" t="n">
        <v>27408.94</v>
      </c>
      <c r="BA54" s="0" t="s">
        <v>1531</v>
      </c>
      <c r="BC54" s="0" t="n">
        <v>0</v>
      </c>
      <c r="BD54" s="0" t="n">
        <v>0</v>
      </c>
      <c r="BQ54" s="0" t="s">
        <v>1561</v>
      </c>
      <c r="BV54" s="0" t="s">
        <v>2138</v>
      </c>
      <c r="BW54" s="0" t="n">
        <v>0</v>
      </c>
    </row>
    <row r="55" customFormat="false" ht="13.8" hidden="false" customHeight="false" outlineLevel="0" collapsed="false">
      <c r="A55" s="267" t="n">
        <v>45778</v>
      </c>
      <c r="B55" s="267" t="n">
        <v>45778</v>
      </c>
      <c r="C55" s="0" t="n">
        <v>2.29715200000016E+018</v>
      </c>
      <c r="D55" s="0" t="s">
        <v>2089</v>
      </c>
      <c r="E55" s="0" t="n">
        <v>0</v>
      </c>
      <c r="F55" s="0" t="n">
        <v>0</v>
      </c>
      <c r="G55" s="0" t="s">
        <v>2165</v>
      </c>
      <c r="H55" s="0" t="n">
        <v>254326</v>
      </c>
      <c r="J55" s="0" t="s">
        <v>1526</v>
      </c>
      <c r="K55" s="0" t="n">
        <v>1</v>
      </c>
      <c r="L55" s="0" t="n">
        <v>15</v>
      </c>
      <c r="M55" s="0" t="n">
        <v>17.7</v>
      </c>
      <c r="N55" s="0" t="n">
        <v>0</v>
      </c>
      <c r="R55" s="0" t="n">
        <v>0</v>
      </c>
      <c r="S55" s="0" t="s">
        <v>1399</v>
      </c>
      <c r="Y55" s="0" t="s">
        <v>2140</v>
      </c>
      <c r="Z55" s="0" t="s">
        <v>2136</v>
      </c>
      <c r="AC55" s="0" t="s">
        <v>2088</v>
      </c>
      <c r="AF55" s="0" t="n">
        <v>1</v>
      </c>
      <c r="AH55" s="0" t="n">
        <v>2.7</v>
      </c>
      <c r="AI55" s="0" t="n">
        <v>15</v>
      </c>
      <c r="AL55" s="0" t="s">
        <v>1959</v>
      </c>
      <c r="AM55" s="0" t="s">
        <v>1632</v>
      </c>
      <c r="AN55" s="0" t="s">
        <v>1595</v>
      </c>
      <c r="AO55" s="0" t="s">
        <v>2166</v>
      </c>
      <c r="AP55" s="0" t="s">
        <v>1527</v>
      </c>
      <c r="AS55" s="0" t="n">
        <v>0</v>
      </c>
      <c r="AV55" s="0" t="n">
        <v>0</v>
      </c>
      <c r="AZ55" s="0" t="n">
        <v>15</v>
      </c>
      <c r="BA55" s="0" t="s">
        <v>1531</v>
      </c>
      <c r="BC55" s="0" t="n">
        <v>0</v>
      </c>
      <c r="BD55" s="0" t="n">
        <v>0</v>
      </c>
      <c r="BG55" s="0" t="n">
        <v>2.29715200000003E+018</v>
      </c>
      <c r="BH55" s="0" t="s">
        <v>1566</v>
      </c>
      <c r="BI55" s="0" t="n">
        <v>18</v>
      </c>
      <c r="BJ55" s="0" t="s">
        <v>1567</v>
      </c>
      <c r="BM55" s="0" t="n">
        <v>0</v>
      </c>
      <c r="BQ55" s="0" t="s">
        <v>1561</v>
      </c>
      <c r="BV55" s="0" t="s">
        <v>2138</v>
      </c>
      <c r="BW55" s="0" t="n">
        <v>0</v>
      </c>
      <c r="CC55" s="0" t="n">
        <v>0</v>
      </c>
      <c r="CD55" s="0" t="n">
        <v>0</v>
      </c>
      <c r="CE55" s="0" t="n">
        <v>18</v>
      </c>
      <c r="CF55" s="0" t="n">
        <v>0</v>
      </c>
      <c r="CG55" s="0" t="n">
        <v>0</v>
      </c>
      <c r="CH55" s="0" t="n">
        <v>0</v>
      </c>
      <c r="CI55" s="0" t="n">
        <v>2.7</v>
      </c>
      <c r="CJ55" s="0" t="n">
        <v>0</v>
      </c>
      <c r="CK55" s="0" t="n">
        <v>0</v>
      </c>
      <c r="CL55" s="0" t="n">
        <v>0</v>
      </c>
      <c r="CM55" s="0" t="n">
        <v>2.7</v>
      </c>
      <c r="CN55" s="0" t="n">
        <v>0</v>
      </c>
    </row>
    <row r="56" customFormat="false" ht="13.8" hidden="false" customHeight="false" outlineLevel="0" collapsed="false">
      <c r="A56" s="267" t="n">
        <v>45778</v>
      </c>
      <c r="B56" s="267" t="n">
        <v>45778</v>
      </c>
      <c r="C56" s="0" t="n">
        <v>2.29715200000016E+018</v>
      </c>
      <c r="D56" s="0" t="s">
        <v>2089</v>
      </c>
      <c r="E56" s="0" t="n">
        <v>0</v>
      </c>
      <c r="F56" s="0" t="n">
        <v>0</v>
      </c>
      <c r="G56" s="0" t="s">
        <v>2165</v>
      </c>
      <c r="H56" s="0" t="n">
        <v>254979</v>
      </c>
      <c r="J56" s="0" t="s">
        <v>1526</v>
      </c>
      <c r="K56" s="0" t="n">
        <v>1</v>
      </c>
      <c r="L56" s="0" t="n">
        <v>100</v>
      </c>
      <c r="M56" s="0" t="n">
        <v>118</v>
      </c>
      <c r="N56" s="0" t="n">
        <v>0</v>
      </c>
      <c r="R56" s="0" t="n">
        <v>0</v>
      </c>
      <c r="S56" s="0" t="s">
        <v>1399</v>
      </c>
      <c r="Y56" s="0" t="s">
        <v>2140</v>
      </c>
      <c r="Z56" s="0" t="s">
        <v>2136</v>
      </c>
      <c r="AC56" s="0" t="s">
        <v>2088</v>
      </c>
      <c r="AF56" s="0" t="n">
        <v>1</v>
      </c>
      <c r="AH56" s="0" t="n">
        <v>18</v>
      </c>
      <c r="AI56" s="0" t="n">
        <v>100</v>
      </c>
      <c r="AL56" s="0" t="s">
        <v>1959</v>
      </c>
      <c r="AM56" s="0" t="s">
        <v>1632</v>
      </c>
      <c r="AN56" s="0" t="s">
        <v>1595</v>
      </c>
      <c r="AO56" s="0" t="s">
        <v>2166</v>
      </c>
      <c r="AP56" s="0" t="s">
        <v>1527</v>
      </c>
      <c r="AS56" s="0" t="n">
        <v>0</v>
      </c>
      <c r="AV56" s="0" t="n">
        <v>0</v>
      </c>
      <c r="AZ56" s="0" t="n">
        <v>100</v>
      </c>
      <c r="BA56" s="0" t="s">
        <v>1531</v>
      </c>
      <c r="BC56" s="0" t="n">
        <v>0</v>
      </c>
      <c r="BD56" s="0" t="n">
        <v>0</v>
      </c>
      <c r="BG56" s="0" t="n">
        <v>2.29715200000003E+018</v>
      </c>
      <c r="BH56" s="0" t="s">
        <v>1566</v>
      </c>
      <c r="BI56" s="0" t="n">
        <v>18</v>
      </c>
      <c r="BJ56" s="0" t="s">
        <v>1567</v>
      </c>
      <c r="BM56" s="0" t="n">
        <v>0</v>
      </c>
      <c r="BQ56" s="0" t="s">
        <v>1561</v>
      </c>
      <c r="BV56" s="0" t="s">
        <v>2138</v>
      </c>
      <c r="BW56" s="0" t="n">
        <v>0</v>
      </c>
      <c r="CC56" s="0" t="n">
        <v>0</v>
      </c>
      <c r="CD56" s="0" t="n">
        <v>0</v>
      </c>
      <c r="CE56" s="0" t="n">
        <v>18</v>
      </c>
      <c r="CF56" s="0" t="n">
        <v>0</v>
      </c>
      <c r="CG56" s="0" t="n">
        <v>0</v>
      </c>
      <c r="CH56" s="0" t="n">
        <v>0</v>
      </c>
      <c r="CI56" s="0" t="n">
        <v>18</v>
      </c>
      <c r="CJ56" s="0" t="n">
        <v>0</v>
      </c>
      <c r="CK56" s="0" t="n">
        <v>0</v>
      </c>
      <c r="CL56" s="0" t="n">
        <v>0</v>
      </c>
      <c r="CM56" s="0" t="n">
        <v>18</v>
      </c>
      <c r="CN56" s="0" t="n">
        <v>0</v>
      </c>
    </row>
    <row r="57" customFormat="false" ht="13.8" hidden="false" customHeight="false" outlineLevel="0" collapsed="false">
      <c r="A57" s="267" t="n">
        <v>45609</v>
      </c>
      <c r="B57" s="267" t="n">
        <v>45609</v>
      </c>
      <c r="C57" s="0" t="n">
        <v>2.29715200000019E+018</v>
      </c>
      <c r="D57" s="0" t="s">
        <v>2202</v>
      </c>
      <c r="E57" s="0" t="n">
        <v>0</v>
      </c>
      <c r="F57" s="0" t="n">
        <v>0</v>
      </c>
      <c r="G57" s="0" t="s">
        <v>1538</v>
      </c>
      <c r="H57" s="0" t="s">
        <v>2203</v>
      </c>
      <c r="J57" s="0" t="s">
        <v>1526</v>
      </c>
      <c r="K57" s="0" t="n">
        <v>1</v>
      </c>
      <c r="L57" s="0" t="n">
        <v>10376.42</v>
      </c>
      <c r="M57" s="0" t="n">
        <v>10376.42</v>
      </c>
      <c r="N57" s="0" t="n">
        <v>0</v>
      </c>
      <c r="R57" s="0" t="n">
        <v>0</v>
      </c>
      <c r="S57" s="0" t="s">
        <v>1399</v>
      </c>
      <c r="Y57" s="0" t="s">
        <v>2140</v>
      </c>
      <c r="Z57" s="0" t="s">
        <v>2136</v>
      </c>
      <c r="AC57" s="0" t="s">
        <v>2094</v>
      </c>
      <c r="AE57" s="0" t="s">
        <v>2094</v>
      </c>
      <c r="AF57" s="0" t="n">
        <v>1</v>
      </c>
      <c r="AH57" s="0" t="n">
        <v>0</v>
      </c>
      <c r="AI57" s="0" t="n">
        <v>10376.42</v>
      </c>
      <c r="AM57" s="0" t="s">
        <v>1632</v>
      </c>
      <c r="AN57" s="0" t="s">
        <v>2163</v>
      </c>
      <c r="AP57" s="0" t="s">
        <v>1527</v>
      </c>
      <c r="AS57" s="0" t="n">
        <v>0</v>
      </c>
      <c r="AV57" s="0" t="n">
        <v>0</v>
      </c>
      <c r="AZ57" s="0" t="n">
        <v>10376.42</v>
      </c>
      <c r="BA57" s="0" t="s">
        <v>1531</v>
      </c>
      <c r="BC57" s="0" t="n">
        <v>0</v>
      </c>
      <c r="BD57" s="0" t="n">
        <v>0</v>
      </c>
      <c r="BM57" s="0" t="n">
        <v>0</v>
      </c>
      <c r="BQ57" s="0" t="s">
        <v>1561</v>
      </c>
      <c r="BV57" s="0" t="s">
        <v>2138</v>
      </c>
      <c r="BW57" s="0" t="n">
        <v>0</v>
      </c>
    </row>
    <row r="58" customFormat="false" ht="13.8" hidden="false" customHeight="false" outlineLevel="0" collapsed="false">
      <c r="A58" s="267" t="n">
        <v>45618</v>
      </c>
      <c r="B58" s="267" t="n">
        <v>45618</v>
      </c>
      <c r="C58" s="0" t="n">
        <v>2.29715200000019E+018</v>
      </c>
      <c r="D58" s="0" t="s">
        <v>2169</v>
      </c>
      <c r="E58" s="0" t="n">
        <v>0</v>
      </c>
      <c r="F58" s="0" t="n">
        <v>0</v>
      </c>
      <c r="G58" s="0" t="s">
        <v>1538</v>
      </c>
      <c r="H58" s="0" t="n">
        <v>2</v>
      </c>
      <c r="J58" s="0" t="s">
        <v>1526</v>
      </c>
      <c r="K58" s="0" t="n">
        <v>1</v>
      </c>
      <c r="L58" s="0" t="n">
        <v>3540</v>
      </c>
      <c r="M58" s="0" t="n">
        <v>3540</v>
      </c>
      <c r="N58" s="0" t="n">
        <v>0</v>
      </c>
      <c r="R58" s="0" t="n">
        <v>0</v>
      </c>
      <c r="S58" s="0" t="s">
        <v>1399</v>
      </c>
      <c r="Y58" s="0" t="s">
        <v>2140</v>
      </c>
      <c r="Z58" s="0" t="s">
        <v>2136</v>
      </c>
      <c r="AC58" s="0" t="s">
        <v>2094</v>
      </c>
      <c r="AE58" s="0" t="s">
        <v>2094</v>
      </c>
      <c r="AF58" s="0" t="n">
        <v>1</v>
      </c>
      <c r="AH58" s="0" t="n">
        <v>0</v>
      </c>
      <c r="AI58" s="0" t="n">
        <v>3540</v>
      </c>
      <c r="AL58" s="0" t="s">
        <v>1959</v>
      </c>
      <c r="AM58" s="0" t="s">
        <v>1632</v>
      </c>
      <c r="AN58" s="0" t="s">
        <v>1595</v>
      </c>
      <c r="AO58" s="0" t="s">
        <v>2171</v>
      </c>
      <c r="AP58" s="0" t="s">
        <v>1527</v>
      </c>
      <c r="AS58" s="0" t="n">
        <v>0</v>
      </c>
      <c r="AV58" s="0" t="n">
        <v>0</v>
      </c>
      <c r="AZ58" s="0" t="n">
        <v>3540</v>
      </c>
      <c r="BA58" s="0" t="s">
        <v>1531</v>
      </c>
      <c r="BC58" s="0" t="n">
        <v>0</v>
      </c>
      <c r="BD58" s="0" t="n">
        <v>0</v>
      </c>
      <c r="BM58" s="0" t="n">
        <v>0</v>
      </c>
      <c r="BQ58" s="0" t="s">
        <v>1561</v>
      </c>
      <c r="BU58" s="0" t="s">
        <v>2153</v>
      </c>
      <c r="BW58" s="0" t="n">
        <v>0</v>
      </c>
    </row>
    <row r="59" customFormat="false" ht="13.8" hidden="false" customHeight="false" outlineLevel="0" collapsed="false">
      <c r="A59" s="267" t="n">
        <v>45625</v>
      </c>
      <c r="B59" s="267" t="n">
        <v>45625</v>
      </c>
      <c r="C59" s="0" t="n">
        <v>2.29715200000019E+018</v>
      </c>
      <c r="D59" s="0" t="s">
        <v>2205</v>
      </c>
      <c r="E59" s="0" t="n">
        <v>0</v>
      </c>
      <c r="F59" s="0" t="n">
        <v>0</v>
      </c>
      <c r="G59" s="0" t="s">
        <v>1538</v>
      </c>
      <c r="H59" s="0" t="n">
        <v>1</v>
      </c>
      <c r="J59" s="0" t="s">
        <v>1526</v>
      </c>
      <c r="K59" s="0" t="n">
        <v>1</v>
      </c>
      <c r="L59" s="0" t="n">
        <v>1760.73</v>
      </c>
      <c r="M59" s="0" t="n">
        <v>1760.73</v>
      </c>
      <c r="N59" s="0" t="n">
        <v>0</v>
      </c>
      <c r="R59" s="0" t="n">
        <v>0</v>
      </c>
      <c r="S59" s="0" t="s">
        <v>1399</v>
      </c>
      <c r="Y59" s="0" t="s">
        <v>2140</v>
      </c>
      <c r="Z59" s="0" t="s">
        <v>2136</v>
      </c>
      <c r="AC59" s="0" t="s">
        <v>2094</v>
      </c>
      <c r="AE59" s="0" t="s">
        <v>2094</v>
      </c>
      <c r="AF59" s="0" t="n">
        <v>1</v>
      </c>
      <c r="AH59" s="0" t="n">
        <v>0</v>
      </c>
      <c r="AI59" s="0" t="n">
        <v>1760.73</v>
      </c>
      <c r="AM59" s="0" t="s">
        <v>1632</v>
      </c>
      <c r="AN59" s="0" t="s">
        <v>2163</v>
      </c>
      <c r="AP59" s="0" t="s">
        <v>1527</v>
      </c>
      <c r="AS59" s="0" t="n">
        <v>0</v>
      </c>
      <c r="AV59" s="0" t="n">
        <v>0</v>
      </c>
      <c r="AZ59" s="0" t="n">
        <v>1760.73</v>
      </c>
      <c r="BA59" s="0" t="s">
        <v>1531</v>
      </c>
      <c r="BC59" s="0" t="n">
        <v>0</v>
      </c>
      <c r="BD59" s="0" t="n">
        <v>0</v>
      </c>
      <c r="BM59" s="0" t="n">
        <v>0</v>
      </c>
      <c r="BQ59" s="0" t="s">
        <v>1561</v>
      </c>
      <c r="BV59" s="0" t="s">
        <v>2138</v>
      </c>
      <c r="BW59" s="0" t="n">
        <v>0</v>
      </c>
    </row>
    <row r="60" customFormat="false" ht="13.8" hidden="false" customHeight="false" outlineLevel="0" collapsed="false">
      <c r="A60" s="267" t="n">
        <v>45635</v>
      </c>
      <c r="B60" s="267" t="n">
        <v>45635</v>
      </c>
      <c r="C60" s="0" t="n">
        <v>2.29715200000019E+018</v>
      </c>
      <c r="D60" s="0" t="s">
        <v>2206</v>
      </c>
      <c r="E60" s="0" t="n">
        <v>0</v>
      </c>
      <c r="F60" s="0" t="n">
        <v>0</v>
      </c>
      <c r="G60" s="0" t="s">
        <v>1538</v>
      </c>
      <c r="H60" s="0" t="n">
        <v>32264906</v>
      </c>
      <c r="J60" s="0" t="s">
        <v>1526</v>
      </c>
      <c r="K60" s="0" t="n">
        <v>1</v>
      </c>
      <c r="L60" s="0" t="n">
        <v>5081.67</v>
      </c>
      <c r="M60" s="0" t="n">
        <v>5081.67</v>
      </c>
      <c r="N60" s="0" t="n">
        <v>0</v>
      </c>
      <c r="R60" s="0" t="n">
        <v>0</v>
      </c>
      <c r="S60" s="0" t="s">
        <v>1399</v>
      </c>
      <c r="Y60" s="0" t="s">
        <v>2140</v>
      </c>
      <c r="Z60" s="0" t="s">
        <v>2136</v>
      </c>
      <c r="AC60" s="0" t="s">
        <v>2094</v>
      </c>
      <c r="AE60" s="0" t="s">
        <v>2207</v>
      </c>
      <c r="AF60" s="0" t="n">
        <v>1</v>
      </c>
      <c r="AH60" s="0" t="n">
        <v>0</v>
      </c>
      <c r="AI60" s="0" t="n">
        <v>5081.67</v>
      </c>
      <c r="AL60" s="0" t="s">
        <v>1959</v>
      </c>
      <c r="AM60" s="0" t="s">
        <v>1632</v>
      </c>
      <c r="AN60" s="0" t="s">
        <v>1595</v>
      </c>
      <c r="AO60" s="0" t="s">
        <v>2208</v>
      </c>
      <c r="AP60" s="0" t="s">
        <v>1527</v>
      </c>
      <c r="AS60" s="0" t="n">
        <v>0</v>
      </c>
      <c r="AV60" s="0" t="n">
        <v>0</v>
      </c>
      <c r="AZ60" s="0" t="n">
        <v>5081.67</v>
      </c>
      <c r="BA60" s="0" t="s">
        <v>1531</v>
      </c>
      <c r="BC60" s="0" t="n">
        <v>0</v>
      </c>
      <c r="BD60" s="0" t="n">
        <v>0</v>
      </c>
      <c r="BM60" s="0" t="n">
        <v>0</v>
      </c>
      <c r="BQ60" s="0" t="s">
        <v>1561</v>
      </c>
      <c r="BU60" s="0" t="s">
        <v>2153</v>
      </c>
      <c r="BW60" s="0" t="n">
        <v>0</v>
      </c>
    </row>
    <row r="61" customFormat="false" ht="13.8" hidden="false" customHeight="false" outlineLevel="0" collapsed="false">
      <c r="A61" s="267" t="n">
        <v>45636</v>
      </c>
      <c r="B61" s="267" t="n">
        <v>45636</v>
      </c>
      <c r="C61" s="0" t="n">
        <v>2.29715200000019E+018</v>
      </c>
      <c r="D61" s="0" t="s">
        <v>2169</v>
      </c>
      <c r="E61" s="0" t="n">
        <v>0</v>
      </c>
      <c r="F61" s="0" t="n">
        <v>0</v>
      </c>
      <c r="G61" s="0" t="s">
        <v>1538</v>
      </c>
      <c r="H61" s="0" t="n">
        <v>3</v>
      </c>
      <c r="J61" s="0" t="s">
        <v>1526</v>
      </c>
      <c r="K61" s="0" t="n">
        <v>1</v>
      </c>
      <c r="L61" s="0" t="n">
        <v>3540</v>
      </c>
      <c r="M61" s="0" t="n">
        <v>3540</v>
      </c>
      <c r="N61" s="0" t="n">
        <v>0</v>
      </c>
      <c r="R61" s="0" t="n">
        <v>0</v>
      </c>
      <c r="S61" s="0" t="s">
        <v>1399</v>
      </c>
      <c r="Y61" s="0" t="s">
        <v>2140</v>
      </c>
      <c r="Z61" s="0" t="s">
        <v>2136</v>
      </c>
      <c r="AC61" s="0" t="s">
        <v>2094</v>
      </c>
      <c r="AE61" s="0" t="s">
        <v>2094</v>
      </c>
      <c r="AF61" s="0" t="n">
        <v>1</v>
      </c>
      <c r="AH61" s="0" t="n">
        <v>0</v>
      </c>
      <c r="AI61" s="0" t="n">
        <v>3540</v>
      </c>
      <c r="AL61" s="0" t="s">
        <v>1959</v>
      </c>
      <c r="AM61" s="0" t="s">
        <v>1632</v>
      </c>
      <c r="AN61" s="0" t="s">
        <v>1595</v>
      </c>
      <c r="AO61" s="0" t="s">
        <v>2171</v>
      </c>
      <c r="AP61" s="0" t="s">
        <v>1527</v>
      </c>
      <c r="AS61" s="0" t="n">
        <v>0</v>
      </c>
      <c r="AV61" s="0" t="n">
        <v>0</v>
      </c>
      <c r="AZ61" s="0" t="n">
        <v>3540</v>
      </c>
      <c r="BA61" s="0" t="s">
        <v>1531</v>
      </c>
      <c r="BC61" s="0" t="n">
        <v>0</v>
      </c>
      <c r="BD61" s="0" t="n">
        <v>0</v>
      </c>
      <c r="BM61" s="0" t="n">
        <v>0</v>
      </c>
      <c r="BQ61" s="0" t="s">
        <v>1561</v>
      </c>
      <c r="BU61" s="0" t="s">
        <v>2153</v>
      </c>
      <c r="BW61" s="0" t="n">
        <v>0</v>
      </c>
    </row>
    <row r="62" customFormat="false" ht="13.8" hidden="false" customHeight="false" outlineLevel="0" collapsed="false">
      <c r="A62" s="267" t="n">
        <v>45649</v>
      </c>
      <c r="B62" s="267" t="n">
        <v>45649</v>
      </c>
      <c r="C62" s="0" t="n">
        <v>2.29715200000019E+018</v>
      </c>
      <c r="D62" s="0" t="s">
        <v>2169</v>
      </c>
      <c r="E62" s="0" t="n">
        <v>0</v>
      </c>
      <c r="F62" s="0" t="n">
        <v>0</v>
      </c>
      <c r="G62" s="0" t="s">
        <v>1538</v>
      </c>
      <c r="H62" s="0" t="n">
        <v>4</v>
      </c>
      <c r="J62" s="0" t="s">
        <v>1526</v>
      </c>
      <c r="K62" s="0" t="n">
        <v>1</v>
      </c>
      <c r="L62" s="0" t="n">
        <v>3540</v>
      </c>
      <c r="M62" s="0" t="n">
        <v>3540</v>
      </c>
      <c r="N62" s="0" t="n">
        <v>0</v>
      </c>
      <c r="R62" s="0" t="n">
        <v>0</v>
      </c>
      <c r="S62" s="0" t="s">
        <v>1399</v>
      </c>
      <c r="Y62" s="0" t="s">
        <v>2140</v>
      </c>
      <c r="Z62" s="0" t="s">
        <v>2136</v>
      </c>
      <c r="AC62" s="0" t="s">
        <v>2094</v>
      </c>
      <c r="AE62" s="0" t="s">
        <v>2094</v>
      </c>
      <c r="AF62" s="0" t="n">
        <v>1</v>
      </c>
      <c r="AH62" s="0" t="n">
        <v>0</v>
      </c>
      <c r="AI62" s="0" t="n">
        <v>3540</v>
      </c>
      <c r="AL62" s="0" t="s">
        <v>1959</v>
      </c>
      <c r="AM62" s="0" t="s">
        <v>1632</v>
      </c>
      <c r="AN62" s="0" t="s">
        <v>1595</v>
      </c>
      <c r="AO62" s="0" t="s">
        <v>2171</v>
      </c>
      <c r="AP62" s="0" t="s">
        <v>1527</v>
      </c>
      <c r="AS62" s="0" t="n">
        <v>0</v>
      </c>
      <c r="AV62" s="0" t="n">
        <v>0</v>
      </c>
      <c r="AZ62" s="0" t="n">
        <v>3540</v>
      </c>
      <c r="BA62" s="0" t="s">
        <v>1531</v>
      </c>
      <c r="BC62" s="0" t="n">
        <v>0</v>
      </c>
      <c r="BD62" s="0" t="n">
        <v>0</v>
      </c>
      <c r="BM62" s="0" t="n">
        <v>0</v>
      </c>
      <c r="BQ62" s="0" t="s">
        <v>1561</v>
      </c>
      <c r="BU62" s="0" t="s">
        <v>2153</v>
      </c>
      <c r="BW62" s="0" t="n">
        <v>0</v>
      </c>
    </row>
    <row r="63" customFormat="false" ht="13.8" hidden="false" customHeight="false" outlineLevel="0" collapsed="false">
      <c r="A63" s="267" t="n">
        <v>45656</v>
      </c>
      <c r="B63" s="267" t="n">
        <v>45656</v>
      </c>
      <c r="C63" s="0" t="n">
        <v>2.29715200000019E+018</v>
      </c>
      <c r="D63" s="0" t="s">
        <v>2205</v>
      </c>
      <c r="E63" s="0" t="n">
        <v>0</v>
      </c>
      <c r="F63" s="0" t="n">
        <v>0</v>
      </c>
      <c r="G63" s="0" t="s">
        <v>1538</v>
      </c>
      <c r="H63" s="0" t="n">
        <v>2</v>
      </c>
      <c r="J63" s="0" t="s">
        <v>1526</v>
      </c>
      <c r="K63" s="0" t="n">
        <v>1</v>
      </c>
      <c r="L63" s="0" t="n">
        <v>1787.65</v>
      </c>
      <c r="M63" s="0" t="n">
        <v>1787.65</v>
      </c>
      <c r="N63" s="0" t="n">
        <v>0</v>
      </c>
      <c r="R63" s="0" t="n">
        <v>0</v>
      </c>
      <c r="S63" s="0" t="s">
        <v>1399</v>
      </c>
      <c r="Y63" s="0" t="s">
        <v>2140</v>
      </c>
      <c r="Z63" s="0" t="s">
        <v>2136</v>
      </c>
      <c r="AC63" s="0" t="s">
        <v>2094</v>
      </c>
      <c r="AE63" s="0" t="s">
        <v>2094</v>
      </c>
      <c r="AF63" s="0" t="n">
        <v>1</v>
      </c>
      <c r="AH63" s="0" t="n">
        <v>0</v>
      </c>
      <c r="AI63" s="0" t="n">
        <v>1787.65</v>
      </c>
      <c r="AM63" s="0" t="s">
        <v>1632</v>
      </c>
      <c r="AN63" s="0" t="s">
        <v>2163</v>
      </c>
      <c r="AP63" s="0" t="s">
        <v>1527</v>
      </c>
      <c r="AS63" s="0" t="n">
        <v>0</v>
      </c>
      <c r="AV63" s="0" t="n">
        <v>0</v>
      </c>
      <c r="AZ63" s="0" t="n">
        <v>1787.65</v>
      </c>
      <c r="BA63" s="0" t="s">
        <v>1531</v>
      </c>
      <c r="BC63" s="0" t="n">
        <v>0</v>
      </c>
      <c r="BD63" s="0" t="n">
        <v>0</v>
      </c>
      <c r="BM63" s="0" t="n">
        <v>0</v>
      </c>
      <c r="BQ63" s="0" t="s">
        <v>1561</v>
      </c>
      <c r="BU63" s="0" t="s">
        <v>2153</v>
      </c>
      <c r="BW63" s="0" t="n">
        <v>0</v>
      </c>
    </row>
    <row r="64" customFormat="false" ht="13.8" hidden="false" customHeight="false" outlineLevel="0" collapsed="false">
      <c r="A64" s="267" t="n">
        <v>45658</v>
      </c>
      <c r="B64" s="267" t="n">
        <v>45658</v>
      </c>
      <c r="C64" s="0" t="n">
        <v>2.29715200000019E+018</v>
      </c>
      <c r="D64" s="0" t="s">
        <v>2096</v>
      </c>
      <c r="E64" s="0" t="n">
        <v>0</v>
      </c>
      <c r="F64" s="0" t="n">
        <v>0</v>
      </c>
      <c r="G64" s="0" t="s">
        <v>1538</v>
      </c>
      <c r="H64" s="0" t="n">
        <v>1</v>
      </c>
      <c r="J64" s="0" t="s">
        <v>1526</v>
      </c>
      <c r="K64" s="0" t="n">
        <v>1</v>
      </c>
      <c r="L64" s="0" t="n">
        <v>12950.15</v>
      </c>
      <c r="M64" s="0" t="n">
        <v>12950.15</v>
      </c>
      <c r="N64" s="0" t="n">
        <v>0</v>
      </c>
      <c r="R64" s="0" t="n">
        <v>0</v>
      </c>
      <c r="S64" s="0" t="s">
        <v>1399</v>
      </c>
      <c r="Y64" s="0" t="s">
        <v>2140</v>
      </c>
      <c r="Z64" s="0" t="s">
        <v>2136</v>
      </c>
      <c r="AC64" s="0" t="s">
        <v>2094</v>
      </c>
      <c r="AF64" s="0" t="n">
        <v>1</v>
      </c>
      <c r="AH64" s="0" t="n">
        <v>0</v>
      </c>
      <c r="AI64" s="0" t="n">
        <v>12950.15</v>
      </c>
      <c r="AL64" s="0" t="s">
        <v>1632</v>
      </c>
      <c r="AM64" s="0" t="s">
        <v>1632</v>
      </c>
      <c r="AN64" s="0" t="s">
        <v>1524</v>
      </c>
      <c r="AP64" s="0" t="s">
        <v>1527</v>
      </c>
      <c r="AS64" s="0" t="n">
        <v>0</v>
      </c>
      <c r="AV64" s="0" t="n">
        <v>0</v>
      </c>
      <c r="AZ64" s="0" t="n">
        <v>12950.15</v>
      </c>
      <c r="BA64" s="0" t="s">
        <v>1531</v>
      </c>
      <c r="BC64" s="0" t="n">
        <v>0</v>
      </c>
      <c r="BD64" s="0" t="n">
        <v>0</v>
      </c>
      <c r="BM64" s="0" t="n">
        <v>0</v>
      </c>
      <c r="BQ64" s="0" t="s">
        <v>1561</v>
      </c>
      <c r="BV64" s="0" t="s">
        <v>2138</v>
      </c>
      <c r="BW64" s="0" t="n">
        <v>0</v>
      </c>
    </row>
    <row r="65" customFormat="false" ht="13.8" hidden="false" customHeight="false" outlineLevel="0" collapsed="false">
      <c r="A65" s="267" t="n">
        <v>45670</v>
      </c>
      <c r="B65" s="267" t="n">
        <v>45670</v>
      </c>
      <c r="C65" s="0" t="n">
        <v>2.29715200000019E+018</v>
      </c>
      <c r="D65" s="0" t="s">
        <v>2169</v>
      </c>
      <c r="E65" s="0" t="n">
        <v>0</v>
      </c>
      <c r="F65" s="0" t="n">
        <v>0</v>
      </c>
      <c r="G65" s="0" t="s">
        <v>1538</v>
      </c>
      <c r="H65" s="0" t="n">
        <v>5</v>
      </c>
      <c r="J65" s="0" t="s">
        <v>1526</v>
      </c>
      <c r="K65" s="0" t="n">
        <v>1</v>
      </c>
      <c r="L65" s="0" t="n">
        <v>11800</v>
      </c>
      <c r="M65" s="0" t="n">
        <v>11800</v>
      </c>
      <c r="N65" s="0" t="n">
        <v>0</v>
      </c>
      <c r="R65" s="0" t="n">
        <v>0</v>
      </c>
      <c r="S65" s="0" t="s">
        <v>1399</v>
      </c>
      <c r="Y65" s="0" t="s">
        <v>2140</v>
      </c>
      <c r="Z65" s="0" t="s">
        <v>2136</v>
      </c>
      <c r="AC65" s="0" t="s">
        <v>2094</v>
      </c>
      <c r="AE65" s="0" t="s">
        <v>2094</v>
      </c>
      <c r="AF65" s="0" t="n">
        <v>1</v>
      </c>
      <c r="AH65" s="0" t="n">
        <v>0</v>
      </c>
      <c r="AI65" s="0" t="n">
        <v>11800</v>
      </c>
      <c r="AL65" s="0" t="s">
        <v>1959</v>
      </c>
      <c r="AM65" s="0" t="s">
        <v>1632</v>
      </c>
      <c r="AN65" s="0" t="s">
        <v>1595</v>
      </c>
      <c r="AO65" s="0" t="s">
        <v>2171</v>
      </c>
      <c r="AP65" s="0" t="s">
        <v>1527</v>
      </c>
      <c r="AS65" s="0" t="n">
        <v>0</v>
      </c>
      <c r="AV65" s="0" t="n">
        <v>0</v>
      </c>
      <c r="AZ65" s="0" t="n">
        <v>11800</v>
      </c>
      <c r="BA65" s="0" t="s">
        <v>1531</v>
      </c>
      <c r="BC65" s="0" t="n">
        <v>0</v>
      </c>
      <c r="BD65" s="0" t="n">
        <v>0</v>
      </c>
      <c r="BM65" s="0" t="n">
        <v>0</v>
      </c>
      <c r="BQ65" s="0" t="s">
        <v>1561</v>
      </c>
      <c r="BU65" s="0" t="s">
        <v>2153</v>
      </c>
      <c r="BW65" s="0" t="n">
        <v>0</v>
      </c>
    </row>
    <row r="66" customFormat="false" ht="13.8" hidden="false" customHeight="false" outlineLevel="0" collapsed="false">
      <c r="A66" s="267" t="n">
        <v>45672</v>
      </c>
      <c r="B66" s="267" t="n">
        <v>45672</v>
      </c>
      <c r="C66" s="0" t="n">
        <v>2.29715200000019E+018</v>
      </c>
      <c r="D66" s="0" t="s">
        <v>2202</v>
      </c>
      <c r="E66" s="0" t="n">
        <v>0</v>
      </c>
      <c r="F66" s="0" t="n">
        <v>0</v>
      </c>
      <c r="G66" s="0" t="s">
        <v>1538</v>
      </c>
      <c r="H66" s="0" t="s">
        <v>2209</v>
      </c>
      <c r="J66" s="0" t="s">
        <v>1526</v>
      </c>
      <c r="K66" s="0" t="n">
        <v>1</v>
      </c>
      <c r="L66" s="0" t="n">
        <v>53296.23</v>
      </c>
      <c r="M66" s="0" t="n">
        <v>53296.23</v>
      </c>
      <c r="N66" s="0" t="n">
        <v>0</v>
      </c>
      <c r="R66" s="0" t="n">
        <v>0</v>
      </c>
      <c r="S66" s="0" t="s">
        <v>1399</v>
      </c>
      <c r="Y66" s="0" t="s">
        <v>2140</v>
      </c>
      <c r="Z66" s="0" t="s">
        <v>2136</v>
      </c>
      <c r="AC66" s="0" t="s">
        <v>2094</v>
      </c>
      <c r="AE66" s="0" t="s">
        <v>2094</v>
      </c>
      <c r="AF66" s="0" t="n">
        <v>1</v>
      </c>
      <c r="AH66" s="0" t="n">
        <v>0</v>
      </c>
      <c r="AI66" s="0" t="n">
        <v>53296.23</v>
      </c>
      <c r="AM66" s="0" t="s">
        <v>1632</v>
      </c>
      <c r="AN66" s="0" t="s">
        <v>2163</v>
      </c>
      <c r="AP66" s="0" t="s">
        <v>1527</v>
      </c>
      <c r="AS66" s="0" t="n">
        <v>0</v>
      </c>
      <c r="AV66" s="0" t="n">
        <v>0</v>
      </c>
      <c r="AZ66" s="0" t="n">
        <v>53296.23</v>
      </c>
      <c r="BA66" s="0" t="s">
        <v>1531</v>
      </c>
      <c r="BC66" s="0" t="n">
        <v>0</v>
      </c>
      <c r="BD66" s="0" t="n">
        <v>0</v>
      </c>
      <c r="BM66" s="0" t="n">
        <v>0</v>
      </c>
      <c r="BQ66" s="0" t="s">
        <v>1561</v>
      </c>
      <c r="BV66" s="0" t="s">
        <v>2138</v>
      </c>
      <c r="BW66" s="0" t="n">
        <v>0</v>
      </c>
    </row>
    <row r="67" customFormat="false" ht="13.8" hidden="false" customHeight="false" outlineLevel="0" collapsed="false">
      <c r="A67" s="267" t="n">
        <v>45678</v>
      </c>
      <c r="B67" s="267" t="n">
        <v>45678</v>
      </c>
      <c r="C67" s="0" t="n">
        <v>2.29715200000019E+018</v>
      </c>
      <c r="D67" s="0" t="s">
        <v>2202</v>
      </c>
      <c r="E67" s="0" t="n">
        <v>0</v>
      </c>
      <c r="F67" s="0" t="n">
        <v>0</v>
      </c>
      <c r="G67" s="0" t="s">
        <v>1538</v>
      </c>
      <c r="H67" s="0" t="s">
        <v>2210</v>
      </c>
      <c r="J67" s="0" t="s">
        <v>1526</v>
      </c>
      <c r="K67" s="0" t="n">
        <v>1</v>
      </c>
      <c r="L67" s="0" t="n">
        <v>53204.85</v>
      </c>
      <c r="M67" s="0" t="n">
        <v>53204.85</v>
      </c>
      <c r="N67" s="0" t="n">
        <v>0</v>
      </c>
      <c r="R67" s="0" t="n">
        <v>0</v>
      </c>
      <c r="S67" s="0" t="s">
        <v>1399</v>
      </c>
      <c r="Y67" s="0" t="s">
        <v>2140</v>
      </c>
      <c r="Z67" s="0" t="s">
        <v>2136</v>
      </c>
      <c r="AC67" s="0" t="s">
        <v>2094</v>
      </c>
      <c r="AE67" s="0" t="s">
        <v>2094</v>
      </c>
      <c r="AF67" s="0" t="n">
        <v>1</v>
      </c>
      <c r="AH67" s="0" t="n">
        <v>0</v>
      </c>
      <c r="AI67" s="0" t="n">
        <v>53204.85</v>
      </c>
      <c r="AM67" s="0" t="s">
        <v>1632</v>
      </c>
      <c r="AN67" s="0" t="s">
        <v>2163</v>
      </c>
      <c r="AP67" s="0" t="s">
        <v>1527</v>
      </c>
      <c r="AS67" s="0" t="n">
        <v>0</v>
      </c>
      <c r="AV67" s="0" t="n">
        <v>0</v>
      </c>
      <c r="AZ67" s="0" t="n">
        <v>53204.85</v>
      </c>
      <c r="BA67" s="0" t="s">
        <v>1531</v>
      </c>
      <c r="BC67" s="0" t="n">
        <v>0</v>
      </c>
      <c r="BD67" s="0" t="n">
        <v>0</v>
      </c>
      <c r="BM67" s="0" t="n">
        <v>0</v>
      </c>
      <c r="BQ67" s="0" t="s">
        <v>1561</v>
      </c>
      <c r="BV67" s="0" t="s">
        <v>2138</v>
      </c>
      <c r="BW67" s="0" t="n">
        <v>0</v>
      </c>
    </row>
    <row r="68" customFormat="false" ht="13.8" hidden="false" customHeight="false" outlineLevel="0" collapsed="false">
      <c r="A68" s="267" t="n">
        <v>45685</v>
      </c>
      <c r="B68" s="267" t="n">
        <v>45685</v>
      </c>
      <c r="C68" s="0" t="n">
        <v>2.29715200000019E+018</v>
      </c>
      <c r="D68" s="0" t="s">
        <v>2202</v>
      </c>
      <c r="E68" s="0" t="n">
        <v>0</v>
      </c>
      <c r="F68" s="0" t="n">
        <v>0</v>
      </c>
      <c r="G68" s="0" t="s">
        <v>1538</v>
      </c>
      <c r="H68" s="0" t="s">
        <v>2211</v>
      </c>
      <c r="J68" s="0" t="s">
        <v>1526</v>
      </c>
      <c r="K68" s="0" t="n">
        <v>1</v>
      </c>
      <c r="L68" s="0" t="n">
        <v>26561.94</v>
      </c>
      <c r="M68" s="0" t="n">
        <v>26561.94</v>
      </c>
      <c r="N68" s="0" t="n">
        <v>0</v>
      </c>
      <c r="R68" s="0" t="n">
        <v>0</v>
      </c>
      <c r="S68" s="0" t="s">
        <v>1399</v>
      </c>
      <c r="Y68" s="0" t="s">
        <v>2140</v>
      </c>
      <c r="Z68" s="0" t="s">
        <v>2136</v>
      </c>
      <c r="AC68" s="0" t="s">
        <v>2094</v>
      </c>
      <c r="AE68" s="0" t="s">
        <v>2094</v>
      </c>
      <c r="AF68" s="0" t="n">
        <v>1</v>
      </c>
      <c r="AH68" s="0" t="n">
        <v>0</v>
      </c>
      <c r="AI68" s="0" t="n">
        <v>26561.94</v>
      </c>
      <c r="AM68" s="0" t="s">
        <v>1632</v>
      </c>
      <c r="AN68" s="0" t="s">
        <v>2163</v>
      </c>
      <c r="AP68" s="0" t="s">
        <v>1527</v>
      </c>
      <c r="AS68" s="0" t="n">
        <v>0</v>
      </c>
      <c r="AV68" s="0" t="n">
        <v>0</v>
      </c>
      <c r="AZ68" s="0" t="n">
        <v>26561.94</v>
      </c>
      <c r="BA68" s="0" t="s">
        <v>1531</v>
      </c>
      <c r="BC68" s="0" t="n">
        <v>0</v>
      </c>
      <c r="BD68" s="0" t="n">
        <v>0</v>
      </c>
      <c r="BM68" s="0" t="n">
        <v>0</v>
      </c>
      <c r="BQ68" s="0" t="s">
        <v>1561</v>
      </c>
      <c r="BV68" s="0" t="s">
        <v>2138</v>
      </c>
      <c r="BW68" s="0" t="n">
        <v>0</v>
      </c>
    </row>
    <row r="69" customFormat="false" ht="13.8" hidden="false" customHeight="false" outlineLevel="0" collapsed="false">
      <c r="A69" s="267" t="n">
        <v>45687</v>
      </c>
      <c r="B69" s="267" t="n">
        <v>45687</v>
      </c>
      <c r="C69" s="0" t="n">
        <v>2.29715200000019E+018</v>
      </c>
      <c r="D69" s="0" t="s">
        <v>2205</v>
      </c>
      <c r="E69" s="0" t="n">
        <v>0</v>
      </c>
      <c r="F69" s="0" t="n">
        <v>0</v>
      </c>
      <c r="G69" s="0" t="s">
        <v>1538</v>
      </c>
      <c r="H69" s="0" t="n">
        <v>3</v>
      </c>
      <c r="J69" s="0" t="s">
        <v>1526</v>
      </c>
      <c r="K69" s="0" t="n">
        <v>1</v>
      </c>
      <c r="L69" s="0" t="n">
        <v>1804.89</v>
      </c>
      <c r="M69" s="0" t="n">
        <v>1804.89</v>
      </c>
      <c r="N69" s="0" t="n">
        <v>0</v>
      </c>
      <c r="R69" s="0" t="n">
        <v>0</v>
      </c>
      <c r="S69" s="0" t="s">
        <v>1399</v>
      </c>
      <c r="Y69" s="0" t="s">
        <v>2140</v>
      </c>
      <c r="Z69" s="0" t="s">
        <v>2136</v>
      </c>
      <c r="AC69" s="0" t="s">
        <v>2094</v>
      </c>
      <c r="AE69" s="0" t="s">
        <v>2094</v>
      </c>
      <c r="AF69" s="0" t="n">
        <v>1</v>
      </c>
      <c r="AH69" s="0" t="n">
        <v>0</v>
      </c>
      <c r="AI69" s="0" t="n">
        <v>1804.89</v>
      </c>
      <c r="AM69" s="0" t="s">
        <v>1632</v>
      </c>
      <c r="AN69" s="0" t="s">
        <v>2163</v>
      </c>
      <c r="AP69" s="0" t="s">
        <v>1527</v>
      </c>
      <c r="AS69" s="0" t="n">
        <v>0</v>
      </c>
      <c r="AV69" s="0" t="n">
        <v>0</v>
      </c>
      <c r="AZ69" s="0" t="n">
        <v>1804.89</v>
      </c>
      <c r="BA69" s="0" t="s">
        <v>1531</v>
      </c>
      <c r="BC69" s="0" t="n">
        <v>0</v>
      </c>
      <c r="BD69" s="0" t="n">
        <v>0</v>
      </c>
      <c r="BM69" s="0" t="n">
        <v>0</v>
      </c>
      <c r="BQ69" s="0" t="s">
        <v>1561</v>
      </c>
      <c r="BV69" s="0" t="s">
        <v>2138</v>
      </c>
      <c r="BW69" s="0" t="n">
        <v>0</v>
      </c>
    </row>
    <row r="70" customFormat="false" ht="13.8" hidden="false" customHeight="false" outlineLevel="0" collapsed="false">
      <c r="A70" s="267" t="n">
        <v>45691</v>
      </c>
      <c r="B70" s="267" t="n">
        <v>45691</v>
      </c>
      <c r="C70" s="0" t="n">
        <v>2.29715200000019E+018</v>
      </c>
      <c r="D70" s="0" t="s">
        <v>2202</v>
      </c>
      <c r="E70" s="0" t="n">
        <v>0</v>
      </c>
      <c r="F70" s="0" t="n">
        <v>0</v>
      </c>
      <c r="G70" s="0" t="s">
        <v>1538</v>
      </c>
      <c r="H70" s="0" t="s">
        <v>2212</v>
      </c>
      <c r="J70" s="0" t="s">
        <v>1526</v>
      </c>
      <c r="K70" s="0" t="n">
        <v>1</v>
      </c>
      <c r="L70" s="0" t="n">
        <v>26820.06</v>
      </c>
      <c r="M70" s="0" t="n">
        <v>26820.06</v>
      </c>
      <c r="N70" s="0" t="n">
        <v>0</v>
      </c>
      <c r="R70" s="0" t="n">
        <v>0</v>
      </c>
      <c r="S70" s="0" t="s">
        <v>1399</v>
      </c>
      <c r="Y70" s="0" t="s">
        <v>2140</v>
      </c>
      <c r="Z70" s="0" t="s">
        <v>2136</v>
      </c>
      <c r="AC70" s="0" t="s">
        <v>2094</v>
      </c>
      <c r="AE70" s="0" t="s">
        <v>2094</v>
      </c>
      <c r="AF70" s="0" t="n">
        <v>1</v>
      </c>
      <c r="AH70" s="0" t="n">
        <v>0</v>
      </c>
      <c r="AI70" s="0" t="n">
        <v>26820.06</v>
      </c>
      <c r="AM70" s="0" t="s">
        <v>1632</v>
      </c>
      <c r="AN70" s="0" t="s">
        <v>2163</v>
      </c>
      <c r="AP70" s="0" t="s">
        <v>1527</v>
      </c>
      <c r="AS70" s="0" t="n">
        <v>0</v>
      </c>
      <c r="AV70" s="0" t="n">
        <v>0</v>
      </c>
      <c r="AZ70" s="0" t="n">
        <v>26820.06</v>
      </c>
      <c r="BA70" s="0" t="s">
        <v>1531</v>
      </c>
      <c r="BC70" s="0" t="n">
        <v>0</v>
      </c>
      <c r="BD70" s="0" t="n">
        <v>0</v>
      </c>
      <c r="BM70" s="0" t="n">
        <v>0</v>
      </c>
      <c r="BQ70" s="0" t="s">
        <v>1561</v>
      </c>
      <c r="BV70" s="0" t="s">
        <v>2138</v>
      </c>
      <c r="BW70" s="0" t="n">
        <v>0</v>
      </c>
    </row>
    <row r="71" customFormat="false" ht="13.8" hidden="false" customHeight="false" outlineLevel="0" collapsed="false">
      <c r="A71" s="267" t="n">
        <v>45704</v>
      </c>
      <c r="B71" s="267" t="n">
        <v>45704</v>
      </c>
      <c r="C71" s="0" t="n">
        <v>2.29715200000019E+018</v>
      </c>
      <c r="D71" s="0" t="s">
        <v>2169</v>
      </c>
      <c r="E71" s="0" t="n">
        <v>0</v>
      </c>
      <c r="F71" s="0" t="n">
        <v>0</v>
      </c>
      <c r="G71" s="0" t="s">
        <v>1538</v>
      </c>
      <c r="H71" s="0" t="n">
        <v>6</v>
      </c>
      <c r="J71" s="0" t="s">
        <v>1526</v>
      </c>
      <c r="K71" s="0" t="n">
        <v>1</v>
      </c>
      <c r="L71" s="0" t="n">
        <v>11800</v>
      </c>
      <c r="M71" s="0" t="n">
        <v>11800</v>
      </c>
      <c r="N71" s="0" t="n">
        <v>0</v>
      </c>
      <c r="R71" s="0" t="n">
        <v>0</v>
      </c>
      <c r="S71" s="0" t="s">
        <v>1399</v>
      </c>
      <c r="Y71" s="0" t="s">
        <v>2140</v>
      </c>
      <c r="Z71" s="0" t="s">
        <v>2136</v>
      </c>
      <c r="AC71" s="0" t="s">
        <v>2094</v>
      </c>
      <c r="AE71" s="0" t="s">
        <v>2094</v>
      </c>
      <c r="AF71" s="0" t="n">
        <v>1</v>
      </c>
      <c r="AH71" s="0" t="n">
        <v>0</v>
      </c>
      <c r="AI71" s="0" t="n">
        <v>11800</v>
      </c>
      <c r="AL71" s="0" t="s">
        <v>1959</v>
      </c>
      <c r="AM71" s="0" t="s">
        <v>1632</v>
      </c>
      <c r="AN71" s="0" t="s">
        <v>1595</v>
      </c>
      <c r="AO71" s="0" t="s">
        <v>2171</v>
      </c>
      <c r="AP71" s="0" t="s">
        <v>1527</v>
      </c>
      <c r="AS71" s="0" t="n">
        <v>0</v>
      </c>
      <c r="AV71" s="0" t="n">
        <v>0</v>
      </c>
      <c r="AZ71" s="0" t="n">
        <v>11800</v>
      </c>
      <c r="BA71" s="0" t="s">
        <v>1531</v>
      </c>
      <c r="BC71" s="0" t="n">
        <v>0</v>
      </c>
      <c r="BD71" s="0" t="n">
        <v>0</v>
      </c>
      <c r="BM71" s="0" t="n">
        <v>0</v>
      </c>
      <c r="BQ71" s="0" t="s">
        <v>1561</v>
      </c>
      <c r="BU71" s="0" t="s">
        <v>2153</v>
      </c>
      <c r="BW71" s="0" t="n">
        <v>0</v>
      </c>
    </row>
    <row r="72" customFormat="false" ht="13.8" hidden="false" customHeight="false" outlineLevel="0" collapsed="false">
      <c r="A72" s="267" t="n">
        <v>45717</v>
      </c>
      <c r="B72" s="267" t="n">
        <v>45717</v>
      </c>
      <c r="C72" s="0" t="n">
        <v>2.29715200000019E+018</v>
      </c>
      <c r="D72" s="0" t="s">
        <v>2205</v>
      </c>
      <c r="E72" s="0" t="n">
        <v>0</v>
      </c>
      <c r="F72" s="0" t="n">
        <v>0</v>
      </c>
      <c r="G72" s="0" t="s">
        <v>1538</v>
      </c>
      <c r="H72" s="0" t="n">
        <v>4</v>
      </c>
      <c r="J72" s="0" t="s">
        <v>1526</v>
      </c>
      <c r="K72" s="0" t="n">
        <v>1</v>
      </c>
      <c r="L72" s="0" t="n">
        <v>1824.06</v>
      </c>
      <c r="M72" s="0" t="n">
        <v>1824.06</v>
      </c>
      <c r="N72" s="0" t="n">
        <v>0</v>
      </c>
      <c r="R72" s="0" t="n">
        <v>0</v>
      </c>
      <c r="S72" s="0" t="s">
        <v>1399</v>
      </c>
      <c r="Y72" s="0" t="s">
        <v>2140</v>
      </c>
      <c r="Z72" s="0" t="s">
        <v>2136</v>
      </c>
      <c r="AC72" s="0" t="s">
        <v>2094</v>
      </c>
      <c r="AE72" s="0" t="s">
        <v>2094</v>
      </c>
      <c r="AF72" s="0" t="n">
        <v>1</v>
      </c>
      <c r="AH72" s="0" t="n">
        <v>0</v>
      </c>
      <c r="AI72" s="0" t="n">
        <v>1824.06</v>
      </c>
      <c r="AM72" s="0" t="s">
        <v>1632</v>
      </c>
      <c r="AN72" s="0" t="s">
        <v>2163</v>
      </c>
      <c r="AP72" s="0" t="s">
        <v>1527</v>
      </c>
      <c r="AS72" s="0" t="n">
        <v>0</v>
      </c>
      <c r="AV72" s="0" t="n">
        <v>0</v>
      </c>
      <c r="AZ72" s="0" t="n">
        <v>1824.06</v>
      </c>
      <c r="BA72" s="0" t="s">
        <v>1531</v>
      </c>
      <c r="BC72" s="0" t="n">
        <v>0</v>
      </c>
      <c r="BD72" s="0" t="n">
        <v>0</v>
      </c>
      <c r="BM72" s="0" t="n">
        <v>0</v>
      </c>
      <c r="BQ72" s="0" t="s">
        <v>1561</v>
      </c>
      <c r="BV72" s="0" t="s">
        <v>2138</v>
      </c>
      <c r="BW72" s="0" t="n">
        <v>0</v>
      </c>
    </row>
    <row r="73" customFormat="false" ht="13.8" hidden="false" customHeight="false" outlineLevel="0" collapsed="false">
      <c r="A73" s="267" t="n">
        <v>45719</v>
      </c>
      <c r="B73" s="267" t="n">
        <v>45719</v>
      </c>
      <c r="C73" s="0" t="n">
        <v>2.29715200000019E+018</v>
      </c>
      <c r="D73" s="0" t="s">
        <v>2206</v>
      </c>
      <c r="E73" s="0" t="n">
        <v>0</v>
      </c>
      <c r="F73" s="0" t="n">
        <v>0</v>
      </c>
      <c r="G73" s="0" t="s">
        <v>1538</v>
      </c>
      <c r="H73" s="0" t="s">
        <v>2213</v>
      </c>
      <c r="J73" s="0" t="s">
        <v>1526</v>
      </c>
      <c r="K73" s="0" t="n">
        <v>1</v>
      </c>
      <c r="L73" s="0" t="n">
        <v>20326.68</v>
      </c>
      <c r="M73" s="0" t="n">
        <v>20326.68</v>
      </c>
      <c r="N73" s="0" t="n">
        <v>0</v>
      </c>
      <c r="R73" s="0" t="n">
        <v>0</v>
      </c>
      <c r="S73" s="0" t="s">
        <v>1399</v>
      </c>
      <c r="Y73" s="0" t="s">
        <v>2140</v>
      </c>
      <c r="Z73" s="0" t="s">
        <v>2136</v>
      </c>
      <c r="AC73" s="0" t="s">
        <v>2094</v>
      </c>
      <c r="AE73" s="0" t="s">
        <v>2207</v>
      </c>
      <c r="AF73" s="0" t="n">
        <v>1</v>
      </c>
      <c r="AH73" s="0" t="n">
        <v>0</v>
      </c>
      <c r="AI73" s="0" t="n">
        <v>20326.68</v>
      </c>
      <c r="AL73" s="0" t="s">
        <v>1959</v>
      </c>
      <c r="AM73" s="0" t="s">
        <v>1632</v>
      </c>
      <c r="AN73" s="0" t="s">
        <v>1595</v>
      </c>
      <c r="AO73" s="0" t="s">
        <v>2208</v>
      </c>
      <c r="AP73" s="0" t="s">
        <v>1527</v>
      </c>
      <c r="AS73" s="0" t="n">
        <v>0</v>
      </c>
      <c r="AV73" s="0" t="n">
        <v>0</v>
      </c>
      <c r="AZ73" s="0" t="n">
        <v>20326.68</v>
      </c>
      <c r="BA73" s="0" t="s">
        <v>1531</v>
      </c>
      <c r="BC73" s="0" t="n">
        <v>0</v>
      </c>
      <c r="BD73" s="0" t="n">
        <v>0</v>
      </c>
      <c r="BM73" s="0" t="n">
        <v>0</v>
      </c>
      <c r="BQ73" s="0" t="s">
        <v>1561</v>
      </c>
      <c r="BU73" s="0" t="s">
        <v>2153</v>
      </c>
      <c r="BW73" s="0" t="n">
        <v>0</v>
      </c>
    </row>
    <row r="74" customFormat="false" ht="13.8" hidden="false" customHeight="false" outlineLevel="0" collapsed="false">
      <c r="A74" s="267" t="n">
        <v>45746</v>
      </c>
      <c r="B74" s="267" t="n">
        <v>45746</v>
      </c>
      <c r="C74" s="0" t="n">
        <v>2.29715200000019E+018</v>
      </c>
      <c r="D74" s="0" t="s">
        <v>2205</v>
      </c>
      <c r="E74" s="0" t="n">
        <v>0</v>
      </c>
      <c r="F74" s="0" t="n">
        <v>0</v>
      </c>
      <c r="G74" s="0" t="s">
        <v>1538</v>
      </c>
      <c r="H74" s="0" t="n">
        <v>5</v>
      </c>
      <c r="J74" s="0" t="s">
        <v>1526</v>
      </c>
      <c r="K74" s="0" t="n">
        <v>1</v>
      </c>
      <c r="L74" s="0" t="n">
        <v>1786.19</v>
      </c>
      <c r="M74" s="0" t="n">
        <v>1786.19</v>
      </c>
      <c r="N74" s="0" t="n">
        <v>0</v>
      </c>
      <c r="R74" s="0" t="n">
        <v>0</v>
      </c>
      <c r="S74" s="0" t="s">
        <v>1399</v>
      </c>
      <c r="Y74" s="0" t="s">
        <v>2140</v>
      </c>
      <c r="Z74" s="0" t="s">
        <v>2136</v>
      </c>
      <c r="AC74" s="0" t="s">
        <v>2094</v>
      </c>
      <c r="AE74" s="0" t="s">
        <v>2094</v>
      </c>
      <c r="AF74" s="0" t="n">
        <v>1</v>
      </c>
      <c r="AH74" s="0" t="n">
        <v>0</v>
      </c>
      <c r="AI74" s="0" t="n">
        <v>1786.19</v>
      </c>
      <c r="AM74" s="0" t="s">
        <v>1632</v>
      </c>
      <c r="AN74" s="0" t="s">
        <v>2163</v>
      </c>
      <c r="AP74" s="0" t="s">
        <v>1527</v>
      </c>
      <c r="AS74" s="0" t="n">
        <v>0</v>
      </c>
      <c r="AV74" s="0" t="n">
        <v>0</v>
      </c>
      <c r="AZ74" s="0" t="n">
        <v>1786.19</v>
      </c>
      <c r="BA74" s="0" t="s">
        <v>1531</v>
      </c>
      <c r="BC74" s="0" t="n">
        <v>0</v>
      </c>
      <c r="BD74" s="0" t="n">
        <v>0</v>
      </c>
      <c r="BM74" s="0" t="n">
        <v>0</v>
      </c>
      <c r="BQ74" s="0" t="s">
        <v>1561</v>
      </c>
      <c r="BV74" s="0" t="s">
        <v>2138</v>
      </c>
      <c r="BW74" s="0" t="n">
        <v>0</v>
      </c>
    </row>
    <row r="75" customFormat="false" ht="13.8" hidden="false" customHeight="false" outlineLevel="0" collapsed="false">
      <c r="A75" s="267" t="n">
        <v>45598</v>
      </c>
      <c r="B75" s="267" t="n">
        <v>45598</v>
      </c>
      <c r="C75" s="0" t="n">
        <v>2.29715200000019E+018</v>
      </c>
      <c r="D75" s="0" t="s">
        <v>2169</v>
      </c>
      <c r="E75" s="0" t="n">
        <v>0</v>
      </c>
      <c r="F75" s="0" t="n">
        <v>0</v>
      </c>
      <c r="G75" s="0" t="s">
        <v>1538</v>
      </c>
      <c r="H75" s="0" t="n">
        <v>7</v>
      </c>
      <c r="J75" s="0" t="s">
        <v>1526</v>
      </c>
      <c r="K75" s="0" t="n">
        <v>1</v>
      </c>
      <c r="L75" s="0" t="n">
        <v>3540</v>
      </c>
      <c r="M75" s="0" t="n">
        <v>3540</v>
      </c>
      <c r="N75" s="0" t="n">
        <v>0</v>
      </c>
      <c r="R75" s="0" t="n">
        <v>0</v>
      </c>
      <c r="S75" s="0" t="s">
        <v>1399</v>
      </c>
      <c r="Y75" s="0" t="s">
        <v>2140</v>
      </c>
      <c r="Z75" s="0" t="s">
        <v>2136</v>
      </c>
      <c r="AC75" s="0" t="s">
        <v>2094</v>
      </c>
      <c r="AE75" s="0" t="s">
        <v>2094</v>
      </c>
      <c r="AF75" s="0" t="n">
        <v>1</v>
      </c>
      <c r="AH75" s="0" t="n">
        <v>0</v>
      </c>
      <c r="AI75" s="0" t="n">
        <v>3540</v>
      </c>
      <c r="AL75" s="0" t="s">
        <v>1959</v>
      </c>
      <c r="AM75" s="0" t="s">
        <v>1632</v>
      </c>
      <c r="AN75" s="0" t="s">
        <v>1595</v>
      </c>
      <c r="AO75" s="0" t="s">
        <v>2171</v>
      </c>
      <c r="AP75" s="0" t="s">
        <v>1527</v>
      </c>
      <c r="AS75" s="0" t="n">
        <v>0</v>
      </c>
      <c r="AV75" s="0" t="n">
        <v>0</v>
      </c>
      <c r="AZ75" s="0" t="n">
        <v>3540</v>
      </c>
      <c r="BA75" s="0" t="s">
        <v>1531</v>
      </c>
      <c r="BC75" s="0" t="n">
        <v>0</v>
      </c>
      <c r="BD75" s="0" t="n">
        <v>0</v>
      </c>
      <c r="BM75" s="0" t="n">
        <v>0</v>
      </c>
      <c r="BQ75" s="0" t="s">
        <v>1561</v>
      </c>
      <c r="BU75" s="0" t="s">
        <v>2153</v>
      </c>
      <c r="BW75" s="0" t="n">
        <v>0</v>
      </c>
    </row>
    <row r="76" customFormat="false" ht="13.8" hidden="false" customHeight="false" outlineLevel="0" collapsed="false">
      <c r="A76" s="267" t="n">
        <v>45584</v>
      </c>
      <c r="B76" s="267" t="n">
        <v>45584</v>
      </c>
      <c r="C76" s="0" t="n">
        <v>2.29715200000019E+018</v>
      </c>
      <c r="D76" s="0" t="s">
        <v>2169</v>
      </c>
      <c r="E76" s="0" t="n">
        <v>0</v>
      </c>
      <c r="F76" s="0" t="n">
        <v>0</v>
      </c>
      <c r="G76" s="0" t="s">
        <v>1538</v>
      </c>
      <c r="H76" s="0" t="n">
        <v>8</v>
      </c>
      <c r="J76" s="0" t="s">
        <v>1526</v>
      </c>
      <c r="K76" s="0" t="n">
        <v>1</v>
      </c>
      <c r="L76" s="0" t="n">
        <v>3540</v>
      </c>
      <c r="M76" s="0" t="n">
        <v>3540</v>
      </c>
      <c r="N76" s="0" t="n">
        <v>0</v>
      </c>
      <c r="R76" s="0" t="n">
        <v>0</v>
      </c>
      <c r="S76" s="0" t="s">
        <v>1399</v>
      </c>
      <c r="Y76" s="0" t="s">
        <v>2140</v>
      </c>
      <c r="Z76" s="0" t="s">
        <v>2136</v>
      </c>
      <c r="AC76" s="0" t="s">
        <v>2094</v>
      </c>
      <c r="AE76" s="0" t="s">
        <v>2094</v>
      </c>
      <c r="AF76" s="0" t="n">
        <v>1</v>
      </c>
      <c r="AH76" s="0" t="n">
        <v>0</v>
      </c>
      <c r="AI76" s="0" t="n">
        <v>3540</v>
      </c>
      <c r="AL76" s="0" t="s">
        <v>1959</v>
      </c>
      <c r="AM76" s="0" t="s">
        <v>1632</v>
      </c>
      <c r="AN76" s="0" t="s">
        <v>1595</v>
      </c>
      <c r="AO76" s="0" t="s">
        <v>2171</v>
      </c>
      <c r="AP76" s="0" t="s">
        <v>1527</v>
      </c>
      <c r="AS76" s="0" t="n">
        <v>0</v>
      </c>
      <c r="AV76" s="0" t="n">
        <v>0</v>
      </c>
      <c r="AZ76" s="0" t="n">
        <v>3540</v>
      </c>
      <c r="BA76" s="0" t="s">
        <v>1531</v>
      </c>
      <c r="BC76" s="0" t="n">
        <v>0</v>
      </c>
      <c r="BD76" s="0" t="n">
        <v>0</v>
      </c>
      <c r="BM76" s="0" t="n">
        <v>0</v>
      </c>
      <c r="BQ76" s="0" t="s">
        <v>1561</v>
      </c>
      <c r="BU76" s="0" t="s">
        <v>2153</v>
      </c>
      <c r="BW76" s="0" t="n">
        <v>0</v>
      </c>
    </row>
    <row r="77" customFormat="false" ht="13.8" hidden="false" customHeight="false" outlineLevel="0" collapsed="false">
      <c r="A77" s="267" t="n">
        <v>45671</v>
      </c>
      <c r="B77" s="267" t="n">
        <v>45671</v>
      </c>
      <c r="C77" s="0" t="n">
        <v>2.29715200000019E+018</v>
      </c>
      <c r="D77" s="0" t="s">
        <v>2214</v>
      </c>
      <c r="E77" s="0" t="n">
        <v>0</v>
      </c>
      <c r="F77" s="0" t="n">
        <v>0</v>
      </c>
      <c r="G77" s="0" t="s">
        <v>1538</v>
      </c>
      <c r="H77" s="0" t="n">
        <v>1</v>
      </c>
      <c r="J77" s="0" t="s">
        <v>1526</v>
      </c>
      <c r="K77" s="0" t="n">
        <v>1</v>
      </c>
      <c r="L77" s="0" t="n">
        <v>3422</v>
      </c>
      <c r="M77" s="0" t="n">
        <v>3422</v>
      </c>
      <c r="N77" s="0" t="n">
        <v>0</v>
      </c>
      <c r="R77" s="0" t="n">
        <v>0</v>
      </c>
      <c r="S77" s="0" t="s">
        <v>1399</v>
      </c>
      <c r="Y77" s="0" t="s">
        <v>2140</v>
      </c>
      <c r="Z77" s="0" t="s">
        <v>2136</v>
      </c>
      <c r="AC77" s="0" t="s">
        <v>2094</v>
      </c>
      <c r="AE77" s="0" t="s">
        <v>2201</v>
      </c>
      <c r="AF77" s="0" t="n">
        <v>1</v>
      </c>
      <c r="AH77" s="0" t="n">
        <v>0</v>
      </c>
      <c r="AI77" s="0" t="n">
        <v>3422</v>
      </c>
      <c r="AL77" s="0" t="s">
        <v>2215</v>
      </c>
      <c r="AM77" s="0" t="s">
        <v>1632</v>
      </c>
      <c r="AN77" s="0" t="s">
        <v>1524</v>
      </c>
      <c r="AP77" s="0" t="s">
        <v>1527</v>
      </c>
      <c r="AS77" s="0" t="n">
        <v>0</v>
      </c>
      <c r="AV77" s="0" t="n">
        <v>0</v>
      </c>
      <c r="AZ77" s="0" t="n">
        <v>3422</v>
      </c>
      <c r="BA77" s="0" t="s">
        <v>1531</v>
      </c>
      <c r="BC77" s="0" t="n">
        <v>0</v>
      </c>
      <c r="BD77" s="0" t="n">
        <v>0</v>
      </c>
      <c r="BM77" s="0" t="n">
        <v>0</v>
      </c>
      <c r="BQ77" s="0" t="s">
        <v>1561</v>
      </c>
      <c r="BV77" s="0" t="s">
        <v>2138</v>
      </c>
      <c r="BW77" s="0" t="n">
        <v>0</v>
      </c>
    </row>
    <row r="78" customFormat="false" ht="13.8" hidden="false" customHeight="false" outlineLevel="0" collapsed="false">
      <c r="A78" s="267" t="n">
        <v>45677</v>
      </c>
      <c r="B78" s="267" t="n">
        <v>45677</v>
      </c>
      <c r="C78" s="0" t="n">
        <v>2.29715200000019E+018</v>
      </c>
      <c r="D78" s="0" t="s">
        <v>2214</v>
      </c>
      <c r="E78" s="0" t="n">
        <v>0</v>
      </c>
      <c r="F78" s="0" t="n">
        <v>0</v>
      </c>
      <c r="G78" s="0" t="s">
        <v>1538</v>
      </c>
      <c r="H78" s="0" t="n">
        <v>2</v>
      </c>
      <c r="J78" s="0" t="s">
        <v>1526</v>
      </c>
      <c r="K78" s="0" t="n">
        <v>1</v>
      </c>
      <c r="L78" s="0" t="n">
        <v>4012</v>
      </c>
      <c r="M78" s="0" t="n">
        <v>4012</v>
      </c>
      <c r="N78" s="0" t="n">
        <v>0</v>
      </c>
      <c r="R78" s="0" t="n">
        <v>0</v>
      </c>
      <c r="S78" s="0" t="s">
        <v>1399</v>
      </c>
      <c r="Y78" s="0" t="s">
        <v>2140</v>
      </c>
      <c r="Z78" s="0" t="s">
        <v>2136</v>
      </c>
      <c r="AC78" s="0" t="s">
        <v>2094</v>
      </c>
      <c r="AE78" s="0" t="s">
        <v>2201</v>
      </c>
      <c r="AF78" s="0" t="n">
        <v>1</v>
      </c>
      <c r="AH78" s="0" t="n">
        <v>0</v>
      </c>
      <c r="AI78" s="0" t="n">
        <v>4012</v>
      </c>
      <c r="AL78" s="0" t="s">
        <v>2215</v>
      </c>
      <c r="AM78" s="0" t="s">
        <v>1632</v>
      </c>
      <c r="AN78" s="0" t="s">
        <v>1524</v>
      </c>
      <c r="AP78" s="0" t="s">
        <v>1527</v>
      </c>
      <c r="AS78" s="0" t="n">
        <v>0</v>
      </c>
      <c r="AV78" s="0" t="n">
        <v>0</v>
      </c>
      <c r="AZ78" s="0" t="n">
        <v>4012</v>
      </c>
      <c r="BA78" s="0" t="s">
        <v>1531</v>
      </c>
      <c r="BC78" s="0" t="n">
        <v>0</v>
      </c>
      <c r="BD78" s="0" t="n">
        <v>0</v>
      </c>
      <c r="BM78" s="0" t="n">
        <v>0</v>
      </c>
      <c r="BQ78" s="0" t="s">
        <v>1561</v>
      </c>
      <c r="BV78" s="0" t="s">
        <v>2138</v>
      </c>
      <c r="BW78" s="0" t="n">
        <v>0</v>
      </c>
    </row>
    <row r="79" customFormat="false" ht="13.8" hidden="false" customHeight="false" outlineLevel="0" collapsed="false">
      <c r="A79" s="267" t="n">
        <v>45699</v>
      </c>
      <c r="B79" s="267" t="n">
        <v>45699</v>
      </c>
      <c r="C79" s="0" t="n">
        <v>2.29715200000019E+018</v>
      </c>
      <c r="D79" s="0" t="s">
        <v>2214</v>
      </c>
      <c r="E79" s="0" t="n">
        <v>0</v>
      </c>
      <c r="F79" s="0" t="n">
        <v>0</v>
      </c>
      <c r="G79" s="0" t="s">
        <v>1538</v>
      </c>
      <c r="H79" s="0" t="n">
        <v>3</v>
      </c>
      <c r="J79" s="0" t="s">
        <v>1526</v>
      </c>
      <c r="K79" s="0" t="n">
        <v>1</v>
      </c>
      <c r="L79" s="0" t="n">
        <v>23585</v>
      </c>
      <c r="M79" s="0" t="n">
        <v>23585</v>
      </c>
      <c r="N79" s="0" t="n">
        <v>0</v>
      </c>
      <c r="R79" s="0" t="n">
        <v>0</v>
      </c>
      <c r="S79" s="0" t="s">
        <v>1399</v>
      </c>
      <c r="Y79" s="0" t="s">
        <v>2140</v>
      </c>
      <c r="Z79" s="0" t="s">
        <v>2136</v>
      </c>
      <c r="AC79" s="0" t="s">
        <v>2094</v>
      </c>
      <c r="AE79" s="0" t="s">
        <v>2201</v>
      </c>
      <c r="AF79" s="0" t="n">
        <v>1</v>
      </c>
      <c r="AH79" s="0" t="n">
        <v>0</v>
      </c>
      <c r="AI79" s="0" t="n">
        <v>23585</v>
      </c>
      <c r="AL79" s="0" t="s">
        <v>2215</v>
      </c>
      <c r="AM79" s="0" t="s">
        <v>1632</v>
      </c>
      <c r="AN79" s="0" t="s">
        <v>1524</v>
      </c>
      <c r="AP79" s="0" t="s">
        <v>1527</v>
      </c>
      <c r="AS79" s="0" t="n">
        <v>0</v>
      </c>
      <c r="AV79" s="0" t="n">
        <v>0</v>
      </c>
      <c r="AZ79" s="0" t="n">
        <v>23585</v>
      </c>
      <c r="BA79" s="0" t="s">
        <v>1531</v>
      </c>
      <c r="BC79" s="0" t="n">
        <v>0</v>
      </c>
      <c r="BD79" s="0" t="n">
        <v>0</v>
      </c>
      <c r="BM79" s="0" t="n">
        <v>0</v>
      </c>
      <c r="BQ79" s="0" t="s">
        <v>1561</v>
      </c>
      <c r="BV79" s="0" t="s">
        <v>2138</v>
      </c>
      <c r="BW79" s="0" t="n">
        <v>0</v>
      </c>
    </row>
    <row r="80" customFormat="false" ht="13.8" hidden="false" customHeight="false" outlineLevel="0" collapsed="false">
      <c r="A80" s="267" t="n">
        <v>45741</v>
      </c>
      <c r="B80" s="267" t="n">
        <v>45741</v>
      </c>
      <c r="C80" s="0" t="n">
        <v>2.29715200000019E+018</v>
      </c>
      <c r="D80" s="0" t="s">
        <v>2214</v>
      </c>
      <c r="E80" s="0" t="n">
        <v>0</v>
      </c>
      <c r="F80" s="0" t="n">
        <v>0</v>
      </c>
      <c r="G80" s="0" t="s">
        <v>1538</v>
      </c>
      <c r="H80" s="0" t="n">
        <v>4</v>
      </c>
      <c r="J80" s="0" t="s">
        <v>1526</v>
      </c>
      <c r="K80" s="0" t="n">
        <v>1</v>
      </c>
      <c r="L80" s="0" t="n">
        <v>15310</v>
      </c>
      <c r="M80" s="0" t="n">
        <v>15310</v>
      </c>
      <c r="N80" s="0" t="n">
        <v>0</v>
      </c>
      <c r="R80" s="0" t="n">
        <v>0</v>
      </c>
      <c r="S80" s="0" t="s">
        <v>1399</v>
      </c>
      <c r="Y80" s="0" t="s">
        <v>2140</v>
      </c>
      <c r="Z80" s="0" t="s">
        <v>2136</v>
      </c>
      <c r="AC80" s="0" t="s">
        <v>2094</v>
      </c>
      <c r="AE80" s="0" t="s">
        <v>2201</v>
      </c>
      <c r="AF80" s="0" t="n">
        <v>1</v>
      </c>
      <c r="AH80" s="0" t="n">
        <v>0</v>
      </c>
      <c r="AI80" s="0" t="n">
        <v>15310</v>
      </c>
      <c r="AL80" s="0" t="s">
        <v>2215</v>
      </c>
      <c r="AM80" s="0" t="s">
        <v>1632</v>
      </c>
      <c r="AN80" s="0" t="s">
        <v>1524</v>
      </c>
      <c r="AP80" s="0" t="s">
        <v>1527</v>
      </c>
      <c r="AS80" s="0" t="n">
        <v>0</v>
      </c>
      <c r="AV80" s="0" t="n">
        <v>0</v>
      </c>
      <c r="AZ80" s="0" t="n">
        <v>15310</v>
      </c>
      <c r="BA80" s="0" t="s">
        <v>1531</v>
      </c>
      <c r="BC80" s="0" t="n">
        <v>0</v>
      </c>
      <c r="BD80" s="0" t="n">
        <v>0</v>
      </c>
      <c r="BM80" s="0" t="n">
        <v>0</v>
      </c>
      <c r="BQ80" s="0" t="s">
        <v>1561</v>
      </c>
      <c r="BV80" s="0" t="s">
        <v>2138</v>
      </c>
      <c r="BW80" s="0" t="n">
        <v>0</v>
      </c>
    </row>
    <row r="81" customFormat="false" ht="13.8" hidden="false" customHeight="false" outlineLevel="0" collapsed="false">
      <c r="A81" s="267" t="n">
        <v>45716</v>
      </c>
      <c r="B81" s="267" t="n">
        <v>45716</v>
      </c>
      <c r="C81" s="0" t="n">
        <v>2.29715200000023E+018</v>
      </c>
      <c r="D81" s="0" t="s">
        <v>2083</v>
      </c>
      <c r="E81" s="0" t="n">
        <v>0</v>
      </c>
      <c r="F81" s="0" t="n">
        <v>0</v>
      </c>
      <c r="G81" s="0" t="s">
        <v>1538</v>
      </c>
      <c r="H81" s="0" t="n">
        <v>6</v>
      </c>
      <c r="J81" s="0" t="s">
        <v>1526</v>
      </c>
      <c r="K81" s="0" t="n">
        <v>1</v>
      </c>
      <c r="L81" s="0" t="n">
        <v>126846</v>
      </c>
      <c r="M81" s="0" t="n">
        <v>126846</v>
      </c>
      <c r="N81" s="0" t="n">
        <v>126846</v>
      </c>
      <c r="R81" s="0" t="n">
        <v>0</v>
      </c>
      <c r="S81" s="0" t="s">
        <v>1399</v>
      </c>
      <c r="Y81" s="0" t="s">
        <v>947</v>
      </c>
      <c r="Z81" s="0" t="s">
        <v>2136</v>
      </c>
      <c r="AC81" s="0" t="s">
        <v>2080</v>
      </c>
      <c r="AE81" s="0" t="s">
        <v>2146</v>
      </c>
      <c r="AF81" s="0" t="n">
        <v>1</v>
      </c>
      <c r="AH81" s="0" t="n">
        <v>0</v>
      </c>
      <c r="AI81" s="0" t="n">
        <v>126846</v>
      </c>
      <c r="AL81" s="0" t="s">
        <v>1632</v>
      </c>
      <c r="AM81" s="0" t="s">
        <v>1632</v>
      </c>
      <c r="AN81" s="0" t="s">
        <v>1524</v>
      </c>
      <c r="AP81" s="0" t="s">
        <v>1527</v>
      </c>
      <c r="AS81" s="0" t="n">
        <v>0</v>
      </c>
      <c r="AV81" s="0" t="n">
        <v>0</v>
      </c>
      <c r="AZ81" s="0" t="n">
        <v>126846</v>
      </c>
      <c r="BA81" s="0" t="s">
        <v>1531</v>
      </c>
      <c r="BC81" s="0" t="n">
        <v>0</v>
      </c>
      <c r="BD81" s="0" t="n">
        <v>0</v>
      </c>
      <c r="BM81" s="0" t="n">
        <v>0</v>
      </c>
      <c r="BQ81" s="0" t="s">
        <v>1561</v>
      </c>
      <c r="BV81" s="0" t="s">
        <v>2138</v>
      </c>
      <c r="BW81" s="0" t="n">
        <v>0</v>
      </c>
    </row>
    <row r="82" customFormat="false" ht="13.8" hidden="false" customHeight="false" outlineLevel="0" collapsed="false">
      <c r="A82" s="267" t="n">
        <v>45747</v>
      </c>
      <c r="B82" s="267" t="n">
        <v>45747</v>
      </c>
      <c r="C82" s="0" t="n">
        <v>2.29715200000023E+018</v>
      </c>
      <c r="D82" s="0" t="s">
        <v>2083</v>
      </c>
      <c r="E82" s="0" t="n">
        <v>0</v>
      </c>
      <c r="F82" s="0" t="n">
        <v>0</v>
      </c>
      <c r="G82" s="0" t="s">
        <v>1538</v>
      </c>
      <c r="H82" s="0" t="n">
        <v>7</v>
      </c>
      <c r="J82" s="0" t="s">
        <v>1526</v>
      </c>
      <c r="K82" s="0" t="n">
        <v>1</v>
      </c>
      <c r="L82" s="0" t="n">
        <v>89795</v>
      </c>
      <c r="M82" s="0" t="n">
        <v>89795</v>
      </c>
      <c r="N82" s="0" t="n">
        <v>89795</v>
      </c>
      <c r="R82" s="0" t="n">
        <v>0</v>
      </c>
      <c r="S82" s="0" t="s">
        <v>1399</v>
      </c>
      <c r="Y82" s="0" t="s">
        <v>947</v>
      </c>
      <c r="Z82" s="0" t="s">
        <v>2136</v>
      </c>
      <c r="AC82" s="0" t="s">
        <v>2080</v>
      </c>
      <c r="AE82" s="0" t="s">
        <v>2146</v>
      </c>
      <c r="AF82" s="0" t="n">
        <v>1</v>
      </c>
      <c r="AH82" s="0" t="n">
        <v>0</v>
      </c>
      <c r="AI82" s="0" t="n">
        <v>89795</v>
      </c>
      <c r="AL82" s="0" t="s">
        <v>1632</v>
      </c>
      <c r="AM82" s="0" t="s">
        <v>1632</v>
      </c>
      <c r="AN82" s="0" t="s">
        <v>1524</v>
      </c>
      <c r="AP82" s="0" t="s">
        <v>1527</v>
      </c>
      <c r="AS82" s="0" t="n">
        <v>0</v>
      </c>
      <c r="AV82" s="0" t="n">
        <v>0</v>
      </c>
      <c r="AZ82" s="0" t="n">
        <v>89795</v>
      </c>
      <c r="BA82" s="0" t="s">
        <v>1531</v>
      </c>
      <c r="BC82" s="0" t="n">
        <v>0</v>
      </c>
      <c r="BD82" s="0" t="n">
        <v>0</v>
      </c>
      <c r="BM82" s="0" t="n">
        <v>0</v>
      </c>
      <c r="BQ82" s="0" t="s">
        <v>1561</v>
      </c>
      <c r="BV82" s="0" t="s">
        <v>2138</v>
      </c>
      <c r="BW82" s="0" t="n">
        <v>0</v>
      </c>
    </row>
    <row r="83" customFormat="false" ht="13.8" hidden="false" customHeight="false" outlineLevel="0" collapsed="false">
      <c r="A83" s="267" t="n">
        <v>45777</v>
      </c>
      <c r="B83" s="267" t="n">
        <v>45777</v>
      </c>
      <c r="C83" s="0" t="n">
        <v>2.29715200000023E+018</v>
      </c>
      <c r="D83" s="0" t="s">
        <v>2081</v>
      </c>
      <c r="E83" s="0" t="n">
        <v>0</v>
      </c>
      <c r="F83" s="0" t="n">
        <v>0</v>
      </c>
      <c r="G83" s="0" t="s">
        <v>1538</v>
      </c>
      <c r="H83" s="0" t="s">
        <v>2216</v>
      </c>
      <c r="J83" s="0" t="s">
        <v>1526</v>
      </c>
      <c r="K83" s="0" t="n">
        <v>1</v>
      </c>
      <c r="L83" s="0" t="n">
        <v>100000</v>
      </c>
      <c r="M83" s="0" t="n">
        <v>99000</v>
      </c>
      <c r="N83" s="0" t="n">
        <v>0</v>
      </c>
      <c r="R83" s="0" t="n">
        <v>0</v>
      </c>
      <c r="S83" s="0" t="s">
        <v>1399</v>
      </c>
      <c r="Y83" s="0" t="s">
        <v>2140</v>
      </c>
      <c r="Z83" s="0" t="s">
        <v>2136</v>
      </c>
      <c r="AC83" s="0" t="s">
        <v>2080</v>
      </c>
      <c r="AE83" s="0" t="s">
        <v>2146</v>
      </c>
      <c r="AF83" s="0" t="n">
        <v>1</v>
      </c>
      <c r="AH83" s="0" t="n">
        <v>0</v>
      </c>
      <c r="AI83" s="0" t="n">
        <v>100000</v>
      </c>
      <c r="AL83" s="0" t="s">
        <v>1632</v>
      </c>
      <c r="AM83" s="0" t="s">
        <v>1632</v>
      </c>
      <c r="AN83" s="0" t="s">
        <v>1524</v>
      </c>
      <c r="AP83" s="0" t="s">
        <v>1531</v>
      </c>
      <c r="AQ83" s="0" t="n">
        <v>2.29715200000003E+018</v>
      </c>
      <c r="AR83" s="0" t="s">
        <v>2147</v>
      </c>
      <c r="AS83" s="0" t="n">
        <v>1</v>
      </c>
      <c r="AT83" s="0" t="s">
        <v>2148</v>
      </c>
      <c r="AU83" s="0" t="s">
        <v>2149</v>
      </c>
      <c r="AV83" s="0" t="n">
        <v>1000</v>
      </c>
      <c r="AZ83" s="0" t="n">
        <v>100000</v>
      </c>
      <c r="BA83" s="0" t="s">
        <v>1531</v>
      </c>
      <c r="BC83" s="0" t="n">
        <v>0</v>
      </c>
      <c r="BD83" s="0" t="n">
        <v>0</v>
      </c>
      <c r="BQ83" s="0" t="s">
        <v>1561</v>
      </c>
      <c r="BV83" s="0" t="s">
        <v>2138</v>
      </c>
      <c r="BW8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2025-04-16T09:24:00Z</dcterms:created>
  <dc:creator>Govind Singh</dc:creator>
  <dc:description/>
  <dc:language>en-US</dc:language>
  <cp:lastModifiedBy/>
  <dcterms:modified xsi:type="dcterms:W3CDTF">2025-12-03T05:30:05Z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0F6E473EFAEC4F95B3EDBEB934FE922E_12</vt:lpwstr>
  </property>
  <property fmtid="{D5CDD505-2E9C-101B-9397-08002B2CF9AE}" pid="3" name="KSOProductBuildVer">
    <vt:lpwstr>2057-12.2.0.20795</vt:lpwstr>
  </property>
</Properties>
</file>